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2.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3.xml" ContentType="application/vnd.openxmlformats-officedocument.themeOverrid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4.xml" ContentType="application/vnd.openxmlformats-officedocument.themeOverrid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5.xml" ContentType="application/vnd.openxmlformats-officedocument.themeOverrid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6.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7.xml" ContentType="application/vnd.openxmlformats-officedocument.themeOverrid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heme/themeOverride8.xml" ContentType="application/vnd.openxmlformats-officedocument.themeOverrid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heme/themeOverride9.xml" ContentType="application/vnd.openxmlformats-officedocument.themeOverrid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theme/themeOverride10.xml" ContentType="application/vnd.openxmlformats-officedocument.themeOverrid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heme/themeOverride11.xml" ContentType="application/vnd.openxmlformats-officedocument.themeOverrid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theme/themeOverride12.xml" ContentType="application/vnd.openxmlformats-officedocument.themeOverrid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theme/themeOverride13.xml" ContentType="application/vnd.openxmlformats-officedocument.themeOverrid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theme/themeOverride14.xml" ContentType="application/vnd.openxmlformats-officedocument.themeOverride+xml"/>
  <Override PartName="/xl/drawings/drawing5.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theme/themeOverride15.xml" ContentType="application/vnd.openxmlformats-officedocument.themeOverride+xml"/>
  <Override PartName="/xl/drawings/drawing6.xml" ContentType="application/vnd.openxmlformats-officedocument.drawingml.chartshapes+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theme/themeOverride16.xml" ContentType="application/vnd.openxmlformats-officedocument.themeOverride+xml"/>
  <Override PartName="/xl/drawings/drawing7.xml" ContentType="application/vnd.openxmlformats-officedocument.drawingml.chartshapes+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theme/themeOverride17.xml" ContentType="application/vnd.openxmlformats-officedocument.themeOverride+xml"/>
  <Override PartName="/xl/drawings/drawing8.xml" ContentType="application/vnd.openxmlformats-officedocument.drawingml.chartshapes+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theme/themeOverride18.xml" ContentType="application/vnd.openxmlformats-officedocument.themeOverride+xml"/>
  <Override PartName="/xl/drawings/drawing9.xml" ContentType="application/vnd.openxmlformats-officedocument.drawingml.chartshapes+xml"/>
  <Override PartName="/xl/drawings/drawing10.xml" ContentType="application/vnd.openxmlformats-officedocument.drawing+xml"/>
  <Override PartName="/xl/drawings/drawing11.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12.xml" ContentType="application/vnd.openxmlformats-officedocument.drawing+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13.xml" ContentType="application/vnd.openxmlformats-officedocument.drawing+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C:\Jordi_Classes_256\M_DOE\Excel\"/>
    </mc:Choice>
  </mc:AlternateContent>
  <xr:revisionPtr revIDLastSave="0" documentId="13_ncr:1_{7588DAE4-6180-4F94-A92E-B43E1D180705}" xr6:coauthVersionLast="47" xr6:coauthVersionMax="47" xr10:uidLastSave="{00000000-0000-0000-0000-000000000000}"/>
  <bookViews>
    <workbookView xWindow="28680" yWindow="-120" windowWidth="29040" windowHeight="15720" tabRatio="771" xr2:uid="{27BF5CD9-0930-49DE-BEB4-09A4F1C23201}"/>
  </bookViews>
  <sheets>
    <sheet name="INSTRUCTIONS" sheetId="4" r:id="rId1"/>
    <sheet name="EXP_MATRIX" sheetId="1" r:id="rId2"/>
    <sheet name="MODEL" sheetId="7" r:id="rId3"/>
    <sheet name="MODEL_PREDICTION" sheetId="27" r:id="rId4"/>
    <sheet name="CENTER_POINTS" sheetId="28" r:id="rId5"/>
    <sheet name="DESIGN_CORRELATION" sheetId="2" r:id="rId6"/>
    <sheet name="EDA" sheetId="12" r:id="rId7"/>
    <sheet name="MODEL_CORRELATION" sheetId="5" r:id="rId8"/>
    <sheet name="MODEL_PARETO" sheetId="19" r:id="rId9"/>
    <sheet name="MODEL_MAINEFFECTS" sheetId="20" r:id="rId10"/>
    <sheet name="MODEL_INTERACTIONS" sheetId="21" r:id="rId11"/>
    <sheet name="MODEL_FIT" sheetId="11" r:id="rId12"/>
    <sheet name="MODEL_ANOVA" sheetId="15" r:id="rId13"/>
    <sheet name="MODEL_RESIDUALPLOTS" sheetId="17" r:id="rId14"/>
    <sheet name="MODEL_RESIDUALSQQ" sheetId="24" r:id="rId15"/>
    <sheet name="DESIGN_FEATURES" sheetId="3" r:id="rId16"/>
    <sheet name="DESIGN_REPLICATION" sheetId="18" r:id="rId17"/>
    <sheet name="MODEL_MATRIX" sheetId="10" r:id="rId18"/>
    <sheet name="MODEL_EFFECTSQQ" sheetId="26" r:id="rId19"/>
    <sheet name="MODEL_REPLICATION" sheetId="14" r:id="rId20"/>
    <sheet name="MODEL_RESIDUALS" sheetId="16" r:id="rId21"/>
  </sheets>
  <definedNames>
    <definedName name="P1X">OFFSET(MODEL_PARETO!$G$2,0,0,COUNT(MODEL_PARETO!$B$2:$B$26),1)</definedName>
    <definedName name="P1Y1">OFFSET(MODEL_PARETO!$L$2,0,0,COUNT(MODEL_PARETO!$B$2:$B$26),1)</definedName>
    <definedName name="P1Y2">OFFSET(MODEL_PARETO!$M$2,0,0,COUNT(MODEL_PARETO!$B$2:$B$26),1)</definedName>
    <definedName name="P2X">OFFSET(MODEL_PARETO!$O$2,0,0,COUNT(MODEL_PARETO!$B$2:$B$26),1)</definedName>
    <definedName name="P2Y1">OFFSET(MODEL_PARETO!$S$2,0,0,COUNT(MODEL_PARETO!$B$2:$B$26),1)</definedName>
    <definedName name="P2Y2">OFFSET(MODEL_PARETO!$T$2,0,0,COUNT(MODEL_PARETO!$B$2:$B$26),1)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0" i="7" l="1" a="1"/>
  <c r="C50" i="7" a="1"/>
  <c r="D50" i="7" a="1"/>
  <c r="E50" i="7" a="1"/>
  <c r="F50" i="7" a="1"/>
  <c r="G50" i="7" a="1"/>
  <c r="H50" i="7" a="1"/>
  <c r="I50" i="7" a="1"/>
  <c r="J50" i="7" a="1"/>
  <c r="K50" i="7" a="1"/>
  <c r="L50" i="7" a="1"/>
  <c r="M50" i="7" a="1"/>
  <c r="N50" i="7" a="1"/>
  <c r="O50" i="7" a="1"/>
  <c r="P50" i="7" a="1"/>
  <c r="Q50" i="7" a="1"/>
  <c r="R50" i="7" a="1"/>
  <c r="S50" i="7" a="1"/>
  <c r="T50" i="7" a="1"/>
  <c r="U50" i="7" a="1"/>
  <c r="V50" i="7" a="1"/>
  <c r="W50" i="7" a="1"/>
  <c r="X50" i="7" a="1"/>
  <c r="Y50" i="7" a="1"/>
  <c r="B51" i="7" a="1"/>
  <c r="C51" i="7" a="1"/>
  <c r="D51" i="7" a="1"/>
  <c r="E51" i="7" a="1"/>
  <c r="F51" i="7" a="1"/>
  <c r="G51" i="7" a="1"/>
  <c r="H51" i="7" a="1"/>
  <c r="I51" i="7" a="1"/>
  <c r="J51" i="7" a="1"/>
  <c r="J51" i="7"/>
  <c r="K51" i="7" a="1"/>
  <c r="K51" i="7"/>
  <c r="L51" i="7" a="1"/>
  <c r="L51" i="7"/>
  <c r="M51" i="7" a="1"/>
  <c r="N51" i="7" a="1"/>
  <c r="O51" i="7" a="1"/>
  <c r="P51" i="7" a="1"/>
  <c r="Q51" i="7" a="1"/>
  <c r="R51" i="7" a="1"/>
  <c r="S51" i="7" a="1"/>
  <c r="T51" i="7" a="1"/>
  <c r="U51" i="7" a="1"/>
  <c r="V51" i="7" a="1"/>
  <c r="W51" i="7" a="1"/>
  <c r="X51" i="7" a="1"/>
  <c r="Y51" i="7" a="1"/>
  <c r="B52" i="7" a="1"/>
  <c r="C52" i="7" a="1"/>
  <c r="D52" i="7" a="1"/>
  <c r="E52" i="7" a="1"/>
  <c r="F52" i="7" a="1"/>
  <c r="G52" i="7" a="1"/>
  <c r="H52" i="7" a="1"/>
  <c r="I52" i="7" a="1"/>
  <c r="J52" i="7" a="1"/>
  <c r="K52" i="7" a="1"/>
  <c r="L52" i="7" a="1"/>
  <c r="M52" i="7" a="1"/>
  <c r="N52" i="7" a="1"/>
  <c r="O52" i="7" a="1"/>
  <c r="P52" i="7" a="1"/>
  <c r="Q52" i="7" a="1"/>
  <c r="R52" i="7" a="1"/>
  <c r="S52" i="7" a="1"/>
  <c r="T52" i="7" a="1"/>
  <c r="U52" i="7" a="1"/>
  <c r="V52" i="7" a="1"/>
  <c r="W52" i="7" a="1"/>
  <c r="X52" i="7" a="1"/>
  <c r="Y52" i="7" a="1"/>
  <c r="B53" i="7" a="1"/>
  <c r="C53" i="7" a="1"/>
  <c r="D53" i="7" a="1"/>
  <c r="E53" i="7" a="1"/>
  <c r="F53" i="7" a="1"/>
  <c r="G53" i="7" a="1"/>
  <c r="H53" i="7" a="1"/>
  <c r="I53" i="7" a="1"/>
  <c r="J53" i="7" a="1"/>
  <c r="K53" i="7" a="1"/>
  <c r="L53" i="7" a="1"/>
  <c r="L53" i="7"/>
  <c r="M53" i="7" a="1"/>
  <c r="M53" i="7"/>
  <c r="N53" i="7" a="1"/>
  <c r="N53" i="7"/>
  <c r="O53" i="7" a="1"/>
  <c r="O53" i="7"/>
  <c r="P53" i="7" a="1"/>
  <c r="P53" i="7"/>
  <c r="Q53" i="7" a="1"/>
  <c r="Q53" i="7"/>
  <c r="R53" i="7" a="1"/>
  <c r="R53" i="7"/>
  <c r="S53" i="7" a="1"/>
  <c r="S53" i="7"/>
  <c r="T53" i="7" a="1"/>
  <c r="T53" i="7"/>
  <c r="U53" i="7" a="1"/>
  <c r="U53" i="7"/>
  <c r="V53" i="7" a="1"/>
  <c r="V53" i="7"/>
  <c r="W53" i="7" a="1"/>
  <c r="W53" i="7"/>
  <c r="X53" i="7" a="1"/>
  <c r="X53" i="7"/>
  <c r="Y53" i="7" a="1"/>
  <c r="Y53" i="7"/>
  <c r="B54" i="7" a="1"/>
  <c r="B54" i="7"/>
  <c r="C54" i="7" a="1"/>
  <c r="C54" i="7"/>
  <c r="D54" i="7" a="1"/>
  <c r="D54" i="7"/>
  <c r="E54" i="7" a="1"/>
  <c r="E54" i="7"/>
  <c r="F54" i="7" a="1"/>
  <c r="F54" i="7"/>
  <c r="G54" i="7" a="1"/>
  <c r="G54" i="7"/>
  <c r="H54" i="7" a="1"/>
  <c r="H54" i="7"/>
  <c r="I54" i="7" a="1"/>
  <c r="I54" i="7"/>
  <c r="J54" i="7" a="1"/>
  <c r="J54" i="7"/>
  <c r="K54" i="7" a="1"/>
  <c r="K54" i="7"/>
  <c r="L54" i="7" a="1"/>
  <c r="L54" i="7"/>
  <c r="M54" i="7" a="1"/>
  <c r="M54" i="7"/>
  <c r="N54" i="7" a="1"/>
  <c r="N54" i="7"/>
  <c r="O54" i="7" a="1"/>
  <c r="O54" i="7"/>
  <c r="P54" i="7" a="1"/>
  <c r="P54" i="7"/>
  <c r="Q54" i="7" a="1"/>
  <c r="Q54" i="7"/>
  <c r="R54" i="7" a="1"/>
  <c r="R54" i="7"/>
  <c r="S54" i="7" a="1"/>
  <c r="S54" i="7"/>
  <c r="T54" i="7" a="1"/>
  <c r="T54" i="7"/>
  <c r="U54" i="7" a="1"/>
  <c r="U54" i="7"/>
  <c r="V54" i="7" a="1"/>
  <c r="V54" i="7"/>
  <c r="W54" i="7" a="1"/>
  <c r="W54" i="7"/>
  <c r="X54" i="7" a="1"/>
  <c r="X54" i="7"/>
  <c r="Y54" i="7" a="1"/>
  <c r="Y54" i="7"/>
  <c r="B55" i="7" a="1"/>
  <c r="B55" i="7"/>
  <c r="C55" i="7" a="1"/>
  <c r="C55" i="7"/>
  <c r="D55" i="7" a="1"/>
  <c r="D55" i="7"/>
  <c r="E55" i="7" a="1"/>
  <c r="E55" i="7"/>
  <c r="F55" i="7" a="1"/>
  <c r="G55" i="7" a="1"/>
  <c r="H55" i="7" a="1"/>
  <c r="I55" i="7" a="1"/>
  <c r="J55" i="7" a="1"/>
  <c r="K55" i="7" a="1"/>
  <c r="L55" i="7" a="1"/>
  <c r="M55" i="7" a="1"/>
  <c r="N55" i="7" a="1"/>
  <c r="O55" i="7" a="1"/>
  <c r="P55" i="7" a="1"/>
  <c r="Q55" i="7" a="1"/>
  <c r="R55" i="7" a="1"/>
  <c r="S55" i="7" a="1"/>
  <c r="T55" i="7" a="1"/>
  <c r="U55" i="7" a="1"/>
  <c r="V55" i="7" a="1"/>
  <c r="W55" i="7" a="1"/>
  <c r="X55" i="7" a="1"/>
  <c r="Y55" i="7" a="1"/>
  <c r="B56" i="7" a="1"/>
  <c r="C56" i="7" a="1"/>
  <c r="D56" i="7" a="1"/>
  <c r="E56" i="7" a="1"/>
  <c r="F56" i="7" a="1"/>
  <c r="G56" i="7" a="1"/>
  <c r="H56" i="7" a="1"/>
  <c r="I56" i="7" a="1"/>
  <c r="J56" i="7" a="1"/>
  <c r="K56" i="7" a="1"/>
  <c r="L56" i="7" a="1"/>
  <c r="M56" i="7" a="1"/>
  <c r="N56" i="7" a="1"/>
  <c r="O56" i="7" a="1"/>
  <c r="P56" i="7" a="1"/>
  <c r="Q56" i="7" a="1"/>
  <c r="R56" i="7" a="1"/>
  <c r="S56" i="7" a="1"/>
  <c r="T56" i="7" a="1"/>
  <c r="U56" i="7" a="1"/>
  <c r="U56" i="7"/>
  <c r="V56" i="7" a="1"/>
  <c r="V56" i="7"/>
  <c r="W56" i="7" a="1"/>
  <c r="W56" i="7"/>
  <c r="X56" i="7" a="1"/>
  <c r="X56" i="7"/>
  <c r="Y56" i="7" a="1"/>
  <c r="Y56" i="7"/>
  <c r="B57" i="7" a="1"/>
  <c r="B57" i="7"/>
  <c r="C57" i="7" a="1"/>
  <c r="C57" i="7"/>
  <c r="D57" i="7" a="1"/>
  <c r="D57" i="7"/>
  <c r="E57" i="7" a="1"/>
  <c r="E57" i="7"/>
  <c r="F57" i="7" a="1"/>
  <c r="F57" i="7"/>
  <c r="G57" i="7" a="1"/>
  <c r="G57" i="7"/>
  <c r="H57" i="7" a="1"/>
  <c r="H57" i="7"/>
  <c r="I57" i="7" a="1"/>
  <c r="I57" i="7"/>
  <c r="J57" i="7" a="1"/>
  <c r="J57" i="7"/>
  <c r="K57" i="7" a="1"/>
  <c r="K57" i="7"/>
  <c r="L57" i="7" a="1"/>
  <c r="L57" i="7"/>
  <c r="M57" i="7" a="1"/>
  <c r="M57" i="7"/>
  <c r="N57" i="7" a="1"/>
  <c r="N57" i="7"/>
  <c r="O57" i="7" a="1"/>
  <c r="O57" i="7"/>
  <c r="P57" i="7" a="1"/>
  <c r="P57" i="7"/>
  <c r="Q57" i="7" a="1"/>
  <c r="Q57" i="7"/>
  <c r="R57" i="7" a="1"/>
  <c r="R57" i="7"/>
  <c r="S57" i="7" a="1"/>
  <c r="S57" i="7"/>
  <c r="T57" i="7" a="1"/>
  <c r="T57" i="7"/>
  <c r="U57" i="7" a="1"/>
  <c r="U57" i="7"/>
  <c r="V57" i="7" a="1"/>
  <c r="V57" i="7"/>
  <c r="W57" i="7" a="1"/>
  <c r="W57" i="7"/>
  <c r="X57" i="7" a="1"/>
  <c r="X57" i="7"/>
  <c r="Y57" i="7" a="1"/>
  <c r="Y57" i="7"/>
  <c r="B58" i="7" a="1"/>
  <c r="B58" i="7"/>
  <c r="C58" i="7" a="1"/>
  <c r="C58" i="7"/>
  <c r="D58" i="7" a="1"/>
  <c r="D58" i="7"/>
  <c r="E58" i="7" a="1"/>
  <c r="E58" i="7"/>
  <c r="F58" i="7" a="1"/>
  <c r="F58" i="7"/>
  <c r="G58" i="7" a="1"/>
  <c r="G58" i="7"/>
  <c r="H58" i="7" a="1"/>
  <c r="H58" i="7"/>
  <c r="I58" i="7" a="1"/>
  <c r="I58" i="7"/>
  <c r="J58" i="7" a="1"/>
  <c r="J58" i="7"/>
  <c r="K58" i="7" a="1"/>
  <c r="K58" i="7"/>
  <c r="L58" i="7" a="1"/>
  <c r="L58" i="7"/>
  <c r="M58" i="7" a="1"/>
  <c r="M58" i="7"/>
  <c r="N58" i="7" a="1"/>
  <c r="N58" i="7"/>
  <c r="O58" i="7" a="1"/>
  <c r="O58" i="7"/>
  <c r="P58" i="7" a="1"/>
  <c r="P58" i="7"/>
  <c r="Q58" i="7" a="1"/>
  <c r="Q58" i="7"/>
  <c r="R58" i="7" a="1"/>
  <c r="R58" i="7"/>
  <c r="S58" i="7" a="1"/>
  <c r="S58" i="7"/>
  <c r="T58" i="7" a="1"/>
  <c r="T58" i="7"/>
  <c r="U58" i="7" a="1"/>
  <c r="U58" i="7"/>
  <c r="V58" i="7" a="1"/>
  <c r="V58" i="7"/>
  <c r="W58" i="7" a="1"/>
  <c r="X58" i="7" a="1"/>
  <c r="Y58" i="7" a="1"/>
  <c r="A51" i="7" a="1"/>
  <c r="A52" i="7" a="1"/>
  <c r="A53" i="7" a="1"/>
  <c r="A53" i="7"/>
  <c r="A54" i="7" a="1"/>
  <c r="A55" i="7" a="1"/>
  <c r="A55" i="7"/>
  <c r="A56" i="7" a="1"/>
  <c r="A57" i="7" a="1"/>
  <c r="A58" i="7" a="1"/>
  <c r="A50" i="7" a="1"/>
  <c r="Y7" i="7"/>
  <c r="X7" i="7"/>
  <c r="W7" i="7"/>
  <c r="V7" i="7"/>
  <c r="U7" i="7"/>
  <c r="T7" i="7"/>
  <c r="S7" i="7"/>
  <c r="R7" i="7"/>
  <c r="Q7" i="7"/>
  <c r="P7" i="7"/>
  <c r="O7" i="7"/>
  <c r="N7" i="7"/>
  <c r="M7" i="7"/>
  <c r="L7" i="7"/>
  <c r="K7" i="7"/>
  <c r="J7" i="7"/>
  <c r="I7" i="7"/>
  <c r="H7" i="7"/>
  <c r="G7" i="7"/>
  <c r="F7" i="7"/>
  <c r="Y6" i="7"/>
  <c r="X6" i="7"/>
  <c r="W6" i="7"/>
  <c r="V6" i="7"/>
  <c r="U6" i="7"/>
  <c r="T6" i="7"/>
  <c r="S6" i="7"/>
  <c r="R6" i="7"/>
  <c r="Q6" i="7"/>
  <c r="P6" i="7"/>
  <c r="O6" i="7"/>
  <c r="N6" i="7"/>
  <c r="M6" i="7"/>
  <c r="L6" i="7"/>
  <c r="K6" i="7"/>
  <c r="J6" i="7"/>
  <c r="I6" i="7"/>
  <c r="H6" i="7"/>
  <c r="G6" i="7"/>
  <c r="F6" i="7"/>
  <c r="E6" i="7"/>
  <c r="D6" i="7"/>
  <c r="C6" i="7"/>
  <c r="B6" i="7"/>
  <c r="A6" i="7"/>
  <c r="L80" i="7"/>
  <c r="M80" i="7"/>
  <c r="N80" i="7"/>
  <c r="O80" i="7"/>
  <c r="P80" i="7"/>
  <c r="Q80" i="7"/>
  <c r="R80" i="7"/>
  <c r="S80" i="7"/>
  <c r="T80" i="7"/>
  <c r="U80" i="7"/>
  <c r="V80" i="7"/>
  <c r="W80" i="7"/>
  <c r="X80" i="7"/>
  <c r="Y80" i="7"/>
  <c r="AJ5" i="28"/>
  <c r="AK5" i="28"/>
  <c r="AJ6" i="28"/>
  <c r="AK6" i="28"/>
  <c r="AJ7" i="28"/>
  <c r="AK7" i="28"/>
  <c r="AJ8" i="28"/>
  <c r="AK8" i="28"/>
  <c r="AJ9" i="28"/>
  <c r="AK9" i="28"/>
  <c r="AJ10" i="28"/>
  <c r="AK10" i="28"/>
  <c r="AJ11" i="28"/>
  <c r="AK11" i="28"/>
  <c r="AJ12" i="28"/>
  <c r="AK12" i="28"/>
  <c r="AJ13" i="28"/>
  <c r="AK13" i="28"/>
  <c r="AJ14" i="28"/>
  <c r="AK14" i="28"/>
  <c r="AJ15" i="28"/>
  <c r="AK15" i="28"/>
  <c r="AJ16" i="28"/>
  <c r="AK16" i="28"/>
  <c r="AJ17" i="28"/>
  <c r="AK17" i="28"/>
  <c r="AJ18" i="28"/>
  <c r="AK18" i="28"/>
  <c r="AJ19" i="28"/>
  <c r="AK19" i="28"/>
  <c r="AJ20" i="28"/>
  <c r="AK20" i="28"/>
  <c r="AJ21" i="28"/>
  <c r="AK21" i="28"/>
  <c r="AJ22" i="28"/>
  <c r="AK22" i="28"/>
  <c r="AJ23" i="28"/>
  <c r="AK23" i="28"/>
  <c r="AK4" i="28"/>
  <c r="AJ4" i="28"/>
  <c r="I8" i="28"/>
  <c r="I9" i="28"/>
  <c r="I10" i="28"/>
  <c r="I11" i="28"/>
  <c r="I12" i="28"/>
  <c r="I13" i="28"/>
  <c r="I14" i="28"/>
  <c r="I15" i="28"/>
  <c r="I16" i="28"/>
  <c r="I17" i="28"/>
  <c r="I18" i="28"/>
  <c r="I19" i="28"/>
  <c r="I20" i="28"/>
  <c r="I21" i="28"/>
  <c r="I22" i="28"/>
  <c r="I23" i="28"/>
  <c r="C26" i="28"/>
  <c r="D50" i="7" l="1"/>
  <c r="K53" i="7"/>
  <c r="I55" i="7"/>
  <c r="K55" i="7"/>
  <c r="P55" i="7"/>
  <c r="S55" i="7"/>
  <c r="X55" i="7"/>
  <c r="C56" i="7"/>
  <c r="F51" i="7"/>
  <c r="R51" i="7"/>
  <c r="S51" i="7"/>
  <c r="V51" i="7"/>
  <c r="Y51" i="7"/>
  <c r="E52" i="7"/>
  <c r="H52" i="7"/>
  <c r="K52" i="7"/>
  <c r="P52" i="7"/>
  <c r="R52" i="7"/>
  <c r="U52" i="7"/>
  <c r="D53" i="7"/>
  <c r="E53" i="7"/>
  <c r="F53" i="7"/>
  <c r="G55" i="7"/>
  <c r="H55" i="7"/>
  <c r="L55" i="7"/>
  <c r="M55" i="7"/>
  <c r="Q55" i="7"/>
  <c r="R55" i="7"/>
  <c r="T55" i="7"/>
  <c r="U55" i="7"/>
  <c r="J56" i="7"/>
  <c r="K56" i="7"/>
  <c r="L56" i="7"/>
  <c r="O56" i="7"/>
  <c r="R56" i="7"/>
  <c r="D51" i="7"/>
  <c r="E51" i="7"/>
  <c r="M51" i="7"/>
  <c r="P51" i="7"/>
  <c r="W51" i="7"/>
  <c r="X51" i="7"/>
  <c r="C52" i="7"/>
  <c r="G52" i="7"/>
  <c r="J52" i="7"/>
  <c r="M52" i="7"/>
  <c r="S52" i="7"/>
  <c r="V52" i="7"/>
  <c r="X52" i="7"/>
  <c r="Y52" i="7"/>
  <c r="B53" i="7"/>
  <c r="G53" i="7"/>
  <c r="J53" i="7"/>
  <c r="J55" i="7"/>
  <c r="N55" i="7"/>
  <c r="O55" i="7"/>
  <c r="V55" i="7"/>
  <c r="Y55" i="7"/>
  <c r="F56" i="7"/>
  <c r="T56" i="7"/>
  <c r="E50" i="7"/>
  <c r="H50" i="7"/>
  <c r="X50" i="7"/>
  <c r="I51" i="7"/>
  <c r="N51" i="7"/>
  <c r="O51" i="7"/>
  <c r="Q51" i="7"/>
  <c r="T51" i="7"/>
  <c r="U51" i="7"/>
  <c r="B52" i="7"/>
  <c r="F52" i="7"/>
  <c r="I52" i="7"/>
  <c r="L52" i="7"/>
  <c r="N52" i="7"/>
  <c r="Q52" i="7"/>
  <c r="T52" i="7"/>
  <c r="C53" i="7"/>
  <c r="H53" i="7"/>
  <c r="I53" i="7"/>
  <c r="F55" i="7"/>
  <c r="W55" i="7"/>
  <c r="B56" i="7"/>
  <c r="G56" i="7"/>
  <c r="H56" i="7"/>
  <c r="I56" i="7"/>
  <c r="M56" i="7"/>
  <c r="Q56" i="7"/>
  <c r="S56" i="7"/>
  <c r="W58" i="7"/>
  <c r="C51" i="7"/>
  <c r="G51" i="7"/>
  <c r="H51" i="7"/>
  <c r="D52" i="7"/>
  <c r="O52" i="7"/>
  <c r="W52" i="7"/>
  <c r="D56" i="7"/>
  <c r="E56" i="7"/>
  <c r="N56" i="7"/>
  <c r="P56" i="7"/>
  <c r="Y58" i="7"/>
  <c r="B50" i="7"/>
  <c r="L50" i="7"/>
  <c r="N50" i="7"/>
  <c r="Q50" i="7"/>
  <c r="T50" i="7"/>
  <c r="W50" i="7"/>
  <c r="Y50" i="7"/>
  <c r="C50" i="7"/>
  <c r="F50" i="7"/>
  <c r="G50" i="7"/>
  <c r="K50" i="7"/>
  <c r="S50" i="7"/>
  <c r="V50" i="7"/>
  <c r="B51" i="7"/>
  <c r="X58" i="7"/>
  <c r="I50" i="7"/>
  <c r="J50" i="7"/>
  <c r="M50" i="7"/>
  <c r="O50" i="7"/>
  <c r="P50" i="7"/>
  <c r="R50" i="7"/>
  <c r="U50" i="7"/>
  <c r="A52" i="7"/>
  <c r="A54" i="7"/>
  <c r="A57" i="7"/>
  <c r="A51" i="7"/>
  <c r="A56" i="7"/>
  <c r="A58" i="7"/>
  <c r="A50" i="7"/>
  <c r="B26" i="28"/>
  <c r="AF36" i="28"/>
  <c r="AE36" i="28"/>
  <c r="AD36" i="28"/>
  <c r="AC36" i="28"/>
  <c r="AB36" i="28"/>
  <c r="AA36" i="28"/>
  <c r="Z36" i="28"/>
  <c r="Y36" i="28"/>
  <c r="X36" i="28"/>
  <c r="W36" i="28"/>
  <c r="V36" i="28"/>
  <c r="U36" i="28"/>
  <c r="T36" i="28"/>
  <c r="S36" i="28"/>
  <c r="R36" i="28"/>
  <c r="Q36" i="28"/>
  <c r="G55" i="28"/>
  <c r="F23" i="28"/>
  <c r="E23" i="28"/>
  <c r="G54" i="28"/>
  <c r="F22" i="28"/>
  <c r="E22" i="28"/>
  <c r="G53" i="28"/>
  <c r="F21" i="28"/>
  <c r="E21" i="28"/>
  <c r="G52" i="28"/>
  <c r="F20" i="28"/>
  <c r="E20" i="28"/>
  <c r="G51" i="28"/>
  <c r="F19" i="28"/>
  <c r="E19" i="28"/>
  <c r="G50" i="28"/>
  <c r="F18" i="28"/>
  <c r="E18" i="28"/>
  <c r="G49" i="28"/>
  <c r="F17" i="28"/>
  <c r="E17" i="28"/>
  <c r="G48" i="28"/>
  <c r="F16" i="28"/>
  <c r="E16" i="28"/>
  <c r="G47" i="28"/>
  <c r="F15" i="28"/>
  <c r="E15" i="28"/>
  <c r="G46" i="28"/>
  <c r="F14" i="28"/>
  <c r="E14" i="28"/>
  <c r="G45" i="28"/>
  <c r="F13" i="28"/>
  <c r="E13" i="28"/>
  <c r="G44" i="28"/>
  <c r="F12" i="28"/>
  <c r="E12" i="28"/>
  <c r="G43" i="28"/>
  <c r="F11" i="28"/>
  <c r="E11" i="28"/>
  <c r="G42" i="28"/>
  <c r="F10" i="28"/>
  <c r="E10" i="28"/>
  <c r="G41" i="28"/>
  <c r="F9" i="28"/>
  <c r="E9" i="28"/>
  <c r="F8" i="28"/>
  <c r="E8" i="28"/>
  <c r="I4" i="28"/>
  <c r="J32" i="27"/>
  <c r="K32" i="27"/>
  <c r="L32" i="27"/>
  <c r="M32" i="27"/>
  <c r="N32" i="27"/>
  <c r="O32" i="27"/>
  <c r="P32" i="27"/>
  <c r="Q32" i="27"/>
  <c r="R32" i="27"/>
  <c r="S32" i="27"/>
  <c r="T32" i="27"/>
  <c r="U32" i="27"/>
  <c r="V32" i="27"/>
  <c r="W32" i="27"/>
  <c r="X32" i="27"/>
  <c r="Y32" i="27"/>
  <c r="Z32" i="27"/>
  <c r="AA32" i="27"/>
  <c r="AB32" i="27"/>
  <c r="AC32" i="27"/>
  <c r="AD32" i="27"/>
  <c r="AE32" i="27"/>
  <c r="J33" i="27"/>
  <c r="K33" i="27"/>
  <c r="L33" i="27"/>
  <c r="M33" i="27"/>
  <c r="N33" i="27"/>
  <c r="O33" i="27"/>
  <c r="P33" i="27"/>
  <c r="Q33" i="27"/>
  <c r="R33" i="27"/>
  <c r="S33" i="27"/>
  <c r="T33" i="27"/>
  <c r="U33" i="27"/>
  <c r="V33" i="27"/>
  <c r="W33" i="27"/>
  <c r="X33" i="27"/>
  <c r="Y33" i="27"/>
  <c r="Z33" i="27"/>
  <c r="AA33" i="27"/>
  <c r="AB33" i="27"/>
  <c r="AC33" i="27"/>
  <c r="AD33" i="27"/>
  <c r="AE33" i="27"/>
  <c r="J34" i="27"/>
  <c r="K34" i="27"/>
  <c r="L34" i="27"/>
  <c r="M34" i="27"/>
  <c r="N34" i="27"/>
  <c r="O34" i="27"/>
  <c r="P34" i="27"/>
  <c r="Q34" i="27"/>
  <c r="R34" i="27"/>
  <c r="S34" i="27"/>
  <c r="T34" i="27"/>
  <c r="U34" i="27"/>
  <c r="V34" i="27"/>
  <c r="W34" i="27"/>
  <c r="X34" i="27"/>
  <c r="Y34" i="27"/>
  <c r="Z34" i="27"/>
  <c r="AA34" i="27"/>
  <c r="AB34" i="27"/>
  <c r="AC34" i="27"/>
  <c r="AD34" i="27"/>
  <c r="AE34" i="27"/>
  <c r="J35" i="27"/>
  <c r="K35" i="27"/>
  <c r="L35" i="27"/>
  <c r="M35" i="27"/>
  <c r="N35" i="27"/>
  <c r="O35" i="27"/>
  <c r="P35" i="27"/>
  <c r="Q35" i="27"/>
  <c r="R35" i="27"/>
  <c r="S35" i="27"/>
  <c r="T35" i="27"/>
  <c r="U35" i="27"/>
  <c r="V35" i="27"/>
  <c r="W35" i="27"/>
  <c r="X35" i="27"/>
  <c r="Y35" i="27"/>
  <c r="Z35" i="27"/>
  <c r="AA35" i="27"/>
  <c r="AB35" i="27"/>
  <c r="AC35" i="27"/>
  <c r="AD35" i="27"/>
  <c r="AE35" i="27"/>
  <c r="J36" i="27"/>
  <c r="K36" i="27"/>
  <c r="L36" i="27"/>
  <c r="M36" i="27"/>
  <c r="N36" i="27"/>
  <c r="O36" i="27"/>
  <c r="P36" i="27"/>
  <c r="Q36" i="27"/>
  <c r="R36" i="27"/>
  <c r="S36" i="27"/>
  <c r="T36" i="27"/>
  <c r="U36" i="27"/>
  <c r="V36" i="27"/>
  <c r="W36" i="27"/>
  <c r="X36" i="27"/>
  <c r="Y36" i="27"/>
  <c r="Z36" i="27"/>
  <c r="AA36" i="27"/>
  <c r="AB36" i="27"/>
  <c r="AC36" i="27"/>
  <c r="AD36" i="27"/>
  <c r="AE36" i="27"/>
  <c r="J37" i="27"/>
  <c r="K37" i="27"/>
  <c r="L37" i="27"/>
  <c r="M37" i="27"/>
  <c r="N37" i="27"/>
  <c r="O37" i="27"/>
  <c r="P37" i="27"/>
  <c r="Q37" i="27"/>
  <c r="R37" i="27"/>
  <c r="S37" i="27"/>
  <c r="T37" i="27"/>
  <c r="U37" i="27"/>
  <c r="V37" i="27"/>
  <c r="W37" i="27"/>
  <c r="X37" i="27"/>
  <c r="Y37" i="27"/>
  <c r="Z37" i="27"/>
  <c r="AA37" i="27"/>
  <c r="AB37" i="27"/>
  <c r="AC37" i="27"/>
  <c r="AD37" i="27"/>
  <c r="AE37" i="27"/>
  <c r="J38" i="27"/>
  <c r="K38" i="27"/>
  <c r="L38" i="27"/>
  <c r="M38" i="27"/>
  <c r="N38" i="27"/>
  <c r="O38" i="27"/>
  <c r="P38" i="27"/>
  <c r="Q38" i="27"/>
  <c r="R38" i="27"/>
  <c r="S38" i="27"/>
  <c r="T38" i="27"/>
  <c r="U38" i="27"/>
  <c r="V38" i="27"/>
  <c r="W38" i="27"/>
  <c r="X38" i="27"/>
  <c r="Y38" i="27"/>
  <c r="Z38" i="27"/>
  <c r="AA38" i="27"/>
  <c r="AB38" i="27"/>
  <c r="AC38" i="27"/>
  <c r="AD38" i="27"/>
  <c r="AE38" i="27"/>
  <c r="J39" i="27"/>
  <c r="K39" i="27"/>
  <c r="L39" i="27"/>
  <c r="M39" i="27"/>
  <c r="N39" i="27"/>
  <c r="O39" i="27"/>
  <c r="P39" i="27"/>
  <c r="Q39" i="27"/>
  <c r="R39" i="27"/>
  <c r="S39" i="27"/>
  <c r="T39" i="27"/>
  <c r="U39" i="27"/>
  <c r="V39" i="27"/>
  <c r="W39" i="27"/>
  <c r="X39" i="27"/>
  <c r="Y39" i="27"/>
  <c r="Z39" i="27"/>
  <c r="AA39" i="27"/>
  <c r="AB39" i="27"/>
  <c r="AC39" i="27"/>
  <c r="AD39" i="27"/>
  <c r="AE39" i="27"/>
  <c r="J40" i="27"/>
  <c r="K40" i="27"/>
  <c r="L40" i="27"/>
  <c r="M40" i="27"/>
  <c r="N40" i="27"/>
  <c r="O40" i="27"/>
  <c r="P40" i="27"/>
  <c r="Q40" i="27"/>
  <c r="R40" i="27"/>
  <c r="S40" i="27"/>
  <c r="T40" i="27"/>
  <c r="U40" i="27"/>
  <c r="V40" i="27"/>
  <c r="W40" i="27"/>
  <c r="X40" i="27"/>
  <c r="Y40" i="27"/>
  <c r="Z40" i="27"/>
  <c r="AA40" i="27"/>
  <c r="AB40" i="27"/>
  <c r="AC40" i="27"/>
  <c r="AD40" i="27"/>
  <c r="AE40" i="27"/>
  <c r="J41" i="27"/>
  <c r="K41" i="27"/>
  <c r="L41" i="27"/>
  <c r="M41" i="27"/>
  <c r="N41" i="27"/>
  <c r="O41" i="27"/>
  <c r="P41" i="27"/>
  <c r="Q41" i="27"/>
  <c r="R41" i="27"/>
  <c r="S41" i="27"/>
  <c r="T41" i="27"/>
  <c r="U41" i="27"/>
  <c r="V41" i="27"/>
  <c r="W41" i="27"/>
  <c r="X41" i="27"/>
  <c r="Y41" i="27"/>
  <c r="Z41" i="27"/>
  <c r="AA41" i="27"/>
  <c r="AB41" i="27"/>
  <c r="AC41" i="27"/>
  <c r="AD41" i="27"/>
  <c r="AE41" i="27"/>
  <c r="J42" i="27"/>
  <c r="K42" i="27"/>
  <c r="L42" i="27"/>
  <c r="M42" i="27"/>
  <c r="N42" i="27"/>
  <c r="O42" i="27"/>
  <c r="P42" i="27"/>
  <c r="Q42" i="27"/>
  <c r="R42" i="27"/>
  <c r="S42" i="27"/>
  <c r="T42" i="27"/>
  <c r="U42" i="27"/>
  <c r="V42" i="27"/>
  <c r="W42" i="27"/>
  <c r="X42" i="27"/>
  <c r="Y42" i="27"/>
  <c r="Z42" i="27"/>
  <c r="AA42" i="27"/>
  <c r="AB42" i="27"/>
  <c r="AC42" i="27"/>
  <c r="AD42" i="27"/>
  <c r="AE42" i="27"/>
  <c r="J43" i="27"/>
  <c r="K43" i="27"/>
  <c r="L43" i="27"/>
  <c r="M43" i="27"/>
  <c r="N43" i="27"/>
  <c r="O43" i="27"/>
  <c r="P43" i="27"/>
  <c r="Q43" i="27"/>
  <c r="R43" i="27"/>
  <c r="S43" i="27"/>
  <c r="T43" i="27"/>
  <c r="U43" i="27"/>
  <c r="V43" i="27"/>
  <c r="W43" i="27"/>
  <c r="X43" i="27"/>
  <c r="Y43" i="27"/>
  <c r="Z43" i="27"/>
  <c r="AA43" i="27"/>
  <c r="AB43" i="27"/>
  <c r="AC43" i="27"/>
  <c r="AD43" i="27"/>
  <c r="AE43" i="27"/>
  <c r="J44" i="27"/>
  <c r="K44" i="27"/>
  <c r="L44" i="27"/>
  <c r="M44" i="27"/>
  <c r="N44" i="27"/>
  <c r="O44" i="27"/>
  <c r="P44" i="27"/>
  <c r="Q44" i="27"/>
  <c r="R44" i="27"/>
  <c r="S44" i="27"/>
  <c r="T44" i="27"/>
  <c r="U44" i="27"/>
  <c r="V44" i="27"/>
  <c r="W44" i="27"/>
  <c r="X44" i="27"/>
  <c r="Y44" i="27"/>
  <c r="Z44" i="27"/>
  <c r="AA44" i="27"/>
  <c r="AB44" i="27"/>
  <c r="AC44" i="27"/>
  <c r="AD44" i="27"/>
  <c r="AE44" i="27"/>
  <c r="J45" i="27"/>
  <c r="K45" i="27"/>
  <c r="L45" i="27"/>
  <c r="M45" i="27"/>
  <c r="N45" i="27"/>
  <c r="O45" i="27"/>
  <c r="P45" i="27"/>
  <c r="Q45" i="27"/>
  <c r="R45" i="27"/>
  <c r="S45" i="27"/>
  <c r="T45" i="27"/>
  <c r="U45" i="27"/>
  <c r="V45" i="27"/>
  <c r="W45" i="27"/>
  <c r="X45" i="27"/>
  <c r="Y45" i="27"/>
  <c r="Z45" i="27"/>
  <c r="AA45" i="27"/>
  <c r="AB45" i="27"/>
  <c r="AC45" i="27"/>
  <c r="AD45" i="27"/>
  <c r="AE45" i="27"/>
  <c r="J46" i="27"/>
  <c r="K46" i="27"/>
  <c r="L46" i="27"/>
  <c r="M46" i="27"/>
  <c r="N46" i="27"/>
  <c r="O46" i="27"/>
  <c r="P46" i="27"/>
  <c r="Q46" i="27"/>
  <c r="R46" i="27"/>
  <c r="S46" i="27"/>
  <c r="T46" i="27"/>
  <c r="U46" i="27"/>
  <c r="V46" i="27"/>
  <c r="W46" i="27"/>
  <c r="X46" i="27"/>
  <c r="Y46" i="27"/>
  <c r="Z46" i="27"/>
  <c r="AA46" i="27"/>
  <c r="AB46" i="27"/>
  <c r="AC46" i="27"/>
  <c r="AD46" i="27"/>
  <c r="AE46" i="27"/>
  <c r="J47" i="27"/>
  <c r="K47" i="27"/>
  <c r="L47" i="27"/>
  <c r="M47" i="27"/>
  <c r="N47" i="27"/>
  <c r="O47" i="27"/>
  <c r="P47" i="27"/>
  <c r="Q47" i="27"/>
  <c r="R47" i="27"/>
  <c r="S47" i="27"/>
  <c r="T47" i="27"/>
  <c r="U47" i="27"/>
  <c r="V47" i="27"/>
  <c r="W47" i="27"/>
  <c r="X47" i="27"/>
  <c r="Y47" i="27"/>
  <c r="Z47" i="27"/>
  <c r="AA47" i="27"/>
  <c r="AB47" i="27"/>
  <c r="AC47" i="27"/>
  <c r="AD47" i="27"/>
  <c r="AE47" i="27"/>
  <c r="J48" i="27"/>
  <c r="K48" i="27"/>
  <c r="L48" i="27"/>
  <c r="M48" i="27"/>
  <c r="N48" i="27"/>
  <c r="O48" i="27"/>
  <c r="P48" i="27"/>
  <c r="Q48" i="27"/>
  <c r="R48" i="27"/>
  <c r="S48" i="27"/>
  <c r="T48" i="27"/>
  <c r="U48" i="27"/>
  <c r="V48" i="27"/>
  <c r="W48" i="27"/>
  <c r="X48" i="27"/>
  <c r="Y48" i="27"/>
  <c r="Z48" i="27"/>
  <c r="AA48" i="27"/>
  <c r="AB48" i="27"/>
  <c r="AC48" i="27"/>
  <c r="AD48" i="27"/>
  <c r="AE48" i="27"/>
  <c r="J49" i="27"/>
  <c r="K49" i="27"/>
  <c r="L49" i="27"/>
  <c r="M49" i="27"/>
  <c r="N49" i="27"/>
  <c r="O49" i="27"/>
  <c r="P49" i="27"/>
  <c r="Q49" i="27"/>
  <c r="R49" i="27"/>
  <c r="S49" i="27"/>
  <c r="T49" i="27"/>
  <c r="U49" i="27"/>
  <c r="V49" i="27"/>
  <c r="W49" i="27"/>
  <c r="X49" i="27"/>
  <c r="Y49" i="27"/>
  <c r="Z49" i="27"/>
  <c r="AA49" i="27"/>
  <c r="AB49" i="27"/>
  <c r="AC49" i="27"/>
  <c r="AD49" i="27"/>
  <c r="AE49" i="27"/>
  <c r="J50" i="27"/>
  <c r="K50" i="27"/>
  <c r="L50" i="27"/>
  <c r="M50" i="27"/>
  <c r="N50" i="27"/>
  <c r="O50" i="27"/>
  <c r="P50" i="27"/>
  <c r="Q50" i="27"/>
  <c r="R50" i="27"/>
  <c r="S50" i="27"/>
  <c r="T50" i="27"/>
  <c r="U50" i="27"/>
  <c r="V50" i="27"/>
  <c r="W50" i="27"/>
  <c r="X50" i="27"/>
  <c r="Y50" i="27"/>
  <c r="Z50" i="27"/>
  <c r="AA50" i="27"/>
  <c r="AB50" i="27"/>
  <c r="AC50" i="27"/>
  <c r="AD50" i="27"/>
  <c r="AE50" i="27"/>
  <c r="J51" i="27"/>
  <c r="K51" i="27"/>
  <c r="L51" i="27"/>
  <c r="M51" i="27"/>
  <c r="N51" i="27"/>
  <c r="O51" i="27"/>
  <c r="P51" i="27"/>
  <c r="Q51" i="27"/>
  <c r="R51" i="27"/>
  <c r="S51" i="27"/>
  <c r="T51" i="27"/>
  <c r="U51" i="27"/>
  <c r="V51" i="27"/>
  <c r="W51" i="27"/>
  <c r="X51" i="27"/>
  <c r="Y51" i="27"/>
  <c r="Z51" i="27"/>
  <c r="AA51" i="27"/>
  <c r="AB51" i="27"/>
  <c r="AC51" i="27"/>
  <c r="AD51" i="27"/>
  <c r="AE51" i="27"/>
  <c r="G50" i="27"/>
  <c r="H50" i="27"/>
  <c r="I50" i="27"/>
  <c r="G51" i="27"/>
  <c r="H51" i="27"/>
  <c r="I51" i="27"/>
  <c r="G35" i="27"/>
  <c r="H35" i="27"/>
  <c r="I35" i="27"/>
  <c r="G36" i="27"/>
  <c r="H36" i="27"/>
  <c r="I36" i="27"/>
  <c r="G37" i="27"/>
  <c r="H37" i="27"/>
  <c r="I37" i="27"/>
  <c r="G38" i="27"/>
  <c r="H38" i="27"/>
  <c r="I38" i="27"/>
  <c r="G39" i="27"/>
  <c r="H39" i="27"/>
  <c r="I39" i="27"/>
  <c r="G40" i="27"/>
  <c r="H40" i="27"/>
  <c r="I40" i="27"/>
  <c r="G41" i="27"/>
  <c r="H41" i="27"/>
  <c r="I41" i="27"/>
  <c r="G42" i="27"/>
  <c r="H42" i="27"/>
  <c r="I42" i="27"/>
  <c r="G43" i="27"/>
  <c r="H43" i="27"/>
  <c r="I43" i="27"/>
  <c r="G44" i="27"/>
  <c r="H44" i="27"/>
  <c r="I44" i="27"/>
  <c r="G45" i="27"/>
  <c r="H45" i="27"/>
  <c r="I45" i="27"/>
  <c r="G46" i="27"/>
  <c r="H46" i="27"/>
  <c r="I46" i="27"/>
  <c r="G47" i="27"/>
  <c r="H47" i="27"/>
  <c r="I47" i="27"/>
  <c r="G48" i="27"/>
  <c r="H48" i="27"/>
  <c r="I48" i="27"/>
  <c r="G49" i="27"/>
  <c r="H49" i="27"/>
  <c r="I49" i="27"/>
  <c r="F5" i="27"/>
  <c r="F33" i="27" s="1"/>
  <c r="F6" i="27"/>
  <c r="F34" i="27" s="1"/>
  <c r="F7" i="27"/>
  <c r="F35" i="27" s="1"/>
  <c r="F8" i="27"/>
  <c r="F36" i="27" s="1"/>
  <c r="F9" i="27"/>
  <c r="F37" i="27" s="1"/>
  <c r="F10" i="27"/>
  <c r="F38" i="27" s="1"/>
  <c r="F11" i="27"/>
  <c r="F39" i="27" s="1"/>
  <c r="F12" i="27"/>
  <c r="F40" i="27" s="1"/>
  <c r="F13" i="27"/>
  <c r="F41" i="27" s="1"/>
  <c r="F14" i="27"/>
  <c r="F42" i="27" s="1"/>
  <c r="F15" i="27"/>
  <c r="F43" i="27" s="1"/>
  <c r="F16" i="27"/>
  <c r="F44" i="27" s="1"/>
  <c r="F17" i="27"/>
  <c r="F45" i="27" s="1"/>
  <c r="F18" i="27"/>
  <c r="F46" i="27" s="1"/>
  <c r="F19" i="27"/>
  <c r="F47" i="27" s="1"/>
  <c r="F20" i="27"/>
  <c r="F48" i="27" s="1"/>
  <c r="F21" i="27"/>
  <c r="F49" i="27" s="1"/>
  <c r="F22" i="27"/>
  <c r="F50" i="27" s="1"/>
  <c r="F23" i="27"/>
  <c r="F51" i="27" s="1"/>
  <c r="F4" i="27"/>
  <c r="F32" i="27" s="1"/>
  <c r="A150" i="21"/>
  <c r="A80" i="21"/>
  <c r="S3" i="2"/>
  <c r="T3" i="2"/>
  <c r="U3" i="2"/>
  <c r="V3" i="2"/>
  <c r="W3" i="2"/>
  <c r="X3" i="2"/>
  <c r="Y3" i="2"/>
  <c r="J20" i="26"/>
  <c r="J21" i="26"/>
  <c r="J22" i="26"/>
  <c r="J23" i="26"/>
  <c r="J24" i="26"/>
  <c r="J25" i="26"/>
  <c r="J26" i="26"/>
  <c r="J27" i="26"/>
  <c r="J28" i="26"/>
  <c r="J29" i="26"/>
  <c r="G74" i="24"/>
  <c r="D74" i="24"/>
  <c r="F74" i="24" s="1"/>
  <c r="C74" i="24"/>
  <c r="A74" i="24"/>
  <c r="G73" i="24"/>
  <c r="G72" i="24"/>
  <c r="G71" i="24"/>
  <c r="G70" i="24"/>
  <c r="G69" i="24"/>
  <c r="G68" i="24"/>
  <c r="G67" i="24"/>
  <c r="G66" i="24"/>
  <c r="G65" i="24"/>
  <c r="G64" i="24"/>
  <c r="G63" i="24"/>
  <c r="G62" i="24"/>
  <c r="G61" i="24"/>
  <c r="G60" i="24"/>
  <c r="G59" i="24"/>
  <c r="G58" i="24"/>
  <c r="G57" i="24"/>
  <c r="G56" i="24"/>
  <c r="G55" i="24"/>
  <c r="G54" i="24"/>
  <c r="G53" i="24"/>
  <c r="G52" i="24"/>
  <c r="G51" i="24"/>
  <c r="G50" i="24"/>
  <c r="G49" i="24"/>
  <c r="G48" i="24"/>
  <c r="G47" i="24"/>
  <c r="G46" i="24"/>
  <c r="G45" i="24"/>
  <c r="G44" i="24"/>
  <c r="G43" i="24"/>
  <c r="G42" i="24"/>
  <c r="G41" i="24"/>
  <c r="A7" i="21"/>
  <c r="A77" i="21"/>
  <c r="H97" i="20"/>
  <c r="I97" i="20"/>
  <c r="J97" i="20"/>
  <c r="K97" i="20"/>
  <c r="L97" i="20"/>
  <c r="M97" i="20"/>
  <c r="N97" i="20"/>
  <c r="O97" i="20"/>
  <c r="P97" i="20"/>
  <c r="Q97" i="20"/>
  <c r="R97" i="20"/>
  <c r="S97" i="20"/>
  <c r="T97" i="20"/>
  <c r="U97" i="20"/>
  <c r="V97" i="20"/>
  <c r="W97" i="20"/>
  <c r="X97" i="20"/>
  <c r="Y97" i="20"/>
  <c r="Z97" i="20"/>
  <c r="H4" i="20"/>
  <c r="H13" i="20" s="1"/>
  <c r="I4" i="20"/>
  <c r="I8" i="20" s="1"/>
  <c r="J4" i="20"/>
  <c r="J11" i="20" s="1"/>
  <c r="K4" i="20"/>
  <c r="K14" i="20" s="1"/>
  <c r="L4" i="20"/>
  <c r="L9" i="20" s="1"/>
  <c r="M4" i="20"/>
  <c r="M12" i="20" s="1"/>
  <c r="N4" i="20"/>
  <c r="N7" i="20" s="1"/>
  <c r="O4" i="20"/>
  <c r="O10" i="20" s="1"/>
  <c r="P4" i="20"/>
  <c r="P13" i="20" s="1"/>
  <c r="Q4" i="20"/>
  <c r="Q8" i="20" s="1"/>
  <c r="R4" i="20"/>
  <c r="R11" i="20" s="1"/>
  <c r="S4" i="20"/>
  <c r="S14" i="20" s="1"/>
  <c r="T4" i="20"/>
  <c r="T9" i="20" s="1"/>
  <c r="U4" i="20"/>
  <c r="U12" i="20" s="1"/>
  <c r="V4" i="20"/>
  <c r="V7" i="20" s="1"/>
  <c r="W4" i="20"/>
  <c r="W10" i="20" s="1"/>
  <c r="X4" i="20"/>
  <c r="X13" i="20" s="1"/>
  <c r="Y4" i="20"/>
  <c r="Y8" i="20" s="1"/>
  <c r="Z4" i="20"/>
  <c r="Z11" i="20" s="1"/>
  <c r="G36" i="28" l="1"/>
  <c r="I5" i="28"/>
  <c r="M36" i="28"/>
  <c r="N36" i="28"/>
  <c r="G40" i="28"/>
  <c r="P25" i="20"/>
  <c r="R17" i="20"/>
  <c r="O25" i="20"/>
  <c r="P17" i="20"/>
  <c r="H25" i="20"/>
  <c r="J17" i="20"/>
  <c r="T24" i="20"/>
  <c r="K17" i="20"/>
  <c r="H17" i="20"/>
  <c r="L24" i="20"/>
  <c r="Z17" i="20"/>
  <c r="X25" i="20"/>
  <c r="X17" i="20"/>
  <c r="W25" i="20"/>
  <c r="S17" i="20"/>
  <c r="M25" i="20"/>
  <c r="Z24" i="20"/>
  <c r="R24" i="20"/>
  <c r="J24" i="20"/>
  <c r="W23" i="20"/>
  <c r="O23" i="20"/>
  <c r="T22" i="20"/>
  <c r="L22" i="20"/>
  <c r="Y21" i="20"/>
  <c r="Q21" i="20"/>
  <c r="I21" i="20"/>
  <c r="V20" i="20"/>
  <c r="N20" i="20"/>
  <c r="S19" i="20"/>
  <c r="K19" i="20"/>
  <c r="X18" i="20"/>
  <c r="P18" i="20"/>
  <c r="H18" i="20"/>
  <c r="U6" i="20"/>
  <c r="M6" i="20"/>
  <c r="Z14" i="20"/>
  <c r="R14" i="20"/>
  <c r="J14" i="20"/>
  <c r="W13" i="20"/>
  <c r="O13" i="20"/>
  <c r="T12" i="20"/>
  <c r="L12" i="20"/>
  <c r="Y11" i="20"/>
  <c r="Q11" i="20"/>
  <c r="I11" i="20"/>
  <c r="V10" i="20"/>
  <c r="N10" i="20"/>
  <c r="S9" i="20"/>
  <c r="K9" i="20"/>
  <c r="X8" i="20"/>
  <c r="P8" i="20"/>
  <c r="H8" i="20"/>
  <c r="U7" i="20"/>
  <c r="M7" i="20"/>
  <c r="U25" i="20"/>
  <c r="W17" i="20"/>
  <c r="O17" i="20"/>
  <c r="T25" i="20"/>
  <c r="L25" i="20"/>
  <c r="Y24" i="20"/>
  <c r="Q24" i="20"/>
  <c r="I24" i="20"/>
  <c r="V23" i="20"/>
  <c r="N23" i="20"/>
  <c r="S22" i="20"/>
  <c r="K22" i="20"/>
  <c r="X21" i="20"/>
  <c r="P21" i="20"/>
  <c r="H21" i="20"/>
  <c r="U20" i="20"/>
  <c r="M20" i="20"/>
  <c r="Z19" i="20"/>
  <c r="R19" i="20"/>
  <c r="J19" i="20"/>
  <c r="W18" i="20"/>
  <c r="O18" i="20"/>
  <c r="T6" i="20"/>
  <c r="L6" i="20"/>
  <c r="Y14" i="20"/>
  <c r="Q14" i="20"/>
  <c r="I14" i="20"/>
  <c r="V13" i="20"/>
  <c r="N13" i="20"/>
  <c r="S12" i="20"/>
  <c r="K12" i="20"/>
  <c r="X11" i="20"/>
  <c r="P11" i="20"/>
  <c r="H11" i="20"/>
  <c r="U10" i="20"/>
  <c r="M10" i="20"/>
  <c r="Z9" i="20"/>
  <c r="R9" i="20"/>
  <c r="J9" i="20"/>
  <c r="W8" i="20"/>
  <c r="O8" i="20"/>
  <c r="T7" i="20"/>
  <c r="L7" i="20"/>
  <c r="V17" i="20"/>
  <c r="N17" i="20"/>
  <c r="S25" i="20"/>
  <c r="K25" i="20"/>
  <c r="X24" i="20"/>
  <c r="P24" i="20"/>
  <c r="H24" i="20"/>
  <c r="U23" i="20"/>
  <c r="M23" i="20"/>
  <c r="Z22" i="20"/>
  <c r="R22" i="20"/>
  <c r="J22" i="20"/>
  <c r="W21" i="20"/>
  <c r="O21" i="20"/>
  <c r="T20" i="20"/>
  <c r="L20" i="20"/>
  <c r="Y19" i="20"/>
  <c r="Q19" i="20"/>
  <c r="I19" i="20"/>
  <c r="V18" i="20"/>
  <c r="N18" i="20"/>
  <c r="S6" i="20"/>
  <c r="K6" i="20"/>
  <c r="X14" i="20"/>
  <c r="P14" i="20"/>
  <c r="H14" i="20"/>
  <c r="U13" i="20"/>
  <c r="M13" i="20"/>
  <c r="Z12" i="20"/>
  <c r="R12" i="20"/>
  <c r="J12" i="20"/>
  <c r="W11" i="20"/>
  <c r="O11" i="20"/>
  <c r="T10" i="20"/>
  <c r="L10" i="20"/>
  <c r="Y9" i="20"/>
  <c r="Q9" i="20"/>
  <c r="I9" i="20"/>
  <c r="V8" i="20"/>
  <c r="N8" i="20"/>
  <c r="S7" i="20"/>
  <c r="K7" i="20"/>
  <c r="U17" i="20"/>
  <c r="M17" i="20"/>
  <c r="Z25" i="20"/>
  <c r="R25" i="20"/>
  <c r="J25" i="20"/>
  <c r="W24" i="20"/>
  <c r="O24" i="20"/>
  <c r="T23" i="20"/>
  <c r="L23" i="20"/>
  <c r="Y22" i="20"/>
  <c r="Q22" i="20"/>
  <c r="I22" i="20"/>
  <c r="V21" i="20"/>
  <c r="N21" i="20"/>
  <c r="S20" i="20"/>
  <c r="K20" i="20"/>
  <c r="X19" i="20"/>
  <c r="P19" i="20"/>
  <c r="H19" i="20"/>
  <c r="U18" i="20"/>
  <c r="M18" i="20"/>
  <c r="Z6" i="20"/>
  <c r="R6" i="20"/>
  <c r="J6" i="20"/>
  <c r="W14" i="20"/>
  <c r="O14" i="20"/>
  <c r="T13" i="20"/>
  <c r="L13" i="20"/>
  <c r="Y12" i="20"/>
  <c r="Q12" i="20"/>
  <c r="I12" i="20"/>
  <c r="V11" i="20"/>
  <c r="N11" i="20"/>
  <c r="S10" i="20"/>
  <c r="K10" i="20"/>
  <c r="X9" i="20"/>
  <c r="P9" i="20"/>
  <c r="H9" i="20"/>
  <c r="U8" i="20"/>
  <c r="M8" i="20"/>
  <c r="Z7" i="20"/>
  <c r="R7" i="20"/>
  <c r="J7" i="20"/>
  <c r="T17" i="20"/>
  <c r="L17" i="20"/>
  <c r="Y25" i="20"/>
  <c r="Q25" i="20"/>
  <c r="I25" i="20"/>
  <c r="V24" i="20"/>
  <c r="N24" i="20"/>
  <c r="S23" i="20"/>
  <c r="K23" i="20"/>
  <c r="X22" i="20"/>
  <c r="P22" i="20"/>
  <c r="H22" i="20"/>
  <c r="U21" i="20"/>
  <c r="M21" i="20"/>
  <c r="Z20" i="20"/>
  <c r="R20" i="20"/>
  <c r="J20" i="20"/>
  <c r="W19" i="20"/>
  <c r="O19" i="20"/>
  <c r="T18" i="20"/>
  <c r="L18" i="20"/>
  <c r="Y6" i="20"/>
  <c r="Q6" i="20"/>
  <c r="I6" i="20"/>
  <c r="V14" i="20"/>
  <c r="N14" i="20"/>
  <c r="S13" i="20"/>
  <c r="K13" i="20"/>
  <c r="X12" i="20"/>
  <c r="P12" i="20"/>
  <c r="H12" i="20"/>
  <c r="U11" i="20"/>
  <c r="M11" i="20"/>
  <c r="Z10" i="20"/>
  <c r="R10" i="20"/>
  <c r="J10" i="20"/>
  <c r="W9" i="20"/>
  <c r="O9" i="20"/>
  <c r="T8" i="20"/>
  <c r="L8" i="20"/>
  <c r="Y7" i="20"/>
  <c r="Q7" i="20"/>
  <c r="I7" i="20"/>
  <c r="U24" i="20"/>
  <c r="M24" i="20"/>
  <c r="Z23" i="20"/>
  <c r="R23" i="20"/>
  <c r="J23" i="20"/>
  <c r="W22" i="20"/>
  <c r="O22" i="20"/>
  <c r="T21" i="20"/>
  <c r="L21" i="20"/>
  <c r="Y20" i="20"/>
  <c r="Q20" i="20"/>
  <c r="I20" i="20"/>
  <c r="V19" i="20"/>
  <c r="N19" i="20"/>
  <c r="S18" i="20"/>
  <c r="K18" i="20"/>
  <c r="X6" i="20"/>
  <c r="P6" i="20"/>
  <c r="H6" i="20"/>
  <c r="U14" i="20"/>
  <c r="M14" i="20"/>
  <c r="Z13" i="20"/>
  <c r="R13" i="20"/>
  <c r="J13" i="20"/>
  <c r="W12" i="20"/>
  <c r="O12" i="20"/>
  <c r="T11" i="20"/>
  <c r="L11" i="20"/>
  <c r="Y10" i="20"/>
  <c r="Q10" i="20"/>
  <c r="I10" i="20"/>
  <c r="V9" i="20"/>
  <c r="N9" i="20"/>
  <c r="S8" i="20"/>
  <c r="K8" i="20"/>
  <c r="X7" i="20"/>
  <c r="P7" i="20"/>
  <c r="H7" i="20"/>
  <c r="Y23" i="20"/>
  <c r="Q23" i="20"/>
  <c r="I23" i="20"/>
  <c r="V22" i="20"/>
  <c r="N22" i="20"/>
  <c r="S21" i="20"/>
  <c r="K21" i="20"/>
  <c r="X20" i="20"/>
  <c r="P20" i="20"/>
  <c r="H20" i="20"/>
  <c r="U19" i="20"/>
  <c r="M19" i="20"/>
  <c r="Z18" i="20"/>
  <c r="R18" i="20"/>
  <c r="J18" i="20"/>
  <c r="W6" i="20"/>
  <c r="O6" i="20"/>
  <c r="T14" i="20"/>
  <c r="L14" i="20"/>
  <c r="Y13" i="20"/>
  <c r="Q13" i="20"/>
  <c r="I13" i="20"/>
  <c r="V12" i="20"/>
  <c r="N12" i="20"/>
  <c r="S11" i="20"/>
  <c r="K11" i="20"/>
  <c r="X10" i="20"/>
  <c r="P10" i="20"/>
  <c r="H10" i="20"/>
  <c r="U9" i="20"/>
  <c r="M9" i="20"/>
  <c r="Z8" i="20"/>
  <c r="R8" i="20"/>
  <c r="J8" i="20"/>
  <c r="W7" i="20"/>
  <c r="O7" i="20"/>
  <c r="Y17" i="20"/>
  <c r="Q17" i="20"/>
  <c r="I17" i="20"/>
  <c r="V25" i="20"/>
  <c r="N25" i="20"/>
  <c r="S24" i="20"/>
  <c r="K24" i="20"/>
  <c r="X23" i="20"/>
  <c r="P23" i="20"/>
  <c r="H23" i="20"/>
  <c r="U22" i="20"/>
  <c r="M22" i="20"/>
  <c r="Z21" i="20"/>
  <c r="R21" i="20"/>
  <c r="J21" i="20"/>
  <c r="W20" i="20"/>
  <c r="O20" i="20"/>
  <c r="T19" i="20"/>
  <c r="L19" i="20"/>
  <c r="Y18" i="20"/>
  <c r="Q18" i="20"/>
  <c r="I18" i="20"/>
  <c r="V6" i="20"/>
  <c r="N6" i="20"/>
  <c r="G37" i="28" l="1"/>
  <c r="I6" i="28"/>
  <c r="B27" i="7"/>
  <c r="C27" i="7"/>
  <c r="D27" i="7"/>
  <c r="E27" i="7"/>
  <c r="F27" i="7"/>
  <c r="G27" i="7"/>
  <c r="H27" i="7"/>
  <c r="I27" i="7"/>
  <c r="J27" i="7"/>
  <c r="K27" i="7"/>
  <c r="L27" i="7"/>
  <c r="M27" i="7"/>
  <c r="N27" i="7"/>
  <c r="O27" i="7"/>
  <c r="P27" i="7"/>
  <c r="P28" i="7" s="1" a="1"/>
  <c r="P28" i="7" s="1"/>
  <c r="Q27" i="7"/>
  <c r="Q28" i="7" s="1" a="1"/>
  <c r="Q28" i="7" s="1"/>
  <c r="R27" i="7"/>
  <c r="R28" i="7" s="1" a="1"/>
  <c r="R28" i="7" s="1"/>
  <c r="S27" i="7"/>
  <c r="S28" i="7" s="1" a="1"/>
  <c r="S28" i="7" s="1"/>
  <c r="T27" i="7"/>
  <c r="T28" i="7" s="1" a="1"/>
  <c r="T28" i="7" s="1"/>
  <c r="U27" i="7"/>
  <c r="U28" i="7" s="1" a="1"/>
  <c r="U28" i="7" s="1"/>
  <c r="V27" i="7"/>
  <c r="V28" i="7" s="1" a="1"/>
  <c r="V28" i="7" s="1"/>
  <c r="W27" i="7"/>
  <c r="W28" i="7" s="1" a="1"/>
  <c r="W28" i="7" s="1"/>
  <c r="X27" i="7"/>
  <c r="X28" i="7" s="1" a="1"/>
  <c r="X28" i="7" s="1"/>
  <c r="Y27" i="7"/>
  <c r="Y28" i="7" s="1" a="1"/>
  <c r="Y28" i="7" s="1"/>
  <c r="A27" i="7"/>
  <c r="A15" i="7"/>
  <c r="B2" i="21" s="1"/>
  <c r="H16" i="20"/>
  <c r="J16" i="20"/>
  <c r="N16" i="20"/>
  <c r="N27" i="20" s="1"/>
  <c r="P16" i="20"/>
  <c r="R16" i="20"/>
  <c r="V16" i="20"/>
  <c r="V27" i="20" s="1"/>
  <c r="X16" i="20"/>
  <c r="Z16" i="20"/>
  <c r="H5" i="20"/>
  <c r="I5" i="20"/>
  <c r="J5" i="20"/>
  <c r="K5" i="20"/>
  <c r="L5" i="20"/>
  <c r="M5" i="20"/>
  <c r="N5" i="20"/>
  <c r="O5" i="20"/>
  <c r="P5" i="20"/>
  <c r="Q5" i="20"/>
  <c r="R5" i="20"/>
  <c r="S5" i="20"/>
  <c r="T5" i="20"/>
  <c r="U5" i="20"/>
  <c r="V5" i="20"/>
  <c r="W5" i="20"/>
  <c r="X5" i="20"/>
  <c r="Y5" i="20"/>
  <c r="Z5" i="20"/>
  <c r="A97" i="20"/>
  <c r="A27" i="20"/>
  <c r="M17" i="19"/>
  <c r="M18" i="19"/>
  <c r="M19" i="19"/>
  <c r="M20" i="19"/>
  <c r="M21" i="19"/>
  <c r="M22" i="19"/>
  <c r="M23" i="19"/>
  <c r="M24" i="19"/>
  <c r="M25" i="19"/>
  <c r="M26" i="19"/>
  <c r="L26" i="19"/>
  <c r="L17" i="19"/>
  <c r="L18" i="19"/>
  <c r="L19" i="19"/>
  <c r="L20" i="19"/>
  <c r="L21" i="19"/>
  <c r="L22" i="19"/>
  <c r="L23" i="19"/>
  <c r="L24" i="19"/>
  <c r="L25" i="19"/>
  <c r="T17" i="19"/>
  <c r="T18" i="19"/>
  <c r="T19" i="19"/>
  <c r="T20" i="19"/>
  <c r="T21" i="19"/>
  <c r="T22" i="19"/>
  <c r="T23" i="19"/>
  <c r="T24" i="19"/>
  <c r="T25" i="19"/>
  <c r="T26" i="19"/>
  <c r="K1" i="19"/>
  <c r="S1" i="19" s="1"/>
  <c r="H1" i="19"/>
  <c r="I1" i="19"/>
  <c r="J1" i="19"/>
  <c r="R1" i="19" s="1"/>
  <c r="G1" i="19"/>
  <c r="C3" i="18"/>
  <c r="C4" i="18"/>
  <c r="C5" i="18"/>
  <c r="C6" i="18"/>
  <c r="C7" i="18"/>
  <c r="C8" i="18"/>
  <c r="C9" i="18"/>
  <c r="C10" i="18"/>
  <c r="C11" i="18"/>
  <c r="C12" i="18"/>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2" i="18"/>
  <c r="L71" i="18" a="1"/>
  <c r="L71" i="18" s="1"/>
  <c r="M71" i="18" s="1"/>
  <c r="K71" i="18" a="1"/>
  <c r="K71" i="18" s="1"/>
  <c r="E71" i="18"/>
  <c r="B71" i="18"/>
  <c r="A71" i="18"/>
  <c r="L70" i="18" a="1"/>
  <c r="L70" i="18" s="1"/>
  <c r="M70" i="18" s="1"/>
  <c r="K70" i="18" a="1"/>
  <c r="K70" i="18" s="1"/>
  <c r="A70" i="18"/>
  <c r="L69" i="18" a="1"/>
  <c r="L69" i="18" s="1"/>
  <c r="M69" i="18" s="1"/>
  <c r="K69" i="18" a="1"/>
  <c r="K69" i="18" s="1"/>
  <c r="A69" i="18"/>
  <c r="L68" i="18" a="1"/>
  <c r="L68" i="18" s="1"/>
  <c r="M68" i="18" s="1"/>
  <c r="K68" i="18" a="1"/>
  <c r="K68" i="18" s="1"/>
  <c r="A68" i="18"/>
  <c r="L67" i="18" a="1"/>
  <c r="L67" i="18" s="1"/>
  <c r="M67" i="18" s="1"/>
  <c r="K67" i="18" a="1"/>
  <c r="K67" i="18" s="1"/>
  <c r="A67" i="18"/>
  <c r="L66" i="18" a="1"/>
  <c r="L66" i="18" s="1"/>
  <c r="M66" i="18" s="1"/>
  <c r="K66" i="18" a="1"/>
  <c r="K66" i="18" s="1"/>
  <c r="A66" i="18"/>
  <c r="L65" i="18" a="1"/>
  <c r="L65" i="18" s="1"/>
  <c r="M65" i="18" s="1"/>
  <c r="K65" i="18" a="1"/>
  <c r="K65" i="18" s="1"/>
  <c r="A65" i="18"/>
  <c r="L64" i="18" a="1"/>
  <c r="L64" i="18" s="1"/>
  <c r="M64" i="18" s="1"/>
  <c r="K64" i="18" a="1"/>
  <c r="K64" i="18" s="1"/>
  <c r="A64" i="18"/>
  <c r="L63" i="18" a="1"/>
  <c r="L63" i="18" s="1"/>
  <c r="M63" i="18" s="1"/>
  <c r="K63" i="18" a="1"/>
  <c r="K63" i="18" s="1"/>
  <c r="A63" i="18"/>
  <c r="L62" i="18" a="1"/>
  <c r="L62" i="18" s="1"/>
  <c r="M62" i="18" s="1"/>
  <c r="K62" i="18" a="1"/>
  <c r="K62" i="18" s="1"/>
  <c r="A62" i="18"/>
  <c r="L61" i="18" a="1"/>
  <c r="L61" i="18" s="1"/>
  <c r="M61" i="18" s="1"/>
  <c r="K61" i="18" a="1"/>
  <c r="K61" i="18" s="1"/>
  <c r="A61" i="18"/>
  <c r="L60" i="18" a="1"/>
  <c r="L60" i="18" s="1"/>
  <c r="M60" i="18" s="1"/>
  <c r="K60" i="18" a="1"/>
  <c r="K60" i="18" s="1"/>
  <c r="A60" i="18"/>
  <c r="L59" i="18" a="1"/>
  <c r="L59" i="18" s="1"/>
  <c r="M59" i="18" s="1"/>
  <c r="K59" i="18" a="1"/>
  <c r="K59" i="18" s="1"/>
  <c r="A59" i="18"/>
  <c r="L58" i="18" a="1"/>
  <c r="L58" i="18" s="1"/>
  <c r="M58" i="18" s="1"/>
  <c r="K58" i="18" a="1"/>
  <c r="K58" i="18" s="1"/>
  <c r="A58" i="18"/>
  <c r="L57" i="18" a="1"/>
  <c r="L57" i="18" s="1"/>
  <c r="M57" i="18" s="1"/>
  <c r="K57" i="18" a="1"/>
  <c r="K57" i="18" s="1"/>
  <c r="A57" i="18"/>
  <c r="L56" i="18" a="1"/>
  <c r="L56" i="18" s="1"/>
  <c r="M56" i="18" s="1"/>
  <c r="K56" i="18" a="1"/>
  <c r="K56" i="18" s="1"/>
  <c r="A56" i="18"/>
  <c r="L55" i="18" a="1"/>
  <c r="L55" i="18" s="1"/>
  <c r="M55" i="18" s="1"/>
  <c r="K55" i="18" a="1"/>
  <c r="K55" i="18" s="1"/>
  <c r="A55" i="18"/>
  <c r="L54" i="18" a="1"/>
  <c r="L54" i="18" s="1"/>
  <c r="M54" i="18" s="1"/>
  <c r="K54" i="18" a="1"/>
  <c r="K54" i="18" s="1"/>
  <c r="A54" i="18"/>
  <c r="L53" i="18" a="1"/>
  <c r="L53" i="18" s="1"/>
  <c r="M53" i="18" s="1"/>
  <c r="K53" i="18" a="1"/>
  <c r="K53" i="18" s="1"/>
  <c r="A53" i="18"/>
  <c r="L52" i="18" a="1"/>
  <c r="L52" i="18" s="1"/>
  <c r="M52" i="18" s="1"/>
  <c r="K52" i="18" a="1"/>
  <c r="K52" i="18" s="1"/>
  <c r="A52" i="18"/>
  <c r="L51" i="18" a="1"/>
  <c r="L51" i="18" s="1"/>
  <c r="M51" i="18" s="1"/>
  <c r="K51" i="18" a="1"/>
  <c r="K51" i="18" s="1"/>
  <c r="A51" i="18"/>
  <c r="L50" i="18" a="1"/>
  <c r="L50" i="18" s="1"/>
  <c r="M50" i="18" s="1"/>
  <c r="K50" i="18" a="1"/>
  <c r="K50" i="18" s="1"/>
  <c r="A50" i="18"/>
  <c r="L49" i="18" a="1"/>
  <c r="L49" i="18" s="1"/>
  <c r="M49" i="18" s="1"/>
  <c r="K49" i="18" a="1"/>
  <c r="K49" i="18" s="1"/>
  <c r="A49" i="18"/>
  <c r="L48" i="18" a="1"/>
  <c r="L48" i="18" s="1"/>
  <c r="M48" i="18" s="1"/>
  <c r="K48" i="18" a="1"/>
  <c r="K48" i="18" s="1"/>
  <c r="A48" i="18"/>
  <c r="L47" i="18" a="1"/>
  <c r="L47" i="18" s="1"/>
  <c r="M47" i="18" s="1"/>
  <c r="K47" i="18" a="1"/>
  <c r="K47" i="18" s="1"/>
  <c r="A47" i="18"/>
  <c r="L46" i="18" a="1"/>
  <c r="L46" i="18" s="1"/>
  <c r="M46" i="18" s="1"/>
  <c r="K46" i="18" a="1"/>
  <c r="K46" i="18" s="1"/>
  <c r="A46" i="18"/>
  <c r="L45" i="18" a="1"/>
  <c r="L45" i="18" s="1"/>
  <c r="M45" i="18" s="1"/>
  <c r="K45" i="18" a="1"/>
  <c r="K45" i="18" s="1"/>
  <c r="A45" i="18"/>
  <c r="L44" i="18" a="1"/>
  <c r="L44" i="18" s="1"/>
  <c r="M44" i="18" s="1"/>
  <c r="K44" i="18" a="1"/>
  <c r="K44" i="18" s="1"/>
  <c r="A44" i="18"/>
  <c r="L43" i="18" a="1"/>
  <c r="L43" i="18" s="1"/>
  <c r="M43" i="18" s="1"/>
  <c r="K43" i="18" a="1"/>
  <c r="K43" i="18" s="1"/>
  <c r="A43" i="18"/>
  <c r="L42" i="18" a="1"/>
  <c r="L42" i="18" s="1"/>
  <c r="M42" i="18" s="1"/>
  <c r="K42" i="18" a="1"/>
  <c r="K42" i="18" s="1"/>
  <c r="A42" i="18"/>
  <c r="L41" i="18" a="1"/>
  <c r="L41" i="18" s="1"/>
  <c r="M41" i="18" s="1"/>
  <c r="K41" i="18" a="1"/>
  <c r="K41" i="18" s="1"/>
  <c r="A41" i="18"/>
  <c r="L40" i="18" a="1"/>
  <c r="L40" i="18" s="1"/>
  <c r="M40" i="18" s="1"/>
  <c r="K40" i="18" a="1"/>
  <c r="K40" i="18" s="1"/>
  <c r="A40" i="18"/>
  <c r="L39" i="18" a="1"/>
  <c r="L39" i="18" s="1"/>
  <c r="M39" i="18" s="1"/>
  <c r="K39" i="18" a="1"/>
  <c r="K39" i="18" s="1"/>
  <c r="A39" i="18"/>
  <c r="A38" i="18"/>
  <c r="A37" i="18"/>
  <c r="A36" i="18"/>
  <c r="A35" i="18"/>
  <c r="A34" i="18"/>
  <c r="A33" i="18"/>
  <c r="A32" i="18"/>
  <c r="A31" i="18"/>
  <c r="A30" i="18"/>
  <c r="A29" i="18"/>
  <c r="A28" i="18"/>
  <c r="A27" i="18"/>
  <c r="A26" i="18"/>
  <c r="A25" i="18"/>
  <c r="A24" i="18"/>
  <c r="A23" i="18"/>
  <c r="A22" i="18"/>
  <c r="A21" i="18"/>
  <c r="A20" i="18"/>
  <c r="A19" i="18"/>
  <c r="A18" i="18"/>
  <c r="A17" i="18"/>
  <c r="A16" i="18"/>
  <c r="A15" i="18"/>
  <c r="A14" i="18"/>
  <c r="A13" i="18"/>
  <c r="A12" i="18"/>
  <c r="A11" i="18"/>
  <c r="A10" i="18"/>
  <c r="A9" i="18"/>
  <c r="A8" i="18"/>
  <c r="A7" i="18"/>
  <c r="A6" i="18"/>
  <c r="A5" i="18"/>
  <c r="A4" i="18"/>
  <c r="A3" i="18"/>
  <c r="A2" i="18"/>
  <c r="B1" i="18"/>
  <c r="A1" i="18"/>
  <c r="AJ71" i="16"/>
  <c r="AK71" i="16"/>
  <c r="AL71" i="16"/>
  <c r="AH71" i="16"/>
  <c r="D71" i="16"/>
  <c r="B71" i="16"/>
  <c r="L71" i="14" a="1"/>
  <c r="L71" i="14" s="1"/>
  <c r="M71" i="14" s="1"/>
  <c r="K71" i="14" a="1"/>
  <c r="K71" i="14" s="1"/>
  <c r="B71" i="14"/>
  <c r="E71" i="14" s="1"/>
  <c r="A71" i="14"/>
  <c r="L70" i="14" a="1"/>
  <c r="L70" i="14" s="1"/>
  <c r="M70" i="14" s="1"/>
  <c r="K70" i="14" a="1"/>
  <c r="K70" i="14" s="1"/>
  <c r="A70" i="14"/>
  <c r="L69" i="14" a="1"/>
  <c r="L69" i="14" s="1"/>
  <c r="M69" i="14" s="1"/>
  <c r="K69" i="14" a="1"/>
  <c r="K69" i="14" s="1"/>
  <c r="A69" i="14"/>
  <c r="L68" i="14" a="1"/>
  <c r="L68" i="14" s="1"/>
  <c r="M68" i="14" s="1"/>
  <c r="K68" i="14" a="1"/>
  <c r="K68" i="14" s="1"/>
  <c r="A68" i="14"/>
  <c r="L67" i="14" a="1"/>
  <c r="L67" i="14" s="1"/>
  <c r="M67" i="14" s="1"/>
  <c r="K67" i="14" a="1"/>
  <c r="K67" i="14" s="1"/>
  <c r="A67" i="14"/>
  <c r="L66" i="14" a="1"/>
  <c r="L66" i="14" s="1"/>
  <c r="M66" i="14" s="1"/>
  <c r="K66" i="14" a="1"/>
  <c r="K66" i="14" s="1"/>
  <c r="A66" i="14"/>
  <c r="L65" i="14" a="1"/>
  <c r="L65" i="14" s="1"/>
  <c r="M65" i="14" s="1"/>
  <c r="K65" i="14" a="1"/>
  <c r="K65" i="14" s="1"/>
  <c r="A65" i="14"/>
  <c r="L64" i="14" a="1"/>
  <c r="L64" i="14" s="1"/>
  <c r="M64" i="14" s="1"/>
  <c r="K64" i="14" a="1"/>
  <c r="K64" i="14" s="1"/>
  <c r="A64" i="14"/>
  <c r="L63" i="14" a="1"/>
  <c r="L63" i="14" s="1"/>
  <c r="M63" i="14" s="1"/>
  <c r="K63" i="14" a="1"/>
  <c r="K63" i="14" s="1"/>
  <c r="A63" i="14"/>
  <c r="L62" i="14" a="1"/>
  <c r="L62" i="14" s="1"/>
  <c r="M62" i="14" s="1"/>
  <c r="K62" i="14" a="1"/>
  <c r="K62" i="14" s="1"/>
  <c r="A62" i="14"/>
  <c r="L61" i="14" a="1"/>
  <c r="L61" i="14" s="1"/>
  <c r="M61" i="14" s="1"/>
  <c r="K61" i="14" a="1"/>
  <c r="K61" i="14" s="1"/>
  <c r="A61" i="14"/>
  <c r="L60" i="14" a="1"/>
  <c r="L60" i="14" s="1"/>
  <c r="M60" i="14" s="1"/>
  <c r="K60" i="14" a="1"/>
  <c r="K60" i="14" s="1"/>
  <c r="A60" i="14"/>
  <c r="L59" i="14" a="1"/>
  <c r="L59" i="14" s="1"/>
  <c r="M59" i="14" s="1"/>
  <c r="K59" i="14" a="1"/>
  <c r="K59" i="14" s="1"/>
  <c r="A59" i="14"/>
  <c r="L58" i="14" a="1"/>
  <c r="L58" i="14" s="1"/>
  <c r="M58" i="14" s="1"/>
  <c r="K58" i="14" a="1"/>
  <c r="K58" i="14" s="1"/>
  <c r="A58" i="14"/>
  <c r="L57" i="14" a="1"/>
  <c r="L57" i="14" s="1"/>
  <c r="M57" i="14" s="1"/>
  <c r="K57" i="14" a="1"/>
  <c r="K57" i="14" s="1"/>
  <c r="A57" i="14"/>
  <c r="L56" i="14" a="1"/>
  <c r="L56" i="14" s="1"/>
  <c r="M56" i="14" s="1"/>
  <c r="K56" i="14" a="1"/>
  <c r="K56" i="14" s="1"/>
  <c r="A56" i="14"/>
  <c r="L55" i="14" a="1"/>
  <c r="L55" i="14" s="1"/>
  <c r="M55" i="14" s="1"/>
  <c r="K55" i="14" a="1"/>
  <c r="K55" i="14" s="1"/>
  <c r="A55" i="14"/>
  <c r="L54" i="14" a="1"/>
  <c r="L54" i="14" s="1"/>
  <c r="M54" i="14" s="1"/>
  <c r="K54" i="14" a="1"/>
  <c r="K54" i="14" s="1"/>
  <c r="A54" i="14"/>
  <c r="L53" i="14" a="1"/>
  <c r="L53" i="14" s="1"/>
  <c r="M53" i="14" s="1"/>
  <c r="K53" i="14" a="1"/>
  <c r="K53" i="14" s="1"/>
  <c r="A53" i="14"/>
  <c r="L52" i="14" a="1"/>
  <c r="L52" i="14" s="1"/>
  <c r="M52" i="14" s="1"/>
  <c r="K52" i="14" a="1"/>
  <c r="K52" i="14" s="1"/>
  <c r="A52" i="14"/>
  <c r="L51" i="14" a="1"/>
  <c r="L51" i="14" s="1"/>
  <c r="M51" i="14" s="1"/>
  <c r="K51" i="14" a="1"/>
  <c r="K51" i="14" s="1"/>
  <c r="A51" i="14"/>
  <c r="L50" i="14" a="1"/>
  <c r="L50" i="14" s="1"/>
  <c r="M50" i="14" s="1"/>
  <c r="K50" i="14" a="1"/>
  <c r="K50" i="14" s="1"/>
  <c r="A50" i="14"/>
  <c r="L49" i="14" a="1"/>
  <c r="L49" i="14" s="1"/>
  <c r="M49" i="14" s="1"/>
  <c r="K49" i="14" a="1"/>
  <c r="K49" i="14" s="1"/>
  <c r="A49" i="14"/>
  <c r="L48" i="14" a="1"/>
  <c r="L48" i="14" s="1"/>
  <c r="M48" i="14" s="1"/>
  <c r="K48" i="14" a="1"/>
  <c r="K48" i="14" s="1"/>
  <c r="A48" i="14"/>
  <c r="L47" i="14" a="1"/>
  <c r="L47" i="14" s="1"/>
  <c r="M47" i="14" s="1"/>
  <c r="K47" i="14" a="1"/>
  <c r="K47" i="14" s="1"/>
  <c r="A47" i="14"/>
  <c r="L46" i="14" a="1"/>
  <c r="L46" i="14" s="1"/>
  <c r="M46" i="14" s="1"/>
  <c r="K46" i="14" a="1"/>
  <c r="K46" i="14" s="1"/>
  <c r="A46" i="14"/>
  <c r="L45" i="14" a="1"/>
  <c r="L45" i="14" s="1"/>
  <c r="M45" i="14" s="1"/>
  <c r="K45" i="14" a="1"/>
  <c r="K45" i="14" s="1"/>
  <c r="A45" i="14"/>
  <c r="L44" i="14" a="1"/>
  <c r="L44" i="14" s="1"/>
  <c r="M44" i="14" s="1"/>
  <c r="K44" i="14" a="1"/>
  <c r="K44" i="14" s="1"/>
  <c r="A44" i="14"/>
  <c r="L43" i="14" a="1"/>
  <c r="L43" i="14" s="1"/>
  <c r="M43" i="14" s="1"/>
  <c r="K43" i="14" a="1"/>
  <c r="K43" i="14" s="1"/>
  <c r="A43" i="14"/>
  <c r="L42" i="14" a="1"/>
  <c r="L42" i="14" s="1"/>
  <c r="M42" i="14" s="1"/>
  <c r="K42" i="14" a="1"/>
  <c r="K42" i="14" s="1"/>
  <c r="A42" i="14"/>
  <c r="L41" i="14" a="1"/>
  <c r="L41" i="14" s="1"/>
  <c r="M41" i="14" s="1"/>
  <c r="K41" i="14" a="1"/>
  <c r="K41" i="14" s="1"/>
  <c r="A41" i="14"/>
  <c r="L40" i="14" a="1"/>
  <c r="L40" i="14" s="1"/>
  <c r="M40" i="14" s="1"/>
  <c r="K40" i="14" a="1"/>
  <c r="K40" i="14" s="1"/>
  <c r="A40" i="14"/>
  <c r="L39" i="14" a="1"/>
  <c r="L39" i="14" s="1"/>
  <c r="M39" i="14" s="1"/>
  <c r="K39" i="14" a="1"/>
  <c r="K39" i="14" s="1"/>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10" i="14"/>
  <c r="A9" i="14"/>
  <c r="A8" i="14"/>
  <c r="A7" i="14"/>
  <c r="A6" i="14"/>
  <c r="A5" i="14"/>
  <c r="A4" i="14"/>
  <c r="A3" i="14"/>
  <c r="A2" i="14"/>
  <c r="B1" i="14"/>
  <c r="A1" i="14"/>
  <c r="D71" i="12"/>
  <c r="A7" i="12"/>
  <c r="B7" i="12" s="1"/>
  <c r="A8" i="12"/>
  <c r="B8" i="12" s="1"/>
  <c r="A9" i="12"/>
  <c r="B9" i="12" s="1"/>
  <c r="A10" i="12"/>
  <c r="B10" i="12" s="1"/>
  <c r="A11" i="12"/>
  <c r="B11" i="12" s="1"/>
  <c r="A12" i="12"/>
  <c r="B12" i="12" s="1"/>
  <c r="A13" i="12"/>
  <c r="B13" i="12" s="1"/>
  <c r="A14" i="12"/>
  <c r="B14" i="12" s="1"/>
  <c r="A15" i="12"/>
  <c r="B15" i="12" s="1"/>
  <c r="A16" i="12"/>
  <c r="B16" i="12" s="1"/>
  <c r="A17" i="12"/>
  <c r="B17" i="12" s="1"/>
  <c r="A18" i="12"/>
  <c r="B18" i="12" s="1"/>
  <c r="A19" i="12"/>
  <c r="B19" i="12" s="1"/>
  <c r="A20" i="12"/>
  <c r="B20" i="12" s="1"/>
  <c r="A21" i="12"/>
  <c r="B21" i="12" s="1"/>
  <c r="A22" i="12"/>
  <c r="B22" i="12" s="1"/>
  <c r="A23" i="12"/>
  <c r="B23" i="12" s="1"/>
  <c r="A24" i="12"/>
  <c r="B24" i="12" s="1"/>
  <c r="A25" i="12"/>
  <c r="B25" i="12" s="1"/>
  <c r="A26" i="12"/>
  <c r="B26" i="12" s="1"/>
  <c r="A27" i="12"/>
  <c r="B27" i="12" s="1"/>
  <c r="A28" i="12"/>
  <c r="B28" i="12" s="1"/>
  <c r="A29" i="12"/>
  <c r="B29" i="12" s="1"/>
  <c r="A30" i="12"/>
  <c r="B30" i="12" s="1"/>
  <c r="A31" i="12"/>
  <c r="B31" i="12" s="1"/>
  <c r="A32" i="12"/>
  <c r="B32" i="12" s="1"/>
  <c r="A33" i="12"/>
  <c r="B33" i="12" s="1"/>
  <c r="A34" i="12"/>
  <c r="B34" i="12" s="1"/>
  <c r="A35" i="12"/>
  <c r="B35" i="12" s="1"/>
  <c r="A36" i="12"/>
  <c r="B36" i="12" s="1"/>
  <c r="A37" i="12"/>
  <c r="B37" i="12" s="1"/>
  <c r="A38" i="12"/>
  <c r="B38" i="12" s="1"/>
  <c r="A39" i="12"/>
  <c r="B39" i="12" s="1"/>
  <c r="A40" i="12"/>
  <c r="B40" i="12" s="1"/>
  <c r="A41" i="12"/>
  <c r="B41" i="12" s="1"/>
  <c r="A42" i="12"/>
  <c r="A43" i="12"/>
  <c r="A44" i="12"/>
  <c r="A45" i="12"/>
  <c r="A46" i="12"/>
  <c r="A47" i="12"/>
  <c r="B47" i="12" s="1"/>
  <c r="A48" i="12"/>
  <c r="A49" i="12"/>
  <c r="A50" i="12"/>
  <c r="A51" i="12"/>
  <c r="A52" i="12"/>
  <c r="A53" i="12"/>
  <c r="A54" i="12"/>
  <c r="A55" i="12"/>
  <c r="A56" i="12"/>
  <c r="A57" i="12"/>
  <c r="A58" i="12"/>
  <c r="A59" i="12"/>
  <c r="A60" i="12"/>
  <c r="A61" i="12"/>
  <c r="D61" i="12" s="1"/>
  <c r="B61" i="12"/>
  <c r="A62" i="12"/>
  <c r="A63" i="12"/>
  <c r="A64" i="12"/>
  <c r="A65" i="12"/>
  <c r="A66" i="12"/>
  <c r="A67" i="12"/>
  <c r="A68" i="12"/>
  <c r="D68" i="12" s="1"/>
  <c r="B68" i="12"/>
  <c r="A69" i="12"/>
  <c r="A70" i="12"/>
  <c r="A71" i="12"/>
  <c r="B71" i="12" s="1"/>
  <c r="A3" i="12"/>
  <c r="B3" i="12" s="1"/>
  <c r="A4" i="12"/>
  <c r="B4" i="12" s="1"/>
  <c r="A5" i="12"/>
  <c r="B5" i="12" s="1"/>
  <c r="A6" i="12"/>
  <c r="B6" i="12" s="1"/>
  <c r="A2" i="12"/>
  <c r="A72" i="7"/>
  <c r="A73" i="7"/>
  <c r="A74" i="7"/>
  <c r="M70" i="7"/>
  <c r="S70" i="7"/>
  <c r="T70" i="7"/>
  <c r="U70" i="7"/>
  <c r="B71" i="7"/>
  <c r="C71" i="7"/>
  <c r="J71" i="7"/>
  <c r="K71" i="7"/>
  <c r="L71" i="7"/>
  <c r="R71" i="7"/>
  <c r="S71" i="7"/>
  <c r="T71" i="7"/>
  <c r="B72" i="7"/>
  <c r="C72" i="7"/>
  <c r="I72" i="7"/>
  <c r="J72" i="7"/>
  <c r="K72" i="7"/>
  <c r="Q72" i="7"/>
  <c r="R72" i="7"/>
  <c r="S72" i="7"/>
  <c r="Y72" i="7"/>
  <c r="B73" i="7"/>
  <c r="H73" i="7"/>
  <c r="I73" i="7"/>
  <c r="J73" i="7"/>
  <c r="P73" i="7"/>
  <c r="Q73" i="7"/>
  <c r="R73" i="7"/>
  <c r="X73" i="7"/>
  <c r="Y73" i="7"/>
  <c r="G74" i="7"/>
  <c r="H74" i="7"/>
  <c r="I74" i="7"/>
  <c r="O74" i="7"/>
  <c r="P74" i="7"/>
  <c r="Q74" i="7"/>
  <c r="W74" i="7"/>
  <c r="X74" i="7"/>
  <c r="Y74" i="7"/>
  <c r="F75" i="7"/>
  <c r="G75" i="7"/>
  <c r="H75" i="7"/>
  <c r="N75" i="7"/>
  <c r="O75" i="7"/>
  <c r="P75" i="7"/>
  <c r="V75" i="7"/>
  <c r="W75" i="7"/>
  <c r="X75" i="7"/>
  <c r="Y35" i="7"/>
  <c r="Y36" i="7"/>
  <c r="M37" i="7"/>
  <c r="P37" i="7"/>
  <c r="Q37" i="7"/>
  <c r="R37" i="7"/>
  <c r="S37" i="7"/>
  <c r="T37" i="7"/>
  <c r="U37" i="7"/>
  <c r="V37" i="7"/>
  <c r="W37" i="7"/>
  <c r="X37" i="7"/>
  <c r="Y37" i="7"/>
  <c r="B38" i="7"/>
  <c r="C38" i="7"/>
  <c r="E38" i="7"/>
  <c r="F38" i="7"/>
  <c r="G38" i="7"/>
  <c r="H38" i="7"/>
  <c r="I38" i="7"/>
  <c r="J38" i="7"/>
  <c r="K38" i="7"/>
  <c r="L38" i="7"/>
  <c r="M38" i="7"/>
  <c r="N38" i="7"/>
  <c r="O38" i="7"/>
  <c r="P38" i="7"/>
  <c r="Q38" i="7"/>
  <c r="R38" i="7"/>
  <c r="S38" i="7"/>
  <c r="T38" i="7"/>
  <c r="U38" i="7"/>
  <c r="V38" i="7"/>
  <c r="W38" i="7"/>
  <c r="X38" i="7"/>
  <c r="Y38" i="7"/>
  <c r="B39" i="7"/>
  <c r="C39" i="7"/>
  <c r="D39" i="7"/>
  <c r="E39" i="7"/>
  <c r="F39" i="7"/>
  <c r="G39" i="7"/>
  <c r="H39" i="7"/>
  <c r="I39" i="7"/>
  <c r="J39" i="7"/>
  <c r="K39" i="7"/>
  <c r="L39" i="7"/>
  <c r="M39" i="7"/>
  <c r="N39" i="7"/>
  <c r="O39" i="7"/>
  <c r="P39" i="7"/>
  <c r="Q39" i="7"/>
  <c r="R39" i="7"/>
  <c r="S39" i="7"/>
  <c r="T39" i="7"/>
  <c r="U39" i="7"/>
  <c r="V39" i="7"/>
  <c r="W39" i="7"/>
  <c r="X39" i="7"/>
  <c r="Y39" i="7"/>
  <c r="B40" i="7"/>
  <c r="C40" i="7"/>
  <c r="D40" i="7"/>
  <c r="E40" i="7"/>
  <c r="F40" i="7"/>
  <c r="G40" i="7"/>
  <c r="H40" i="7"/>
  <c r="I40" i="7"/>
  <c r="J40" i="7"/>
  <c r="K40" i="7"/>
  <c r="L40" i="7"/>
  <c r="M40" i="7"/>
  <c r="N40" i="7"/>
  <c r="O40" i="7"/>
  <c r="P40" i="7"/>
  <c r="Q40" i="7"/>
  <c r="R40" i="7"/>
  <c r="S40" i="7"/>
  <c r="T40" i="7"/>
  <c r="U40" i="7"/>
  <c r="V40" i="7"/>
  <c r="W40" i="7"/>
  <c r="X40" i="7"/>
  <c r="Y40" i="7"/>
  <c r="B41" i="7"/>
  <c r="C41" i="7"/>
  <c r="D41" i="7"/>
  <c r="E41" i="7"/>
  <c r="F41" i="7"/>
  <c r="G41" i="7"/>
  <c r="H41" i="7"/>
  <c r="I41" i="7"/>
  <c r="J41" i="7"/>
  <c r="K41" i="7"/>
  <c r="L41" i="7"/>
  <c r="M41" i="7"/>
  <c r="N41" i="7"/>
  <c r="O41" i="7"/>
  <c r="P41" i="7"/>
  <c r="Q41" i="7"/>
  <c r="R41" i="7"/>
  <c r="S41" i="7"/>
  <c r="T41" i="7"/>
  <c r="U41" i="7"/>
  <c r="V41" i="7"/>
  <c r="W41" i="7"/>
  <c r="X41" i="7"/>
  <c r="Y41" i="7"/>
  <c r="B42" i="7"/>
  <c r="C42" i="7"/>
  <c r="D42" i="7"/>
  <c r="E42" i="7"/>
  <c r="F42" i="7"/>
  <c r="G42" i="7"/>
  <c r="H42" i="7"/>
  <c r="I42" i="7"/>
  <c r="J42" i="7"/>
  <c r="K42" i="7"/>
  <c r="L42" i="7"/>
  <c r="M42" i="7"/>
  <c r="N42" i="7"/>
  <c r="O42" i="7"/>
  <c r="P42" i="7"/>
  <c r="Q42" i="7"/>
  <c r="R42" i="7"/>
  <c r="S42" i="7"/>
  <c r="T42" i="7"/>
  <c r="U42" i="7"/>
  <c r="V42" i="7"/>
  <c r="W42" i="7"/>
  <c r="X42" i="7"/>
  <c r="Y42" i="7"/>
  <c r="A38" i="7"/>
  <c r="A39" i="7"/>
  <c r="A40" i="7"/>
  <c r="A41" i="7"/>
  <c r="A42" i="7"/>
  <c r="B3" i="10" a="1"/>
  <c r="B3" i="10" s="1"/>
  <c r="B4" i="10" a="1"/>
  <c r="B4" i="10" s="1"/>
  <c r="B5" i="10" a="1"/>
  <c r="B5" i="10" s="1"/>
  <c r="B6" i="10" a="1"/>
  <c r="B6" i="10" s="1"/>
  <c r="A85" i="21" s="1"/>
  <c r="B7" i="10" a="1"/>
  <c r="B7" i="10" s="1"/>
  <c r="A86" i="21" s="1"/>
  <c r="B8" i="10" a="1"/>
  <c r="B8" i="10" s="1"/>
  <c r="B9" i="10" a="1"/>
  <c r="B9" i="10" s="1"/>
  <c r="B10" i="10" a="1"/>
  <c r="B10" i="10" s="1"/>
  <c r="B11" i="10" a="1"/>
  <c r="B11" i="10" s="1"/>
  <c r="B12" i="10" a="1"/>
  <c r="B12" i="10" s="1"/>
  <c r="B13" i="10" a="1"/>
  <c r="B13" i="10" s="1"/>
  <c r="B14" i="10" a="1"/>
  <c r="B14" i="10" s="1"/>
  <c r="A93" i="21" s="1"/>
  <c r="B15" i="10" a="1"/>
  <c r="B15" i="10" s="1"/>
  <c r="A94" i="21" s="1"/>
  <c r="B16" i="10" a="1"/>
  <c r="B16" i="10" s="1"/>
  <c r="B17" i="10" a="1"/>
  <c r="B17" i="10" s="1"/>
  <c r="B18" i="10" a="1"/>
  <c r="B18" i="10" s="1"/>
  <c r="B19" i="10" a="1"/>
  <c r="B19" i="10" s="1"/>
  <c r="B20" i="10" a="1"/>
  <c r="B20" i="10" s="1"/>
  <c r="B21" i="10" a="1"/>
  <c r="B21" i="10" s="1"/>
  <c r="B22" i="10" a="1"/>
  <c r="B22" i="10" s="1"/>
  <c r="A101" i="21" s="1"/>
  <c r="B23" i="10" a="1"/>
  <c r="B23" i="10" s="1"/>
  <c r="A102" i="21" s="1"/>
  <c r="B24" i="10" a="1"/>
  <c r="B24" i="10" s="1"/>
  <c r="B25" i="10" a="1"/>
  <c r="B25" i="10" s="1"/>
  <c r="A51" i="20" s="1"/>
  <c r="B26" i="10" a="1"/>
  <c r="B26" i="10" s="1"/>
  <c r="A52" i="20" s="1"/>
  <c r="B27" i="10" a="1"/>
  <c r="B27" i="10" s="1"/>
  <c r="A53" i="20" s="1"/>
  <c r="B28" i="10" a="1"/>
  <c r="B28" i="10" s="1"/>
  <c r="B28" i="16" s="1"/>
  <c r="D28" i="16" s="1"/>
  <c r="B29" i="10" a="1"/>
  <c r="B29" i="10" s="1"/>
  <c r="B29" i="16" s="1"/>
  <c r="D29" i="16" s="1"/>
  <c r="B30" i="10" a="1"/>
  <c r="B30" i="10" s="1"/>
  <c r="B31" i="10" a="1"/>
  <c r="B31" i="10" s="1"/>
  <c r="B32" i="10" a="1"/>
  <c r="B32" i="10" s="1"/>
  <c r="B33" i="10" a="1"/>
  <c r="B33" i="10" s="1"/>
  <c r="B33" i="18" s="1"/>
  <c r="B34" i="10" a="1"/>
  <c r="B34" i="10" s="1"/>
  <c r="A113" i="21" s="1"/>
  <c r="B35" i="10" a="1"/>
  <c r="B35" i="10" s="1"/>
  <c r="A114" i="21" s="1"/>
  <c r="B36" i="10" a="1"/>
  <c r="B36" i="10" s="1"/>
  <c r="B37" i="10" a="1"/>
  <c r="B37" i="10" s="1"/>
  <c r="B37" i="14" s="1"/>
  <c r="B38" i="10" a="1"/>
  <c r="B38" i="10" s="1"/>
  <c r="A64" i="20" s="1"/>
  <c r="B39" i="10" a="1"/>
  <c r="B39" i="10" s="1"/>
  <c r="B39" i="18" s="1"/>
  <c r="E39" i="18" s="1"/>
  <c r="B40" i="10" a="1"/>
  <c r="B40" i="10" s="1"/>
  <c r="A66" i="20" s="1"/>
  <c r="B41" i="10" a="1"/>
  <c r="B41" i="10" s="1"/>
  <c r="B41" i="14" s="1"/>
  <c r="E41" i="14" s="1"/>
  <c r="B42" i="10" a="1"/>
  <c r="B42" i="10" s="1"/>
  <c r="B42" i="18" s="1"/>
  <c r="E42" i="18" s="1"/>
  <c r="B43" i="10" a="1"/>
  <c r="B43" i="10" s="1"/>
  <c r="B44" i="10" a="1"/>
  <c r="B44" i="10" s="1"/>
  <c r="A70" i="20" s="1"/>
  <c r="B45" i="10" a="1"/>
  <c r="B45" i="10" s="1"/>
  <c r="B45" i="14" s="1"/>
  <c r="E45" i="14" s="1"/>
  <c r="B46" i="10" a="1"/>
  <c r="B46" i="10" s="1"/>
  <c r="A72" i="20" s="1"/>
  <c r="B47" i="10" a="1"/>
  <c r="B47" i="10" s="1"/>
  <c r="B48" i="10" a="1"/>
  <c r="B48" i="10" s="1"/>
  <c r="B49" i="10" a="1"/>
  <c r="B49" i="10" s="1"/>
  <c r="B50" i="10" a="1"/>
  <c r="B50" i="10" s="1"/>
  <c r="B51" i="10" a="1"/>
  <c r="B51" i="10" s="1"/>
  <c r="B52" i="10" a="1"/>
  <c r="B52" i="10" s="1"/>
  <c r="B53" i="10" a="1"/>
  <c r="B53" i="10" s="1"/>
  <c r="B54" i="10" a="1"/>
  <c r="B54" i="10" s="1"/>
  <c r="B55" i="10" a="1"/>
  <c r="B55" i="10" s="1"/>
  <c r="B56" i="10" a="1"/>
  <c r="B56" i="10" s="1"/>
  <c r="B57" i="10" a="1"/>
  <c r="B57" i="10" s="1"/>
  <c r="B58" i="10" a="1"/>
  <c r="B58" i="10" s="1"/>
  <c r="B59" i="10" a="1"/>
  <c r="B59" i="10" s="1"/>
  <c r="B60" i="10" a="1"/>
  <c r="B60" i="10" s="1"/>
  <c r="B61" i="10" a="1"/>
  <c r="B61" i="10" s="1"/>
  <c r="B62" i="10" a="1"/>
  <c r="B62" i="10" s="1"/>
  <c r="B63" i="10" a="1"/>
  <c r="B63" i="10" s="1"/>
  <c r="B64" i="10" a="1"/>
  <c r="B64" i="10" s="1"/>
  <c r="B65" i="10" a="1"/>
  <c r="B65" i="10" s="1"/>
  <c r="B66" i="10" a="1"/>
  <c r="B66" i="10" s="1"/>
  <c r="B67" i="10" a="1"/>
  <c r="B67" i="10" s="1"/>
  <c r="B68" i="10" a="1"/>
  <c r="B68" i="10" s="1"/>
  <c r="B69" i="10" a="1"/>
  <c r="B69" i="10" s="1"/>
  <c r="B70" i="10" a="1"/>
  <c r="B70" i="10" s="1"/>
  <c r="B71" i="10" a="1"/>
  <c r="B71" i="10" s="1"/>
  <c r="B2" i="10" a="1"/>
  <c r="B2" i="10" s="1"/>
  <c r="AA1" i="10"/>
  <c r="Z1" i="10"/>
  <c r="Y1" i="10"/>
  <c r="X1" i="10"/>
  <c r="W1" i="10"/>
  <c r="V1" i="10"/>
  <c r="U1" i="10"/>
  <c r="T1" i="10"/>
  <c r="S1" i="10"/>
  <c r="R1" i="10"/>
  <c r="Q1" i="10"/>
  <c r="P1" i="10"/>
  <c r="O1" i="10"/>
  <c r="N1" i="10"/>
  <c r="M1" i="10"/>
  <c r="L1" i="10"/>
  <c r="K1" i="10"/>
  <c r="J1" i="10"/>
  <c r="Q3" i="28" s="1"/>
  <c r="I1" i="10"/>
  <c r="H1" i="10"/>
  <c r="G1" i="10"/>
  <c r="N3" i="28" s="1"/>
  <c r="F1" i="10"/>
  <c r="M3" i="28" s="1"/>
  <c r="E1" i="10"/>
  <c r="L3" i="28" s="1"/>
  <c r="D1" i="10"/>
  <c r="C1" i="10"/>
  <c r="Y15" i="7"/>
  <c r="M45" i="7"/>
  <c r="B15" i="7"/>
  <c r="C2" i="21" s="1"/>
  <c r="C15" i="7"/>
  <c r="D2" i="21" s="1"/>
  <c r="D15" i="7"/>
  <c r="E2" i="21" s="1"/>
  <c r="E15" i="7"/>
  <c r="F2" i="21" s="1"/>
  <c r="F15" i="7"/>
  <c r="G2" i="21" s="1"/>
  <c r="G15" i="7"/>
  <c r="H2" i="21" s="1"/>
  <c r="H15" i="7"/>
  <c r="I2" i="21" s="1"/>
  <c r="I15" i="7"/>
  <c r="J2" i="21" s="1"/>
  <c r="J15" i="7"/>
  <c r="K2" i="21" s="1"/>
  <c r="K15" i="7"/>
  <c r="L2" i="21" s="1"/>
  <c r="L15" i="7"/>
  <c r="M2" i="21" s="1"/>
  <c r="M15" i="7"/>
  <c r="N2" i="21" s="1"/>
  <c r="N15" i="7"/>
  <c r="O2" i="21" s="1"/>
  <c r="O15" i="7"/>
  <c r="P2" i="21" s="1"/>
  <c r="P15" i="7"/>
  <c r="Q2" i="21" s="1"/>
  <c r="Q15" i="7"/>
  <c r="R15" i="7"/>
  <c r="S15" i="7"/>
  <c r="T15" i="7"/>
  <c r="U15" i="7"/>
  <c r="V15" i="7"/>
  <c r="W15" i="7"/>
  <c r="X15" i="7"/>
  <c r="B42" i="12" l="1"/>
  <c r="D42" i="12"/>
  <c r="B43" i="12"/>
  <c r="D43" i="12"/>
  <c r="B44" i="12"/>
  <c r="D44" i="12"/>
  <c r="B45" i="12"/>
  <c r="D45" i="12"/>
  <c r="B46" i="12"/>
  <c r="D46" i="12"/>
  <c r="B48" i="12"/>
  <c r="D48" i="12"/>
  <c r="B49" i="12"/>
  <c r="D49" i="12"/>
  <c r="B50" i="12"/>
  <c r="D50" i="12"/>
  <c r="B51" i="12"/>
  <c r="D51" i="12"/>
  <c r="B52" i="12"/>
  <c r="D52" i="12"/>
  <c r="B53" i="12"/>
  <c r="D53" i="12"/>
  <c r="B54" i="12"/>
  <c r="D54" i="12"/>
  <c r="B55" i="12"/>
  <c r="D55" i="12"/>
  <c r="B56" i="12"/>
  <c r="D56" i="12"/>
  <c r="B57" i="12"/>
  <c r="D57" i="12"/>
  <c r="B58" i="12"/>
  <c r="D58" i="12"/>
  <c r="B59" i="12"/>
  <c r="D59" i="12"/>
  <c r="B60" i="12"/>
  <c r="D60" i="12"/>
  <c r="B62" i="12"/>
  <c r="D62" i="12"/>
  <c r="B63" i="12"/>
  <c r="D63" i="12"/>
  <c r="B64" i="12"/>
  <c r="D64" i="12"/>
  <c r="B65" i="12"/>
  <c r="D65" i="12"/>
  <c r="B66" i="12"/>
  <c r="D66" i="12"/>
  <c r="B67" i="12"/>
  <c r="D67" i="12"/>
  <c r="B69" i="12"/>
  <c r="D69" i="12"/>
  <c r="B70" i="12"/>
  <c r="D70" i="12"/>
  <c r="A73" i="20"/>
  <c r="B47" i="16"/>
  <c r="AH47" i="16" s="1"/>
  <c r="B47" i="14"/>
  <c r="E47" i="14" s="1"/>
  <c r="B47" i="18"/>
  <c r="E47" i="18" s="1"/>
  <c r="A54" i="21"/>
  <c r="B48" i="16"/>
  <c r="B48" i="14"/>
  <c r="E48" i="14" s="1"/>
  <c r="B48" i="18"/>
  <c r="E48" i="18" s="1"/>
  <c r="A74" i="20"/>
  <c r="A127" i="21"/>
  <c r="B49" i="16"/>
  <c r="A55" i="21"/>
  <c r="A128" i="21"/>
  <c r="A75" i="20"/>
  <c r="B49" i="14"/>
  <c r="E49" i="14" s="1"/>
  <c r="B49" i="18"/>
  <c r="E49" i="18" s="1"/>
  <c r="B50" i="14"/>
  <c r="E50" i="14" s="1"/>
  <c r="B50" i="16"/>
  <c r="A56" i="21"/>
  <c r="A129" i="21"/>
  <c r="B50" i="18"/>
  <c r="E50" i="18" s="1"/>
  <c r="A76" i="20"/>
  <c r="B51" i="18"/>
  <c r="E51" i="18" s="1"/>
  <c r="A57" i="21"/>
  <c r="A130" i="21"/>
  <c r="B51" i="16"/>
  <c r="A77" i="20"/>
  <c r="B51" i="14"/>
  <c r="E51" i="14" s="1"/>
  <c r="B52" i="14"/>
  <c r="E52" i="14" s="1"/>
  <c r="A131" i="21"/>
  <c r="B52" i="16"/>
  <c r="B52" i="18"/>
  <c r="E52" i="18" s="1"/>
  <c r="A78" i="20"/>
  <c r="A58" i="21"/>
  <c r="B53" i="16"/>
  <c r="B53" i="18"/>
  <c r="E53" i="18" s="1"/>
  <c r="A59" i="21"/>
  <c r="A132" i="21"/>
  <c r="B53" i="14"/>
  <c r="E53" i="14" s="1"/>
  <c r="A79" i="20"/>
  <c r="B54" i="16"/>
  <c r="B54" i="18"/>
  <c r="E54" i="18" s="1"/>
  <c r="A80" i="20"/>
  <c r="B54" i="14"/>
  <c r="E54" i="14" s="1"/>
  <c r="A133" i="21"/>
  <c r="A60" i="21"/>
  <c r="B55" i="14"/>
  <c r="E55" i="14" s="1"/>
  <c r="B55" i="18"/>
  <c r="E55" i="18" s="1"/>
  <c r="B55" i="16"/>
  <c r="A81" i="20"/>
  <c r="A134" i="21"/>
  <c r="A61" i="21"/>
  <c r="B56" i="16"/>
  <c r="B56" i="14"/>
  <c r="E56" i="14" s="1"/>
  <c r="A135" i="21"/>
  <c r="B56" i="18"/>
  <c r="E56" i="18" s="1"/>
  <c r="A82" i="20"/>
  <c r="A62" i="21"/>
  <c r="B57" i="18"/>
  <c r="E57" i="18" s="1"/>
  <c r="A136" i="21"/>
  <c r="B57" i="14"/>
  <c r="E57" i="14" s="1"/>
  <c r="A83" i="20"/>
  <c r="B57" i="16"/>
  <c r="A63" i="21"/>
  <c r="A137" i="21"/>
  <c r="A64" i="21"/>
  <c r="A84" i="20"/>
  <c r="B58" i="14"/>
  <c r="E58" i="14" s="1"/>
  <c r="B58" i="18"/>
  <c r="E58" i="18" s="1"/>
  <c r="B58" i="16"/>
  <c r="A85" i="20"/>
  <c r="B59" i="16"/>
  <c r="B59" i="18"/>
  <c r="E59" i="18" s="1"/>
  <c r="B59" i="14"/>
  <c r="E59" i="14" s="1"/>
  <c r="A65" i="21"/>
  <c r="A138" i="21"/>
  <c r="B60" i="14"/>
  <c r="E60" i="14" s="1"/>
  <c r="B60" i="18"/>
  <c r="E60" i="18" s="1"/>
  <c r="A86" i="20"/>
  <c r="A66" i="21"/>
  <c r="A139" i="21"/>
  <c r="B60" i="16"/>
  <c r="A140" i="21"/>
  <c r="B61" i="14"/>
  <c r="E61" i="14" s="1"/>
  <c r="A67" i="21"/>
  <c r="B61" i="16"/>
  <c r="B61" i="18"/>
  <c r="E61" i="18" s="1"/>
  <c r="A87" i="20"/>
  <c r="B62" i="18"/>
  <c r="E62" i="18" s="1"/>
  <c r="B62" i="14"/>
  <c r="E62" i="14" s="1"/>
  <c r="A88" i="20"/>
  <c r="A68" i="21"/>
  <c r="B62" i="16"/>
  <c r="A141" i="21"/>
  <c r="B63" i="16"/>
  <c r="B63" i="18"/>
  <c r="E63" i="18" s="1"/>
  <c r="A89" i="20"/>
  <c r="B63" i="14"/>
  <c r="E63" i="14" s="1"/>
  <c r="A69" i="21"/>
  <c r="A142" i="21"/>
  <c r="B64" i="14"/>
  <c r="E64" i="14" s="1"/>
  <c r="A90" i="20"/>
  <c r="B64" i="16"/>
  <c r="B64" i="18"/>
  <c r="E64" i="18" s="1"/>
  <c r="A143" i="21"/>
  <c r="A70" i="21"/>
  <c r="A144" i="21"/>
  <c r="B65" i="16"/>
  <c r="B65" i="18"/>
  <c r="E65" i="18" s="1"/>
  <c r="B65" i="14"/>
  <c r="E65" i="14" s="1"/>
  <c r="A71" i="21"/>
  <c r="A91" i="20"/>
  <c r="B66" i="14"/>
  <c r="E66" i="14" s="1"/>
  <c r="A145" i="21"/>
  <c r="B66" i="16"/>
  <c r="A72" i="21"/>
  <c r="A92" i="20"/>
  <c r="B66" i="18"/>
  <c r="E66" i="18" s="1"/>
  <c r="B67" i="18"/>
  <c r="E67" i="18" s="1"/>
  <c r="A146" i="21"/>
  <c r="B67" i="16"/>
  <c r="A93" i="20"/>
  <c r="A73" i="21"/>
  <c r="B67" i="14"/>
  <c r="E67" i="14" s="1"/>
  <c r="B68" i="18"/>
  <c r="E68" i="18" s="1"/>
  <c r="A94" i="20"/>
  <c r="A147" i="21"/>
  <c r="B68" i="14"/>
  <c r="E68" i="14" s="1"/>
  <c r="A74" i="21"/>
  <c r="B68" i="16"/>
  <c r="B69" i="18"/>
  <c r="E69" i="18" s="1"/>
  <c r="A95" i="20"/>
  <c r="A75" i="21"/>
  <c r="B69" i="16"/>
  <c r="B69" i="14"/>
  <c r="E69" i="14" s="1"/>
  <c r="A148" i="21"/>
  <c r="B70" i="18"/>
  <c r="E70" i="18" s="1"/>
  <c r="B70" i="14"/>
  <c r="E70" i="14" s="1"/>
  <c r="A76" i="21"/>
  <c r="A96" i="20"/>
  <c r="A149" i="21"/>
  <c r="B70" i="16"/>
  <c r="AA36" i="10" a="1"/>
  <c r="AA36" i="10" s="1"/>
  <c r="AC36" i="16" s="1"/>
  <c r="AE3" i="27"/>
  <c r="AE31" i="27" s="1"/>
  <c r="AH3" i="28"/>
  <c r="Z18" i="10" a="1"/>
  <c r="Z18" i="10" s="1"/>
  <c r="AB18" i="16" s="1"/>
  <c r="AG3" i="28"/>
  <c r="AD3" i="27"/>
  <c r="AD31" i="27" s="1"/>
  <c r="Y63" i="10" a="1"/>
  <c r="Y63" i="10" s="1"/>
  <c r="AA63" i="16" s="1"/>
  <c r="AF3" i="28"/>
  <c r="AC3" i="27"/>
  <c r="AC31" i="27" s="1"/>
  <c r="X19" i="10" a="1"/>
  <c r="X19" i="10" s="1"/>
  <c r="Z19" i="16" s="1"/>
  <c r="AB3" i="27"/>
  <c r="AB31" i="27" s="1"/>
  <c r="AE3" i="28"/>
  <c r="Y1" i="16"/>
  <c r="AD3" i="28"/>
  <c r="AA3" i="27"/>
  <c r="AA31" i="27" s="1"/>
  <c r="V47" i="10" a="1"/>
  <c r="V47" i="10" s="1"/>
  <c r="X47" i="16" s="1"/>
  <c r="AC3" i="28"/>
  <c r="Z3" i="27"/>
  <c r="Z31" i="27" s="1"/>
  <c r="U36" i="10" a="1"/>
  <c r="U36" i="10" s="1"/>
  <c r="W36" i="16" s="1"/>
  <c r="AB3" i="28"/>
  <c r="Y3" i="27"/>
  <c r="Y31" i="27" s="1"/>
  <c r="AA3" i="28"/>
  <c r="X3" i="27"/>
  <c r="X31" i="27" s="1"/>
  <c r="S18" i="10" a="1"/>
  <c r="S18" i="10" s="1"/>
  <c r="U18" i="16" s="1"/>
  <c r="W3" i="27"/>
  <c r="W31" i="27" s="1"/>
  <c r="Z3" i="28"/>
  <c r="R30" i="10" a="1"/>
  <c r="R30" i="10" s="1"/>
  <c r="T30" i="16" s="1"/>
  <c r="Y3" i="28"/>
  <c r="V3" i="27"/>
  <c r="V31" i="27" s="1"/>
  <c r="S1" i="16"/>
  <c r="U3" i="27"/>
  <c r="U31" i="27" s="1"/>
  <c r="X3" i="28"/>
  <c r="P3" i="10" a="1"/>
  <c r="P3" i="10" s="1"/>
  <c r="R3" i="16" s="1"/>
  <c r="W3" i="28"/>
  <c r="T3" i="27"/>
  <c r="T31" i="27" s="1"/>
  <c r="Q1" i="16"/>
  <c r="S3" i="27"/>
  <c r="S31" i="27" s="1"/>
  <c r="V3" i="28"/>
  <c r="N68" i="10" a="1"/>
  <c r="N68" i="10" s="1"/>
  <c r="P68" i="16" s="1"/>
  <c r="R3" i="27"/>
  <c r="R31" i="27" s="1"/>
  <c r="U3" i="28"/>
  <c r="M3" i="10" a="1"/>
  <c r="M3" i="10" s="1"/>
  <c r="O3" i="16" s="1"/>
  <c r="Q3" i="27"/>
  <c r="Q31" i="27" s="1"/>
  <c r="T3" i="28"/>
  <c r="P3" i="27"/>
  <c r="S3" i="28"/>
  <c r="K3" i="10" a="1"/>
  <c r="K3" i="10" s="1"/>
  <c r="M3" i="16" s="1"/>
  <c r="R3" i="28"/>
  <c r="O3" i="27"/>
  <c r="Q13" i="28"/>
  <c r="O45" i="28" s="1"/>
  <c r="Q5" i="28"/>
  <c r="O37" i="28" s="1"/>
  <c r="Q23" i="28"/>
  <c r="O55" i="28" s="1"/>
  <c r="Q18" i="28"/>
  <c r="O50" i="28" s="1"/>
  <c r="Q14" i="28"/>
  <c r="O46" i="28" s="1"/>
  <c r="Q17" i="28"/>
  <c r="O49" i="28" s="1"/>
  <c r="Q10" i="28"/>
  <c r="O42" i="28" s="1"/>
  <c r="Q15" i="28"/>
  <c r="O47" i="28" s="1"/>
  <c r="Q7" i="28"/>
  <c r="O39" i="28" s="1"/>
  <c r="Q9" i="28"/>
  <c r="O41" i="28" s="1"/>
  <c r="Q21" i="28"/>
  <c r="O53" i="28" s="1"/>
  <c r="Q22" i="28"/>
  <c r="O54" i="28" s="1"/>
  <c r="Q12" i="28"/>
  <c r="O44" i="28" s="1"/>
  <c r="Q8" i="28"/>
  <c r="O40" i="28" s="1"/>
  <c r="Q11" i="28"/>
  <c r="O43" i="28" s="1"/>
  <c r="Q6" i="28"/>
  <c r="O38" i="28" s="1"/>
  <c r="Q19" i="28"/>
  <c r="O51" i="28" s="1"/>
  <c r="Q16" i="28"/>
  <c r="O48" i="28" s="1"/>
  <c r="Q20" i="28"/>
  <c r="O52" i="28" s="1"/>
  <c r="O35" i="28"/>
  <c r="O36" i="28" s="1"/>
  <c r="M3" i="27"/>
  <c r="P3" i="28"/>
  <c r="Y49" i="7"/>
  <c r="Y47" i="7" s="1"/>
  <c r="Z2" i="21"/>
  <c r="Z1" i="21" s="1"/>
  <c r="Y13" i="7"/>
  <c r="Q49" i="7"/>
  <c r="R2" i="21"/>
  <c r="R1" i="21" s="1"/>
  <c r="Q13" i="7"/>
  <c r="R49" i="7"/>
  <c r="S2" i="21"/>
  <c r="S1" i="21" s="1"/>
  <c r="R13" i="7"/>
  <c r="S49" i="7"/>
  <c r="S13" i="7"/>
  <c r="T2" i="21"/>
  <c r="T1" i="21" s="1"/>
  <c r="T49" i="7"/>
  <c r="U2" i="21"/>
  <c r="U1" i="21" s="1"/>
  <c r="T13" i="7"/>
  <c r="U49" i="7"/>
  <c r="U13" i="7"/>
  <c r="V2" i="21"/>
  <c r="V1" i="21" s="1"/>
  <c r="V49" i="7"/>
  <c r="V13" i="7"/>
  <c r="W2" i="21"/>
  <c r="W1" i="21" s="1"/>
  <c r="W49" i="7"/>
  <c r="W13" i="7"/>
  <c r="X2" i="21"/>
  <c r="X1" i="21" s="1"/>
  <c r="X49" i="7"/>
  <c r="X13" i="7"/>
  <c r="Y2" i="21"/>
  <c r="Y1" i="21" s="1"/>
  <c r="L35" i="28"/>
  <c r="N14" i="28"/>
  <c r="L46" i="28" s="1"/>
  <c r="N23" i="28"/>
  <c r="L55" i="28" s="1"/>
  <c r="N12" i="28"/>
  <c r="L44" i="28" s="1"/>
  <c r="N9" i="28"/>
  <c r="L41" i="28" s="1"/>
  <c r="N17" i="28"/>
  <c r="L49" i="28" s="1"/>
  <c r="N16" i="28"/>
  <c r="L48" i="28" s="1"/>
  <c r="N22" i="28"/>
  <c r="L54" i="28" s="1"/>
  <c r="N20" i="28"/>
  <c r="L52" i="28" s="1"/>
  <c r="N15" i="28"/>
  <c r="L47" i="28" s="1"/>
  <c r="N11" i="28"/>
  <c r="L43" i="28" s="1"/>
  <c r="N21" i="28"/>
  <c r="L53" i="28" s="1"/>
  <c r="N5" i="28"/>
  <c r="N6" i="28" s="1"/>
  <c r="N8" i="28"/>
  <c r="L40" i="28" s="1"/>
  <c r="N13" i="28"/>
  <c r="L45" i="28" s="1"/>
  <c r="N10" i="28"/>
  <c r="L42" i="28" s="1"/>
  <c r="N18" i="28"/>
  <c r="L50" i="28" s="1"/>
  <c r="N19" i="28"/>
  <c r="L51" i="28" s="1"/>
  <c r="K35" i="28"/>
  <c r="M18" i="28"/>
  <c r="K50" i="28" s="1"/>
  <c r="M5" i="28"/>
  <c r="M21" i="28"/>
  <c r="K53" i="28" s="1"/>
  <c r="M22" i="28"/>
  <c r="K54" i="28" s="1"/>
  <c r="M20" i="28"/>
  <c r="K52" i="28" s="1"/>
  <c r="M23" i="28"/>
  <c r="K55" i="28" s="1"/>
  <c r="M6" i="28"/>
  <c r="M7" i="28" s="1"/>
  <c r="M8" i="28"/>
  <c r="K40" i="28" s="1"/>
  <c r="M9" i="28"/>
  <c r="K41" i="28" s="1"/>
  <c r="M10" i="28"/>
  <c r="K42" i="28" s="1"/>
  <c r="M11" i="28"/>
  <c r="K43" i="28" s="1"/>
  <c r="M12" i="28"/>
  <c r="K44" i="28" s="1"/>
  <c r="M13" i="28"/>
  <c r="K45" i="28" s="1"/>
  <c r="M14" i="28"/>
  <c r="K46" i="28" s="1"/>
  <c r="M16" i="28"/>
  <c r="K48" i="28" s="1"/>
  <c r="M15" i="28"/>
  <c r="K47" i="28" s="1"/>
  <c r="M19" i="28"/>
  <c r="K51" i="28" s="1"/>
  <c r="M17" i="28"/>
  <c r="K49" i="28" s="1"/>
  <c r="J35" i="28"/>
  <c r="L13" i="28"/>
  <c r="J45" i="28" s="1"/>
  <c r="L8" i="28"/>
  <c r="J40" i="28" s="1"/>
  <c r="L23" i="28"/>
  <c r="J55" i="28" s="1"/>
  <c r="L22" i="28"/>
  <c r="J54" i="28" s="1"/>
  <c r="L11" i="28"/>
  <c r="J43" i="28" s="1"/>
  <c r="L15" i="28"/>
  <c r="J47" i="28" s="1"/>
  <c r="L21" i="28"/>
  <c r="J53" i="28" s="1"/>
  <c r="L16" i="28"/>
  <c r="J48" i="28" s="1"/>
  <c r="L10" i="28"/>
  <c r="J42" i="28" s="1"/>
  <c r="L20" i="28"/>
  <c r="J52" i="28" s="1"/>
  <c r="L14" i="28"/>
  <c r="J46" i="28" s="1"/>
  <c r="L5" i="28"/>
  <c r="L6" i="28" s="1"/>
  <c r="L18" i="28"/>
  <c r="J50" i="28" s="1"/>
  <c r="L19" i="28"/>
  <c r="J51" i="28" s="1"/>
  <c r="L12" i="28"/>
  <c r="J44" i="28" s="1"/>
  <c r="L9" i="28"/>
  <c r="J41" i="28" s="1"/>
  <c r="L17" i="28"/>
  <c r="J49" i="28" s="1"/>
  <c r="G38" i="28"/>
  <c r="I7" i="28"/>
  <c r="G39" i="28" s="1"/>
  <c r="L3" i="27"/>
  <c r="O3" i="28"/>
  <c r="L37" i="28"/>
  <c r="L36" i="28"/>
  <c r="K38" i="28"/>
  <c r="K36" i="28"/>
  <c r="K37" i="28"/>
  <c r="J37" i="28"/>
  <c r="J36" i="28"/>
  <c r="H3" i="27"/>
  <c r="K3" i="28"/>
  <c r="G3" i="27"/>
  <c r="J3" i="28"/>
  <c r="G32" i="27"/>
  <c r="G33" i="27"/>
  <c r="G34" i="27"/>
  <c r="H32" i="27"/>
  <c r="H33" i="27"/>
  <c r="H34" i="27"/>
  <c r="E11" i="10" a="1"/>
  <c r="E11" i="10" s="1"/>
  <c r="G11" i="16" s="1"/>
  <c r="I3" i="27"/>
  <c r="F63" i="10" a="1"/>
  <c r="F63" i="10" s="1"/>
  <c r="H63" i="16" s="1"/>
  <c r="J3" i="27"/>
  <c r="G4" i="10" a="1"/>
  <c r="G4" i="10" s="1"/>
  <c r="I4" i="16" s="1"/>
  <c r="K3" i="27"/>
  <c r="J5" i="10" a="1"/>
  <c r="J5" i="10" s="1"/>
  <c r="L5" i="16" s="1"/>
  <c r="N3" i="27"/>
  <c r="I3" i="10" a="1"/>
  <c r="I3" i="10" s="1"/>
  <c r="K3" i="16" s="1"/>
  <c r="H6" i="10" a="1"/>
  <c r="H6" i="10" s="1"/>
  <c r="J6" i="16" s="1"/>
  <c r="P49" i="7"/>
  <c r="P13" i="7"/>
  <c r="Q1" i="21"/>
  <c r="A50" i="24"/>
  <c r="AJ47" i="16"/>
  <c r="AK47" i="16"/>
  <c r="AL47" i="16"/>
  <c r="D41" i="12"/>
  <c r="P73" i="20"/>
  <c r="Q73" i="20"/>
  <c r="R73" i="20"/>
  <c r="S73" i="20"/>
  <c r="H73" i="20"/>
  <c r="T73" i="20"/>
  <c r="I73" i="20"/>
  <c r="U73" i="20"/>
  <c r="J73" i="20"/>
  <c r="V73" i="20"/>
  <c r="K73" i="20"/>
  <c r="W73" i="20"/>
  <c r="L73" i="20"/>
  <c r="X73" i="20"/>
  <c r="M73" i="20"/>
  <c r="Y73" i="20"/>
  <c r="N73" i="20"/>
  <c r="Z73" i="20"/>
  <c r="O73" i="20"/>
  <c r="D40" i="12"/>
  <c r="D47" i="16"/>
  <c r="D39" i="12"/>
  <c r="D38" i="12"/>
  <c r="A126" i="21"/>
  <c r="A53" i="21"/>
  <c r="D47" i="12"/>
  <c r="I72" i="20"/>
  <c r="Q72" i="20"/>
  <c r="Y72" i="20"/>
  <c r="J72" i="20"/>
  <c r="R72" i="20"/>
  <c r="Z72" i="20"/>
  <c r="H72" i="20"/>
  <c r="K72" i="20"/>
  <c r="S72" i="20"/>
  <c r="O72" i="20"/>
  <c r="X72" i="20"/>
  <c r="L72" i="20"/>
  <c r="T72" i="20"/>
  <c r="M72" i="20"/>
  <c r="U72" i="20"/>
  <c r="W72" i="20"/>
  <c r="N72" i="20"/>
  <c r="V72" i="20"/>
  <c r="P72" i="20"/>
  <c r="K66" i="20"/>
  <c r="S66" i="20"/>
  <c r="L66" i="20"/>
  <c r="T66" i="20"/>
  <c r="I66" i="20"/>
  <c r="J66" i="20"/>
  <c r="M66" i="20"/>
  <c r="U66" i="20"/>
  <c r="N66" i="20"/>
  <c r="V66" i="20"/>
  <c r="Q66" i="20"/>
  <c r="Z66" i="20"/>
  <c r="O66" i="20"/>
  <c r="W66" i="20"/>
  <c r="R66" i="20"/>
  <c r="H66" i="20"/>
  <c r="P66" i="20"/>
  <c r="X66" i="20"/>
  <c r="Y66" i="20"/>
  <c r="I64" i="20"/>
  <c r="Q64" i="20"/>
  <c r="Y64" i="20"/>
  <c r="J64" i="20"/>
  <c r="R64" i="20"/>
  <c r="Z64" i="20"/>
  <c r="K64" i="20"/>
  <c r="S64" i="20"/>
  <c r="W64" i="20"/>
  <c r="X64" i="20"/>
  <c r="L64" i="20"/>
  <c r="T64" i="20"/>
  <c r="O64" i="20"/>
  <c r="P64" i="20"/>
  <c r="M64" i="20"/>
  <c r="U64" i="20"/>
  <c r="H64" i="20"/>
  <c r="N64" i="20"/>
  <c r="V64" i="20"/>
  <c r="O70" i="20"/>
  <c r="W70" i="20"/>
  <c r="V70" i="20"/>
  <c r="H70" i="20"/>
  <c r="P70" i="20"/>
  <c r="X70" i="20"/>
  <c r="I70" i="20"/>
  <c r="Q70" i="20"/>
  <c r="Y70" i="20"/>
  <c r="M70" i="20"/>
  <c r="N70" i="20"/>
  <c r="J70" i="20"/>
  <c r="R70" i="20"/>
  <c r="Z70" i="20"/>
  <c r="K70" i="20"/>
  <c r="S70" i="20"/>
  <c r="L70" i="20"/>
  <c r="T70" i="20"/>
  <c r="U70" i="20"/>
  <c r="A49" i="21"/>
  <c r="A122" i="21"/>
  <c r="B40" i="16"/>
  <c r="B40" i="18"/>
  <c r="E40" i="18" s="1"/>
  <c r="A47" i="21"/>
  <c r="A120" i="21"/>
  <c r="B27" i="14"/>
  <c r="B46" i="14"/>
  <c r="E46" i="14" s="1"/>
  <c r="B39" i="16"/>
  <c r="B29" i="18"/>
  <c r="B45" i="18"/>
  <c r="E45" i="18" s="1"/>
  <c r="A65" i="20"/>
  <c r="B38" i="14"/>
  <c r="E38" i="14" s="1"/>
  <c r="B43" i="14"/>
  <c r="E43" i="14" s="1"/>
  <c r="B46" i="16"/>
  <c r="B38" i="16"/>
  <c r="A52" i="21"/>
  <c r="A125" i="21"/>
  <c r="A46" i="21"/>
  <c r="A119" i="21"/>
  <c r="B28" i="14"/>
  <c r="B40" i="14"/>
  <c r="E40" i="14" s="1"/>
  <c r="B45" i="16"/>
  <c r="B33" i="16"/>
  <c r="D33" i="16" s="1"/>
  <c r="A71" i="20"/>
  <c r="A48" i="21"/>
  <c r="A121" i="21"/>
  <c r="A45" i="21"/>
  <c r="A118" i="21"/>
  <c r="B44" i="16"/>
  <c r="B44" i="18"/>
  <c r="E44" i="18" s="1"/>
  <c r="A124" i="21"/>
  <c r="A51" i="21"/>
  <c r="A117" i="21"/>
  <c r="A44" i="21"/>
  <c r="B42" i="14"/>
  <c r="E42" i="14" s="1"/>
  <c r="B43" i="16"/>
  <c r="B41" i="18"/>
  <c r="E41" i="18" s="1"/>
  <c r="A69" i="20"/>
  <c r="A123" i="21"/>
  <c r="A50" i="21"/>
  <c r="B42" i="16"/>
  <c r="B27" i="16"/>
  <c r="D27" i="16" s="1"/>
  <c r="B27" i="18"/>
  <c r="B38" i="18"/>
  <c r="E38" i="18" s="1"/>
  <c r="B46" i="18"/>
  <c r="E46" i="18" s="1"/>
  <c r="A68" i="20"/>
  <c r="B39" i="14"/>
  <c r="E39" i="14" s="1"/>
  <c r="B44" i="14"/>
  <c r="E44" i="14" s="1"/>
  <c r="B41" i="16"/>
  <c r="B43" i="18"/>
  <c r="E43" i="18" s="1"/>
  <c r="A67" i="20"/>
  <c r="J52" i="20"/>
  <c r="R52" i="20"/>
  <c r="Z52" i="20"/>
  <c r="Q52" i="20"/>
  <c r="K52" i="20"/>
  <c r="S52" i="20"/>
  <c r="L52" i="20"/>
  <c r="T52" i="20"/>
  <c r="Y52" i="20"/>
  <c r="M52" i="20"/>
  <c r="U52" i="20"/>
  <c r="N52" i="20"/>
  <c r="V52" i="20"/>
  <c r="O52" i="20"/>
  <c r="W52" i="20"/>
  <c r="I52" i="20"/>
  <c r="H52" i="20"/>
  <c r="P52" i="20"/>
  <c r="X52" i="20"/>
  <c r="A38" i="21"/>
  <c r="A111" i="21"/>
  <c r="A58" i="20"/>
  <c r="B32" i="18"/>
  <c r="B32" i="16"/>
  <c r="D32" i="16" s="1"/>
  <c r="B32" i="14"/>
  <c r="O53" i="20"/>
  <c r="W53" i="20"/>
  <c r="V53" i="20"/>
  <c r="H53" i="20"/>
  <c r="P53" i="20"/>
  <c r="X53" i="20"/>
  <c r="N53" i="20"/>
  <c r="I53" i="20"/>
  <c r="Q53" i="20"/>
  <c r="Y53" i="20"/>
  <c r="J53" i="20"/>
  <c r="R53" i="20"/>
  <c r="Z53" i="20"/>
  <c r="K53" i="20"/>
  <c r="S53" i="20"/>
  <c r="L53" i="20"/>
  <c r="T53" i="20"/>
  <c r="M53" i="20"/>
  <c r="U53" i="20"/>
  <c r="M51" i="20"/>
  <c r="U51" i="20"/>
  <c r="L51" i="20"/>
  <c r="N51" i="20"/>
  <c r="V51" i="20"/>
  <c r="O51" i="20"/>
  <c r="W51" i="20"/>
  <c r="H51" i="20"/>
  <c r="P51" i="20"/>
  <c r="X51" i="20"/>
  <c r="I51" i="20"/>
  <c r="Q51" i="20"/>
  <c r="Y51" i="20"/>
  <c r="J51" i="20"/>
  <c r="R51" i="20"/>
  <c r="Z51" i="20"/>
  <c r="T51" i="20"/>
  <c r="K51" i="20"/>
  <c r="S51" i="20"/>
  <c r="B18" i="14"/>
  <c r="A97" i="21"/>
  <c r="B24" i="18"/>
  <c r="A103" i="21"/>
  <c r="A109" i="21"/>
  <c r="A36" i="21"/>
  <c r="A108" i="21"/>
  <c r="A35" i="21"/>
  <c r="B5" i="18"/>
  <c r="A84" i="21"/>
  <c r="A28" i="20"/>
  <c r="W28" i="20" s="1"/>
  <c r="A81" i="21"/>
  <c r="A39" i="21"/>
  <c r="A112" i="21"/>
  <c r="A107" i="21"/>
  <c r="A34" i="21"/>
  <c r="B12" i="16"/>
  <c r="D12" i="16" s="1"/>
  <c r="A91" i="21"/>
  <c r="B4" i="16"/>
  <c r="D4" i="16" s="1"/>
  <c r="A83" i="21"/>
  <c r="B28" i="18"/>
  <c r="A116" i="21"/>
  <c r="A43" i="21"/>
  <c r="A37" i="21"/>
  <c r="A110" i="21"/>
  <c r="B26" i="16"/>
  <c r="D26" i="16" s="1"/>
  <c r="B31" i="18"/>
  <c r="B13" i="18"/>
  <c r="A92" i="21"/>
  <c r="B25" i="16"/>
  <c r="D25" i="16" s="1"/>
  <c r="B37" i="18"/>
  <c r="A106" i="21"/>
  <c r="A33" i="21"/>
  <c r="B19" i="16"/>
  <c r="D19" i="16" s="1"/>
  <c r="A98" i="21"/>
  <c r="B11" i="16"/>
  <c r="D11" i="16" s="1"/>
  <c r="A90" i="21"/>
  <c r="B3" i="16"/>
  <c r="D3" i="16" s="1"/>
  <c r="A82" i="21"/>
  <c r="D3" i="12"/>
  <c r="D4" i="12" s="1"/>
  <c r="D5" i="12" s="1"/>
  <c r="D6" i="12" s="1"/>
  <c r="D7" i="12" s="1"/>
  <c r="D8" i="12" s="1"/>
  <c r="D9" i="12" s="1"/>
  <c r="D10" i="12" s="1"/>
  <c r="D11" i="12" s="1"/>
  <c r="D12" i="12" s="1"/>
  <c r="D13" i="12" s="1"/>
  <c r="D14" i="12" s="1"/>
  <c r="D15" i="12" s="1"/>
  <c r="D16" i="12" s="1"/>
  <c r="D17" i="12" s="1"/>
  <c r="D18" i="12" s="1"/>
  <c r="D19" i="12" s="1"/>
  <c r="D20" i="12" s="1"/>
  <c r="D21" i="12" s="1"/>
  <c r="D22" i="12" s="1"/>
  <c r="D23" i="12" s="1"/>
  <c r="D24" i="12" s="1"/>
  <c r="D25" i="12" s="1"/>
  <c r="D26" i="12" s="1"/>
  <c r="D27" i="12" s="1"/>
  <c r="D28" i="12" s="1"/>
  <c r="D29" i="12" s="1"/>
  <c r="D30" i="12" s="1"/>
  <c r="D31" i="12" s="1"/>
  <c r="D32" i="12" s="1"/>
  <c r="D33" i="12" s="1"/>
  <c r="D34" i="12" s="1"/>
  <c r="D35" i="12" s="1"/>
  <c r="D36" i="12" s="1"/>
  <c r="D37" i="12" s="1"/>
  <c r="B25" i="14"/>
  <c r="B29" i="14"/>
  <c r="B33" i="14"/>
  <c r="B31" i="16"/>
  <c r="D31" i="16" s="1"/>
  <c r="A63" i="20"/>
  <c r="A105" i="21"/>
  <c r="A32" i="21"/>
  <c r="B30" i="16"/>
  <c r="D30" i="16" s="1"/>
  <c r="B25" i="18"/>
  <c r="A59" i="20"/>
  <c r="B10" i="14"/>
  <c r="A89" i="21"/>
  <c r="B17" i="16"/>
  <c r="D17" i="16" s="1"/>
  <c r="A96" i="21"/>
  <c r="B9" i="16"/>
  <c r="D9" i="16" s="1"/>
  <c r="A88" i="21"/>
  <c r="B26" i="14"/>
  <c r="B30" i="14"/>
  <c r="B16" i="18"/>
  <c r="A95" i="21"/>
  <c r="B8" i="18"/>
  <c r="A87" i="21"/>
  <c r="B26" i="18"/>
  <c r="B30" i="18"/>
  <c r="A57" i="20"/>
  <c r="A31" i="21"/>
  <c r="A104" i="21"/>
  <c r="B31" i="14"/>
  <c r="A56" i="20"/>
  <c r="B37" i="16"/>
  <c r="A55" i="20"/>
  <c r="B21" i="18"/>
  <c r="A100" i="21"/>
  <c r="A54" i="20"/>
  <c r="B36" i="18"/>
  <c r="A115" i="21"/>
  <c r="B20" i="16"/>
  <c r="D20" i="16" s="1"/>
  <c r="A99" i="21"/>
  <c r="A62" i="20"/>
  <c r="B36" i="14"/>
  <c r="A42" i="21"/>
  <c r="B36" i="16"/>
  <c r="A41" i="21"/>
  <c r="A40" i="21"/>
  <c r="N28" i="20"/>
  <c r="H28" i="20"/>
  <c r="J28" i="20"/>
  <c r="R28" i="20"/>
  <c r="Z28" i="20"/>
  <c r="K28" i="20"/>
  <c r="L28" i="20"/>
  <c r="A29" i="21"/>
  <c r="A21" i="21"/>
  <c r="A13" i="21"/>
  <c r="B4" i="14"/>
  <c r="B8" i="14"/>
  <c r="B12" i="14"/>
  <c r="B16" i="14"/>
  <c r="B20" i="14"/>
  <c r="B24" i="14"/>
  <c r="B21" i="16"/>
  <c r="D21" i="16" s="1"/>
  <c r="B13" i="16"/>
  <c r="D13" i="16" s="1"/>
  <c r="B5" i="16"/>
  <c r="D5" i="16" s="1"/>
  <c r="B9" i="18"/>
  <c r="B17" i="18"/>
  <c r="A46" i="20"/>
  <c r="A38" i="20"/>
  <c r="A30" i="20"/>
  <c r="A28" i="21"/>
  <c r="A20" i="21"/>
  <c r="A12" i="21"/>
  <c r="A45" i="20"/>
  <c r="A37" i="20"/>
  <c r="A29" i="20"/>
  <c r="A27" i="21"/>
  <c r="A19" i="21"/>
  <c r="A11" i="21"/>
  <c r="B5" i="14"/>
  <c r="B9" i="14"/>
  <c r="B13" i="14"/>
  <c r="B17" i="14"/>
  <c r="B21" i="14"/>
  <c r="B2" i="18"/>
  <c r="B6" i="18"/>
  <c r="B10" i="18"/>
  <c r="B14" i="18"/>
  <c r="B18" i="18"/>
  <c r="B22" i="18"/>
  <c r="A44" i="20"/>
  <c r="A36" i="20"/>
  <c r="A8" i="21"/>
  <c r="A26" i="21"/>
  <c r="A18" i="21"/>
  <c r="A10" i="21"/>
  <c r="B18" i="16"/>
  <c r="D18" i="16" s="1"/>
  <c r="B10" i="16"/>
  <c r="D10" i="16" s="1"/>
  <c r="A43" i="20"/>
  <c r="A35" i="20"/>
  <c r="A25" i="21"/>
  <c r="A17" i="21"/>
  <c r="A9" i="21"/>
  <c r="B2" i="14"/>
  <c r="B6" i="14"/>
  <c r="B14" i="14"/>
  <c r="B22" i="14"/>
  <c r="B3" i="18"/>
  <c r="B7" i="18"/>
  <c r="B11" i="18"/>
  <c r="B15" i="18"/>
  <c r="B19" i="18"/>
  <c r="B23" i="18"/>
  <c r="A50" i="20"/>
  <c r="A42" i="20"/>
  <c r="A34" i="20"/>
  <c r="A24" i="21"/>
  <c r="A16" i="21"/>
  <c r="B24" i="16"/>
  <c r="D24" i="16" s="1"/>
  <c r="B16" i="16"/>
  <c r="D16" i="16" s="1"/>
  <c r="B8" i="16"/>
  <c r="D8" i="16" s="1"/>
  <c r="A49" i="20"/>
  <c r="A41" i="20"/>
  <c r="A33" i="20"/>
  <c r="A23" i="21"/>
  <c r="A15" i="21"/>
  <c r="B3" i="14"/>
  <c r="B7" i="14"/>
  <c r="B11" i="14"/>
  <c r="B15" i="14"/>
  <c r="B19" i="14"/>
  <c r="B23" i="14"/>
  <c r="B23" i="16"/>
  <c r="D23" i="16" s="1"/>
  <c r="B15" i="16"/>
  <c r="D15" i="16" s="1"/>
  <c r="B7" i="16"/>
  <c r="D7" i="16" s="1"/>
  <c r="B4" i="18"/>
  <c r="B12" i="18"/>
  <c r="B20" i="18"/>
  <c r="A48" i="20"/>
  <c r="A40" i="20"/>
  <c r="A32" i="20"/>
  <c r="A30" i="21"/>
  <c r="A22" i="21"/>
  <c r="A14" i="21"/>
  <c r="B2" i="16"/>
  <c r="D2" i="16" s="1"/>
  <c r="B22" i="16"/>
  <c r="D22" i="16" s="1"/>
  <c r="B14" i="16"/>
  <c r="D14" i="16" s="1"/>
  <c r="B6" i="16"/>
  <c r="D6" i="16" s="1"/>
  <c r="A47" i="20"/>
  <c r="A39" i="20"/>
  <c r="A31" i="20"/>
  <c r="A7" i="15" a="1"/>
  <c r="A7" i="15" s="1"/>
  <c r="B7" i="15" s="1"/>
  <c r="O49" i="7"/>
  <c r="O66" i="7" s="1"/>
  <c r="O13" i="7"/>
  <c r="N49" i="7"/>
  <c r="N66" i="7" s="1"/>
  <c r="N13" i="7"/>
  <c r="M49" i="7"/>
  <c r="M66" i="7" s="1"/>
  <c r="M13" i="7"/>
  <c r="L49" i="7"/>
  <c r="L66" i="7" s="1"/>
  <c r="L13" i="7"/>
  <c r="K49" i="7"/>
  <c r="K66" i="7" s="1"/>
  <c r="K13" i="7"/>
  <c r="J49" i="7"/>
  <c r="J66" i="7" s="1"/>
  <c r="J13" i="7"/>
  <c r="I49" i="7"/>
  <c r="I66" i="7" s="1"/>
  <c r="I13" i="7"/>
  <c r="H49" i="7"/>
  <c r="H66" i="7" s="1"/>
  <c r="H13" i="7"/>
  <c r="E49" i="7"/>
  <c r="E46" i="7" s="1"/>
  <c r="E13" i="7"/>
  <c r="D49" i="7"/>
  <c r="D46" i="7" s="1"/>
  <c r="D13" i="7"/>
  <c r="C49" i="7"/>
  <c r="C66" i="7" s="1"/>
  <c r="C79" i="7" s="1"/>
  <c r="D1" i="21"/>
  <c r="C13" i="7"/>
  <c r="B49" i="7"/>
  <c r="B66" i="7" s="1"/>
  <c r="B79" i="7" s="1"/>
  <c r="C1" i="21"/>
  <c r="B13" i="7"/>
  <c r="A13" i="7"/>
  <c r="B1" i="21"/>
  <c r="G49" i="7"/>
  <c r="G66" i="7" s="1"/>
  <c r="G13" i="7"/>
  <c r="B35" i="16"/>
  <c r="D35" i="16" s="1"/>
  <c r="F49" i="7"/>
  <c r="F66" i="7" s="1"/>
  <c r="F13" i="7"/>
  <c r="D66" i="7"/>
  <c r="D79" i="7" s="1"/>
  <c r="B35" i="18"/>
  <c r="A61" i="20"/>
  <c r="B35" i="14"/>
  <c r="J2" i="18" a="1"/>
  <c r="U75" i="7"/>
  <c r="M75" i="7"/>
  <c r="E75" i="7"/>
  <c r="V74" i="7"/>
  <c r="N74" i="7"/>
  <c r="F74" i="7"/>
  <c r="W73" i="7"/>
  <c r="O73" i="7"/>
  <c r="G73" i="7"/>
  <c r="X72" i="7"/>
  <c r="P72" i="7"/>
  <c r="H72" i="7"/>
  <c r="Y71" i="7"/>
  <c r="Q71" i="7"/>
  <c r="I71" i="7"/>
  <c r="A71" i="7"/>
  <c r="R70" i="7"/>
  <c r="T75" i="7"/>
  <c r="L75" i="7"/>
  <c r="D75" i="7"/>
  <c r="U74" i="7"/>
  <c r="M74" i="7"/>
  <c r="E74" i="7"/>
  <c r="V73" i="7"/>
  <c r="N73" i="7"/>
  <c r="F73" i="7"/>
  <c r="W72" i="7"/>
  <c r="O72" i="7"/>
  <c r="G72" i="7"/>
  <c r="X71" i="7"/>
  <c r="P71" i="7"/>
  <c r="H71" i="7"/>
  <c r="Y70" i="7"/>
  <c r="Q70" i="7"/>
  <c r="S75" i="7"/>
  <c r="K75" i="7"/>
  <c r="C75" i="7"/>
  <c r="T74" i="7"/>
  <c r="L74" i="7"/>
  <c r="D74" i="7"/>
  <c r="U73" i="7"/>
  <c r="M73" i="7"/>
  <c r="E73" i="7"/>
  <c r="V72" i="7"/>
  <c r="N72" i="7"/>
  <c r="F72" i="7"/>
  <c r="W71" i="7"/>
  <c r="O71" i="7"/>
  <c r="G71" i="7"/>
  <c r="X70" i="7"/>
  <c r="P70" i="7"/>
  <c r="Y69" i="7"/>
  <c r="R75" i="7"/>
  <c r="J75" i="7"/>
  <c r="B75" i="7"/>
  <c r="S74" i="7"/>
  <c r="K74" i="7"/>
  <c r="C74" i="7"/>
  <c r="T73" i="7"/>
  <c r="L73" i="7"/>
  <c r="D73" i="7"/>
  <c r="U72" i="7"/>
  <c r="M72" i="7"/>
  <c r="E72" i="7"/>
  <c r="V71" i="7"/>
  <c r="N71" i="7"/>
  <c r="F71" i="7"/>
  <c r="W70" i="7"/>
  <c r="Y68" i="7"/>
  <c r="Y75" i="7"/>
  <c r="Q75" i="7"/>
  <c r="I75" i="7"/>
  <c r="A75" i="7"/>
  <c r="R74" i="7"/>
  <c r="J74" i="7"/>
  <c r="B74" i="7"/>
  <c r="S73" i="7"/>
  <c r="K73" i="7"/>
  <c r="C73" i="7"/>
  <c r="T72" i="7"/>
  <c r="L72" i="7"/>
  <c r="D72" i="7"/>
  <c r="U71" i="7"/>
  <c r="M71" i="7"/>
  <c r="E71" i="7"/>
  <c r="V70" i="7"/>
  <c r="A60" i="20"/>
  <c r="B34" i="16"/>
  <c r="B34" i="14"/>
  <c r="B34" i="18"/>
  <c r="X1" i="20"/>
  <c r="U1" i="20"/>
  <c r="P1" i="20"/>
  <c r="M1" i="20"/>
  <c r="H1" i="20"/>
  <c r="D1" i="20"/>
  <c r="Z1" i="20"/>
  <c r="R1" i="20"/>
  <c r="J1" i="20"/>
  <c r="A49" i="7"/>
  <c r="Y1" i="20"/>
  <c r="Q1" i="20"/>
  <c r="I1" i="20"/>
  <c r="W1" i="20"/>
  <c r="O1" i="20"/>
  <c r="G1" i="20"/>
  <c r="C57" i="10" a="1"/>
  <c r="C57" i="10" s="1"/>
  <c r="E57" i="16" s="1"/>
  <c r="V1" i="20"/>
  <c r="N1" i="20"/>
  <c r="F1" i="20"/>
  <c r="T1" i="20"/>
  <c r="L1" i="20"/>
  <c r="C1" i="20"/>
  <c r="B1" i="20"/>
  <c r="S1" i="20"/>
  <c r="K1" i="20"/>
  <c r="E1" i="20"/>
  <c r="U16" i="20"/>
  <c r="M16" i="20"/>
  <c r="T16" i="20"/>
  <c r="L16" i="20"/>
  <c r="S16" i="20"/>
  <c r="K16" i="20"/>
  <c r="Z27" i="20"/>
  <c r="R27" i="20"/>
  <c r="J27" i="20"/>
  <c r="Y16" i="20"/>
  <c r="Q16" i="20"/>
  <c r="I16" i="20"/>
  <c r="X27" i="20"/>
  <c r="P27" i="20"/>
  <c r="H27" i="20"/>
  <c r="W16" i="20"/>
  <c r="O16" i="20"/>
  <c r="I1" i="16"/>
  <c r="O1" i="19"/>
  <c r="P1" i="19"/>
  <c r="Q1" i="19"/>
  <c r="D11" i="10" a="1"/>
  <c r="D11" i="10" s="1"/>
  <c r="F11" i="16" s="1"/>
  <c r="F1" i="16"/>
  <c r="L3" i="10" a="1"/>
  <c r="L3" i="10" s="1"/>
  <c r="N3" i="16" s="1"/>
  <c r="N1" i="16"/>
  <c r="T42" i="10" a="1"/>
  <c r="T42" i="10" s="1"/>
  <c r="V42" i="16" s="1"/>
  <c r="V1" i="16"/>
  <c r="X1" i="16"/>
  <c r="P1" i="16"/>
  <c r="H1" i="16"/>
  <c r="W1" i="16"/>
  <c r="O1" i="16"/>
  <c r="G1" i="16"/>
  <c r="E1" i="16"/>
  <c r="U1" i="16"/>
  <c r="M1" i="16"/>
  <c r="AC1" i="16"/>
  <c r="AB1" i="16"/>
  <c r="T1" i="16"/>
  <c r="L1" i="16"/>
  <c r="AA1" i="16"/>
  <c r="K1" i="16"/>
  <c r="Z1" i="16"/>
  <c r="R1" i="16"/>
  <c r="J1" i="16"/>
  <c r="Y33" i="7"/>
  <c r="L33" i="7"/>
  <c r="G9" i="12"/>
  <c r="G8" i="12"/>
  <c r="G7" i="12"/>
  <c r="R15" i="12" s="1"/>
  <c r="R16" i="12" s="1"/>
  <c r="G6" i="12"/>
  <c r="G1" i="12"/>
  <c r="G11" i="12"/>
  <c r="Q16" i="12" s="1"/>
  <c r="B2" i="12"/>
  <c r="G2" i="12"/>
  <c r="G3" i="12"/>
  <c r="G5" i="12"/>
  <c r="G13" i="12" s="1"/>
  <c r="F20" i="12" s="1"/>
  <c r="G20" i="12" s="1"/>
  <c r="D33" i="7"/>
  <c r="X4" i="5"/>
  <c r="X3" i="5" s="1"/>
  <c r="T4" i="5"/>
  <c r="T3" i="5" s="1"/>
  <c r="A33" i="7"/>
  <c r="R33" i="7"/>
  <c r="J33" i="7"/>
  <c r="B33" i="7"/>
  <c r="Q33" i="7"/>
  <c r="I33" i="7"/>
  <c r="K33" i="7"/>
  <c r="X33" i="7"/>
  <c r="P33" i="7"/>
  <c r="H33" i="7"/>
  <c r="S33" i="7"/>
  <c r="C33" i="7"/>
  <c r="W33" i="7"/>
  <c r="O33" i="7"/>
  <c r="G33" i="7"/>
  <c r="V33" i="7"/>
  <c r="N33" i="7"/>
  <c r="F33" i="7"/>
  <c r="V4" i="5"/>
  <c r="V3" i="5" s="1"/>
  <c r="U33" i="7"/>
  <c r="M33" i="7"/>
  <c r="E33" i="7"/>
  <c r="T33" i="7"/>
  <c r="O3" i="10" a="1"/>
  <c r="O3" i="10" s="1"/>
  <c r="Q3" i="16" s="1"/>
  <c r="O30" i="10" a="1"/>
  <c r="O30" i="10" s="1"/>
  <c r="Q30" i="16" s="1"/>
  <c r="W17" i="10" a="1"/>
  <c r="W17" i="10" s="1"/>
  <c r="Y17" i="16" s="1"/>
  <c r="W22" i="10" a="1"/>
  <c r="W22" i="10" s="1"/>
  <c r="Y22" i="16" s="1"/>
  <c r="W24" i="10" a="1"/>
  <c r="W24" i="10" s="1"/>
  <c r="Y24" i="16" s="1"/>
  <c r="W9" i="10" a="1"/>
  <c r="W9" i="10" s="1"/>
  <c r="Y9" i="16" s="1"/>
  <c r="W12" i="10" a="1"/>
  <c r="W12" i="10" s="1"/>
  <c r="Y12" i="16" s="1"/>
  <c r="W15" i="10" a="1"/>
  <c r="W15" i="10" s="1"/>
  <c r="W20" i="10" a="1"/>
  <c r="W20" i="10" s="1"/>
  <c r="Y20" i="16" s="1"/>
  <c r="W32" i="10" a="1"/>
  <c r="W32" i="10" s="1"/>
  <c r="Y32" i="16" s="1"/>
  <c r="W34" i="10" a="1"/>
  <c r="W34" i="10" s="1"/>
  <c r="Y34" i="16" s="1"/>
  <c r="W39" i="10" a="1"/>
  <c r="W39" i="10" s="1"/>
  <c r="Y39" i="16" s="1"/>
  <c r="W40" i="10" a="1"/>
  <c r="W40" i="10" s="1"/>
  <c r="Y40" i="16" s="1"/>
  <c r="W44" i="10" a="1"/>
  <c r="W44" i="10" s="1"/>
  <c r="Y44" i="16" s="1"/>
  <c r="W47" i="10" a="1"/>
  <c r="W47" i="10" s="1"/>
  <c r="Y47" i="16" s="1"/>
  <c r="W48" i="10" a="1"/>
  <c r="W48" i="10" s="1"/>
  <c r="Y48" i="16" s="1"/>
  <c r="W59" i="10" a="1"/>
  <c r="W59" i="10" s="1"/>
  <c r="Y59" i="16" s="1"/>
  <c r="W4" i="10" a="1"/>
  <c r="W4" i="10" s="1"/>
  <c r="Y4" i="16" s="1"/>
  <c r="W28" i="10" a="1"/>
  <c r="W28" i="10" s="1"/>
  <c r="Y28" i="16" s="1"/>
  <c r="W30" i="10" a="1"/>
  <c r="W30" i="10" s="1"/>
  <c r="Y30" i="16" s="1"/>
  <c r="W36" i="10" a="1"/>
  <c r="W36" i="10" s="1"/>
  <c r="Y36" i="16" s="1"/>
  <c r="W46" i="10" a="1"/>
  <c r="W46" i="10" s="1"/>
  <c r="Y46" i="16" s="1"/>
  <c r="W7" i="10" a="1"/>
  <c r="W7" i="10" s="1"/>
  <c r="Y7" i="16" s="1"/>
  <c r="W18" i="10" a="1"/>
  <c r="W18" i="10" s="1"/>
  <c r="Y18" i="16" s="1"/>
  <c r="W25" i="10" a="1"/>
  <c r="W25" i="10" s="1"/>
  <c r="Y25" i="16" s="1"/>
  <c r="W42" i="10" a="1"/>
  <c r="W42" i="10" s="1"/>
  <c r="Y42" i="16" s="1"/>
  <c r="W5" i="10" a="1"/>
  <c r="W5" i="10" s="1"/>
  <c r="Y5" i="16" s="1"/>
  <c r="W10" i="10" a="1"/>
  <c r="W10" i="10" s="1"/>
  <c r="Y10" i="16" s="1"/>
  <c r="W16" i="10" a="1"/>
  <c r="W16" i="10" s="1"/>
  <c r="Y16" i="16" s="1"/>
  <c r="W21" i="10" a="1"/>
  <c r="W21" i="10" s="1"/>
  <c r="Y21" i="16" s="1"/>
  <c r="W23" i="10" a="1"/>
  <c r="W23" i="10" s="1"/>
  <c r="Y23" i="16" s="1"/>
  <c r="W35" i="10" a="1"/>
  <c r="W35" i="10" s="1"/>
  <c r="Y35" i="16" s="1"/>
  <c r="W51" i="10" a="1"/>
  <c r="W51" i="10" s="1"/>
  <c r="Y51" i="16" s="1"/>
  <c r="W56" i="10" a="1"/>
  <c r="W56" i="10" s="1"/>
  <c r="Y56" i="16" s="1"/>
  <c r="W61" i="10" a="1"/>
  <c r="W61" i="10" s="1"/>
  <c r="Y61" i="16" s="1"/>
  <c r="W13" i="10" a="1"/>
  <c r="W13" i="10" s="1"/>
  <c r="Y13" i="16" s="1"/>
  <c r="W26" i="10" a="1"/>
  <c r="W26" i="10" s="1"/>
  <c r="Y26" i="16" s="1"/>
  <c r="W31" i="10" a="1"/>
  <c r="W31" i="10" s="1"/>
  <c r="Y31" i="16" s="1"/>
  <c r="W38" i="10" a="1"/>
  <c r="W38" i="10" s="1"/>
  <c r="Y38" i="16" s="1"/>
  <c r="W41" i="10" a="1"/>
  <c r="W41" i="10" s="1"/>
  <c r="Y41" i="16" s="1"/>
  <c r="W45" i="10" a="1"/>
  <c r="W45" i="10" s="1"/>
  <c r="Y45" i="16" s="1"/>
  <c r="W52" i="10" a="1"/>
  <c r="W52" i="10" s="1"/>
  <c r="Y52" i="16" s="1"/>
  <c r="W53" i="10" a="1"/>
  <c r="W53" i="10" s="1"/>
  <c r="Y53" i="16" s="1"/>
  <c r="W58" i="10" a="1"/>
  <c r="W58" i="10" s="1"/>
  <c r="Y58" i="16" s="1"/>
  <c r="W8" i="10" a="1"/>
  <c r="W8" i="10" s="1"/>
  <c r="Y8" i="16" s="1"/>
  <c r="W11" i="10" a="1"/>
  <c r="W11" i="10" s="1"/>
  <c r="Y11" i="16" s="1"/>
  <c r="W19" i="10" a="1"/>
  <c r="W19" i="10" s="1"/>
  <c r="Y19" i="16" s="1"/>
  <c r="W29" i="10" a="1"/>
  <c r="W29" i="10" s="1"/>
  <c r="Y29" i="16" s="1"/>
  <c r="W33" i="10" a="1"/>
  <c r="W33" i="10" s="1"/>
  <c r="Y33" i="16" s="1"/>
  <c r="W49" i="10" a="1"/>
  <c r="W49" i="10" s="1"/>
  <c r="Y49" i="16" s="1"/>
  <c r="W60" i="10" a="1"/>
  <c r="W60" i="10" s="1"/>
  <c r="Y60" i="16" s="1"/>
  <c r="W3" i="10" a="1"/>
  <c r="W3" i="10" s="1"/>
  <c r="Y3" i="16" s="1"/>
  <c r="Y2" i="10" a="1"/>
  <c r="Y2" i="10" s="1"/>
  <c r="AA71" i="10" a="1"/>
  <c r="AA71" i="10" s="1"/>
  <c r="AC71" i="16" s="1"/>
  <c r="S71" i="10" a="1"/>
  <c r="S71" i="10" s="1"/>
  <c r="U71" i="16" s="1"/>
  <c r="U70" i="10" a="1"/>
  <c r="U70" i="10" s="1"/>
  <c r="W70" i="16" s="1"/>
  <c r="Y69" i="10" a="1"/>
  <c r="Y69" i="10" s="1"/>
  <c r="AA69" i="16" s="1"/>
  <c r="T68" i="10" a="1"/>
  <c r="T68" i="10" s="1"/>
  <c r="V68" i="16" s="1"/>
  <c r="X67" i="10" a="1"/>
  <c r="X67" i="10" s="1"/>
  <c r="Z67" i="16" s="1"/>
  <c r="Z66" i="10" a="1"/>
  <c r="Z66" i="10" s="1"/>
  <c r="AB66" i="16" s="1"/>
  <c r="N66" i="10" a="1"/>
  <c r="N66" i="10" s="1"/>
  <c r="P66" i="16" s="1"/>
  <c r="U65" i="10" a="1"/>
  <c r="U65" i="10" s="1"/>
  <c r="W65" i="16" s="1"/>
  <c r="X64" i="10" a="1"/>
  <c r="X64" i="10" s="1"/>
  <c r="Z64" i="16" s="1"/>
  <c r="S64" i="10" a="1"/>
  <c r="S64" i="10" s="1"/>
  <c r="U64" i="16" s="1"/>
  <c r="AA62" i="10" a="1"/>
  <c r="AA62" i="10" s="1"/>
  <c r="AC62" i="16" s="1"/>
  <c r="T62" i="10" a="1"/>
  <c r="T62" i="10" s="1"/>
  <c r="V62" i="16" s="1"/>
  <c r="X61" i="10" a="1"/>
  <c r="X61" i="10" s="1"/>
  <c r="Z61" i="16" s="1"/>
  <c r="X60" i="10" a="1"/>
  <c r="X60" i="10" s="1"/>
  <c r="Z60" i="16" s="1"/>
  <c r="AA58" i="10" a="1"/>
  <c r="AA58" i="10" s="1"/>
  <c r="AC58" i="16" s="1"/>
  <c r="W57" i="10" a="1"/>
  <c r="W57" i="10" s="1"/>
  <c r="Y57" i="16" s="1"/>
  <c r="S56" i="10" a="1"/>
  <c r="S56" i="10" s="1"/>
  <c r="U56" i="16" s="1"/>
  <c r="W54" i="10" a="1"/>
  <c r="W54" i="10" s="1"/>
  <c r="Y54" i="16" s="1"/>
  <c r="U51" i="10" a="1"/>
  <c r="U51" i="10" s="1"/>
  <c r="W51" i="16" s="1"/>
  <c r="S45" i="10" a="1"/>
  <c r="S45" i="10" s="1"/>
  <c r="U45" i="16" s="1"/>
  <c r="S41" i="10" a="1"/>
  <c r="S41" i="10" s="1"/>
  <c r="U41" i="16" s="1"/>
  <c r="V39" i="10" a="1"/>
  <c r="V39" i="10" s="1"/>
  <c r="X39" i="16" s="1"/>
  <c r="X37" i="10" a="1"/>
  <c r="X37" i="10" s="1"/>
  <c r="Z37" i="16" s="1"/>
  <c r="Y35" i="10" a="1"/>
  <c r="Y35" i="10" s="1"/>
  <c r="AA35" i="16" s="1"/>
  <c r="U32" i="10" a="1"/>
  <c r="U32" i="10" s="1"/>
  <c r="W32" i="16" s="1"/>
  <c r="X29" i="10" a="1"/>
  <c r="X29" i="10" s="1"/>
  <c r="Z29" i="16" s="1"/>
  <c r="S16" i="10" a="1"/>
  <c r="S16" i="10" s="1"/>
  <c r="U16" i="16" s="1"/>
  <c r="U9" i="10" a="1"/>
  <c r="U9" i="10" s="1"/>
  <c r="W9" i="16" s="1"/>
  <c r="X3" i="10" a="1"/>
  <c r="X3" i="10" s="1"/>
  <c r="Z3" i="16" s="1"/>
  <c r="X8" i="10" a="1"/>
  <c r="X8" i="10" s="1"/>
  <c r="Z8" i="16" s="1"/>
  <c r="X14" i="10" a="1"/>
  <c r="X14" i="10" s="1"/>
  <c r="Z14" i="16" s="1"/>
  <c r="X27" i="10" a="1"/>
  <c r="X27" i="10" s="1"/>
  <c r="Z27" i="16" s="1"/>
  <c r="X6" i="10" a="1"/>
  <c r="X6" i="10" s="1"/>
  <c r="Z6" i="16" s="1"/>
  <c r="X17" i="10" a="1"/>
  <c r="X17" i="10" s="1"/>
  <c r="Z17" i="16" s="1"/>
  <c r="X22" i="10" a="1"/>
  <c r="X22" i="10" s="1"/>
  <c r="Z22" i="16" s="1"/>
  <c r="X24" i="10" a="1"/>
  <c r="X24" i="10" s="1"/>
  <c r="Z24" i="16" s="1"/>
  <c r="X50" i="10" a="1"/>
  <c r="X50" i="10" s="1"/>
  <c r="Z50" i="16" s="1"/>
  <c r="X55" i="10" a="1"/>
  <c r="X55" i="10" s="1"/>
  <c r="Z55" i="16" s="1"/>
  <c r="X57" i="10" a="1"/>
  <c r="X57" i="10" s="1"/>
  <c r="Z57" i="16" s="1"/>
  <c r="X9" i="10" a="1"/>
  <c r="X9" i="10" s="1"/>
  <c r="Z9" i="16" s="1"/>
  <c r="X15" i="10" a="1"/>
  <c r="X15" i="10" s="1"/>
  <c r="X20" i="10" a="1"/>
  <c r="X20" i="10" s="1"/>
  <c r="Z20" i="16" s="1"/>
  <c r="X32" i="10" a="1"/>
  <c r="X32" i="10" s="1"/>
  <c r="Z32" i="16" s="1"/>
  <c r="X34" i="10" a="1"/>
  <c r="X34" i="10" s="1"/>
  <c r="Z34" i="16" s="1"/>
  <c r="X40" i="10" a="1"/>
  <c r="X40" i="10" s="1"/>
  <c r="Z40" i="16" s="1"/>
  <c r="X43" i="10" a="1"/>
  <c r="X43" i="10" s="1"/>
  <c r="Z43" i="16" s="1"/>
  <c r="X44" i="10" a="1"/>
  <c r="X44" i="10" s="1"/>
  <c r="Z44" i="16" s="1"/>
  <c r="X48" i="10" a="1"/>
  <c r="X48" i="10" s="1"/>
  <c r="Z48" i="16" s="1"/>
  <c r="X4" i="10" a="1"/>
  <c r="X4" i="10" s="1"/>
  <c r="Z4" i="16" s="1"/>
  <c r="X12" i="10" a="1"/>
  <c r="X12" i="10" s="1"/>
  <c r="Z12" i="16" s="1"/>
  <c r="X28" i="10" a="1"/>
  <c r="X28" i="10" s="1"/>
  <c r="Z28" i="16" s="1"/>
  <c r="X30" i="10" a="1"/>
  <c r="X30" i="10" s="1"/>
  <c r="Z30" i="16" s="1"/>
  <c r="X36" i="10" a="1"/>
  <c r="X36" i="10" s="1"/>
  <c r="Z36" i="16" s="1"/>
  <c r="X39" i="10" a="1"/>
  <c r="X39" i="10" s="1"/>
  <c r="Z39" i="16" s="1"/>
  <c r="X46" i="10" a="1"/>
  <c r="X46" i="10" s="1"/>
  <c r="Z46" i="16" s="1"/>
  <c r="X47" i="10" a="1"/>
  <c r="X47" i="10" s="1"/>
  <c r="Z47" i="16" s="1"/>
  <c r="X54" i="10" a="1"/>
  <c r="X54" i="10" s="1"/>
  <c r="Z54" i="16" s="1"/>
  <c r="X59" i="10" a="1"/>
  <c r="X59" i="10" s="1"/>
  <c r="Z59" i="16" s="1"/>
  <c r="X7" i="10" a="1"/>
  <c r="X7" i="10" s="1"/>
  <c r="Z7" i="16" s="1"/>
  <c r="X18" i="10" a="1"/>
  <c r="X18" i="10" s="1"/>
  <c r="Z18" i="16" s="1"/>
  <c r="X25" i="10" a="1"/>
  <c r="X25" i="10" s="1"/>
  <c r="Z25" i="16" s="1"/>
  <c r="X42" i="10" a="1"/>
  <c r="X42" i="10" s="1"/>
  <c r="Z42" i="16" s="1"/>
  <c r="X5" i="10" a="1"/>
  <c r="X5" i="10" s="1"/>
  <c r="Z5" i="16" s="1"/>
  <c r="X10" i="10" a="1"/>
  <c r="X10" i="10" s="1"/>
  <c r="Z10" i="16" s="1"/>
  <c r="X16" i="10" a="1"/>
  <c r="X16" i="10" s="1"/>
  <c r="Z16" i="16" s="1"/>
  <c r="X35" i="10" a="1"/>
  <c r="X35" i="10" s="1"/>
  <c r="Z35" i="16" s="1"/>
  <c r="X56" i="10" a="1"/>
  <c r="X56" i="10" s="1"/>
  <c r="Z56" i="16" s="1"/>
  <c r="X13" i="10" a="1"/>
  <c r="X13" i="10" s="1"/>
  <c r="Z13" i="16" s="1"/>
  <c r="X21" i="10" a="1"/>
  <c r="X21" i="10" s="1"/>
  <c r="Z21" i="16" s="1"/>
  <c r="X23" i="10" a="1"/>
  <c r="X23" i="10" s="1"/>
  <c r="Z23" i="16" s="1"/>
  <c r="X26" i="10" a="1"/>
  <c r="X26" i="10" s="1"/>
  <c r="Z26" i="16" s="1"/>
  <c r="X31" i="10" a="1"/>
  <c r="X31" i="10" s="1"/>
  <c r="Z31" i="16" s="1"/>
  <c r="X38" i="10" a="1"/>
  <c r="X38" i="10" s="1"/>
  <c r="Z38" i="16" s="1"/>
  <c r="X41" i="10" a="1"/>
  <c r="X41" i="10" s="1"/>
  <c r="Z41" i="16" s="1"/>
  <c r="X45" i="10" a="1"/>
  <c r="X45" i="10" s="1"/>
  <c r="Z45" i="16" s="1"/>
  <c r="X51" i="10" a="1"/>
  <c r="X51" i="10" s="1"/>
  <c r="Z51" i="16" s="1"/>
  <c r="X58" i="10" a="1"/>
  <c r="X58" i="10" s="1"/>
  <c r="Z58" i="16" s="1"/>
  <c r="W4" i="5"/>
  <c r="W3" i="5" s="1"/>
  <c r="X2" i="10" a="1"/>
  <c r="X2" i="10" s="1"/>
  <c r="Z71" i="10" a="1"/>
  <c r="Z71" i="10" s="1"/>
  <c r="AB71" i="16" s="1"/>
  <c r="T70" i="10" a="1"/>
  <c r="T70" i="10" s="1"/>
  <c r="V70" i="16" s="1"/>
  <c r="X69" i="10" a="1"/>
  <c r="X69" i="10" s="1"/>
  <c r="Z69" i="16" s="1"/>
  <c r="AA68" i="10" a="1"/>
  <c r="AA68" i="10" s="1"/>
  <c r="AC68" i="16" s="1"/>
  <c r="S68" i="10" a="1"/>
  <c r="S68" i="10" s="1"/>
  <c r="U68" i="16" s="1"/>
  <c r="W67" i="10" a="1"/>
  <c r="W67" i="10" s="1"/>
  <c r="Y67" i="16" s="1"/>
  <c r="Y66" i="10" a="1"/>
  <c r="Y66" i="10" s="1"/>
  <c r="AA66" i="16" s="1"/>
  <c r="T65" i="10" a="1"/>
  <c r="T65" i="10" s="1"/>
  <c r="V65" i="16" s="1"/>
  <c r="F64" i="10" a="1"/>
  <c r="F64" i="10" s="1"/>
  <c r="H64" i="16" s="1"/>
  <c r="U63" i="10" a="1"/>
  <c r="U63" i="10" s="1"/>
  <c r="W63" i="16" s="1"/>
  <c r="Z62" i="10" a="1"/>
  <c r="Z62" i="10" s="1"/>
  <c r="AB62" i="16" s="1"/>
  <c r="S62" i="10" a="1"/>
  <c r="S62" i="10" s="1"/>
  <c r="U62" i="16" s="1"/>
  <c r="V61" i="10" a="1"/>
  <c r="V61" i="10" s="1"/>
  <c r="X61" i="16" s="1"/>
  <c r="T60" i="10" a="1"/>
  <c r="T60" i="10" s="1"/>
  <c r="V60" i="16" s="1"/>
  <c r="V57" i="10" a="1"/>
  <c r="V57" i="10" s="1"/>
  <c r="X57" i="16" s="1"/>
  <c r="S50" i="10" a="1"/>
  <c r="S50" i="10" s="1"/>
  <c r="U50" i="16" s="1"/>
  <c r="Z46" i="10" a="1"/>
  <c r="Z46" i="10" s="1"/>
  <c r="AB46" i="16" s="1"/>
  <c r="U39" i="10" a="1"/>
  <c r="U39" i="10" s="1"/>
  <c r="W39" i="16" s="1"/>
  <c r="W37" i="10" a="1"/>
  <c r="W37" i="10" s="1"/>
  <c r="Y37" i="16" s="1"/>
  <c r="S35" i="10" a="1"/>
  <c r="S35" i="10" s="1"/>
  <c r="U35" i="16" s="1"/>
  <c r="AA25" i="10" a="1"/>
  <c r="AA25" i="10" s="1"/>
  <c r="AC25" i="16" s="1"/>
  <c r="V22" i="10" a="1"/>
  <c r="V22" i="10" s="1"/>
  <c r="X22" i="16" s="1"/>
  <c r="U12" i="10" a="1"/>
  <c r="U12" i="10" s="1"/>
  <c r="W12" i="16" s="1"/>
  <c r="Z5" i="10" a="1"/>
  <c r="Z5" i="10" s="1"/>
  <c r="AB5" i="16" s="1"/>
  <c r="Q3" i="10" a="1"/>
  <c r="Q3" i="10" s="1"/>
  <c r="S3" i="16" s="1"/>
  <c r="Q48" i="10" a="1"/>
  <c r="Q48" i="10" s="1"/>
  <c r="S48" i="16" s="1"/>
  <c r="Y11" i="10" a="1"/>
  <c r="Y11" i="10" s="1"/>
  <c r="AA11" i="16" s="1"/>
  <c r="Y19" i="10" a="1"/>
  <c r="Y19" i="10" s="1"/>
  <c r="AA19" i="16" s="1"/>
  <c r="Y29" i="10" a="1"/>
  <c r="Y29" i="10" s="1"/>
  <c r="AA29" i="16" s="1"/>
  <c r="Y31" i="10" a="1"/>
  <c r="Y31" i="10" s="1"/>
  <c r="AA31" i="16" s="1"/>
  <c r="Y3" i="10" a="1"/>
  <c r="Y3" i="10" s="1"/>
  <c r="AA3" i="16" s="1"/>
  <c r="Y8" i="10" a="1"/>
  <c r="Y8" i="10" s="1"/>
  <c r="AA8" i="16" s="1"/>
  <c r="Y14" i="10" a="1"/>
  <c r="Y14" i="10" s="1"/>
  <c r="AA14" i="16" s="1"/>
  <c r="Y27" i="10" a="1"/>
  <c r="Y27" i="10" s="1"/>
  <c r="AA27" i="16" s="1"/>
  <c r="Y33" i="10" a="1"/>
  <c r="Y33" i="10" s="1"/>
  <c r="AA33" i="16" s="1"/>
  <c r="Y52" i="10" a="1"/>
  <c r="Y52" i="10" s="1"/>
  <c r="AA52" i="16" s="1"/>
  <c r="Y6" i="10" a="1"/>
  <c r="Y6" i="10" s="1"/>
  <c r="AA6" i="16" s="1"/>
  <c r="Y17" i="10" a="1"/>
  <c r="Y17" i="10" s="1"/>
  <c r="AA17" i="16" s="1"/>
  <c r="Y22" i="10" a="1"/>
  <c r="Y22" i="10" s="1"/>
  <c r="AA22" i="16" s="1"/>
  <c r="Y24" i="10" a="1"/>
  <c r="Y24" i="10" s="1"/>
  <c r="AA24" i="16" s="1"/>
  <c r="Y37" i="10" a="1"/>
  <c r="Y37" i="10" s="1"/>
  <c r="AA37" i="16" s="1"/>
  <c r="Y9" i="10" a="1"/>
  <c r="Y9" i="10" s="1"/>
  <c r="AA9" i="16" s="1"/>
  <c r="Y15" i="10" a="1"/>
  <c r="Y15" i="10" s="1"/>
  <c r="Y20" i="10" a="1"/>
  <c r="Y20" i="10" s="1"/>
  <c r="AA20" i="16" s="1"/>
  <c r="Y32" i="10" a="1"/>
  <c r="Y32" i="10" s="1"/>
  <c r="AA32" i="16" s="1"/>
  <c r="Y34" i="10" a="1"/>
  <c r="Y34" i="10" s="1"/>
  <c r="AA34" i="16" s="1"/>
  <c r="Y40" i="10" a="1"/>
  <c r="Y40" i="10" s="1"/>
  <c r="AA40" i="16" s="1"/>
  <c r="Y48" i="10" a="1"/>
  <c r="Y48" i="10" s="1"/>
  <c r="AA48" i="16" s="1"/>
  <c r="Y50" i="10" a="1"/>
  <c r="Y50" i="10" s="1"/>
  <c r="AA50" i="16" s="1"/>
  <c r="Y4" i="10" a="1"/>
  <c r="Y4" i="10" s="1"/>
  <c r="AA4" i="16" s="1"/>
  <c r="Y12" i="10" a="1"/>
  <c r="Y12" i="10" s="1"/>
  <c r="AA12" i="16" s="1"/>
  <c r="Y30" i="10" a="1"/>
  <c r="Y30" i="10" s="1"/>
  <c r="AA30" i="16" s="1"/>
  <c r="Y36" i="10" a="1"/>
  <c r="Y36" i="10" s="1"/>
  <c r="AA36" i="16" s="1"/>
  <c r="Y43" i="10" a="1"/>
  <c r="Y43" i="10" s="1"/>
  <c r="AA43" i="16" s="1"/>
  <c r="Y44" i="10" a="1"/>
  <c r="Y44" i="10" s="1"/>
  <c r="AA44" i="16" s="1"/>
  <c r="Y54" i="10" a="1"/>
  <c r="Y54" i="10" s="1"/>
  <c r="AA54" i="16" s="1"/>
  <c r="Y59" i="10" a="1"/>
  <c r="Y59" i="10" s="1"/>
  <c r="AA59" i="16" s="1"/>
  <c r="Y7" i="10" a="1"/>
  <c r="Y7" i="10" s="1"/>
  <c r="AA7" i="16" s="1"/>
  <c r="Y18" i="10" a="1"/>
  <c r="Y18" i="10" s="1"/>
  <c r="AA18" i="16" s="1"/>
  <c r="Y25" i="10" a="1"/>
  <c r="Y25" i="10" s="1"/>
  <c r="AA25" i="16" s="1"/>
  <c r="Y28" i="10" a="1"/>
  <c r="Y28" i="10" s="1"/>
  <c r="AA28" i="16" s="1"/>
  <c r="Y39" i="10" a="1"/>
  <c r="Y39" i="10" s="1"/>
  <c r="AA39" i="16" s="1"/>
  <c r="Y46" i="10" a="1"/>
  <c r="Y46" i="10" s="1"/>
  <c r="AA46" i="16" s="1"/>
  <c r="Y47" i="10" a="1"/>
  <c r="Y47" i="10" s="1"/>
  <c r="AA47" i="16" s="1"/>
  <c r="Y5" i="10" a="1"/>
  <c r="Y5" i="10" s="1"/>
  <c r="AA5" i="16" s="1"/>
  <c r="Y10" i="10" a="1"/>
  <c r="Y10" i="10" s="1"/>
  <c r="AA10" i="16" s="1"/>
  <c r="Y16" i="10" a="1"/>
  <c r="Y16" i="10" s="1"/>
  <c r="AA16" i="16" s="1"/>
  <c r="Y42" i="10" a="1"/>
  <c r="Y42" i="10" s="1"/>
  <c r="AA42" i="16" s="1"/>
  <c r="Y56" i="10" a="1"/>
  <c r="Y56" i="10" s="1"/>
  <c r="AA56" i="16" s="1"/>
  <c r="W2" i="10" a="1"/>
  <c r="W2" i="10" s="1"/>
  <c r="Y71" i="10" a="1"/>
  <c r="Y71" i="10" s="1"/>
  <c r="AA71" i="16" s="1"/>
  <c r="AA70" i="10" a="1"/>
  <c r="AA70" i="10" s="1"/>
  <c r="AC70" i="16" s="1"/>
  <c r="S70" i="10" a="1"/>
  <c r="S70" i="10" s="1"/>
  <c r="U70" i="16" s="1"/>
  <c r="W69" i="10" a="1"/>
  <c r="W69" i="10" s="1"/>
  <c r="Y69" i="16" s="1"/>
  <c r="Z68" i="10" a="1"/>
  <c r="Z68" i="10" s="1"/>
  <c r="AB68" i="16" s="1"/>
  <c r="V67" i="10" a="1"/>
  <c r="V67" i="10" s="1"/>
  <c r="X67" i="16" s="1"/>
  <c r="X66" i="10" a="1"/>
  <c r="X66" i="10" s="1"/>
  <c r="Z66" i="16" s="1"/>
  <c r="AA65" i="10" a="1"/>
  <c r="AA65" i="10" s="1"/>
  <c r="AC65" i="16" s="1"/>
  <c r="S65" i="10" a="1"/>
  <c r="S65" i="10" s="1"/>
  <c r="U65" i="16" s="1"/>
  <c r="W64" i="10" a="1"/>
  <c r="W64" i="10" s="1"/>
  <c r="Y64" i="16" s="1"/>
  <c r="C64" i="10" a="1"/>
  <c r="C64" i="10" s="1"/>
  <c r="E64" i="16" s="1"/>
  <c r="Y62" i="10" a="1"/>
  <c r="Y62" i="10" s="1"/>
  <c r="AA62" i="16" s="1"/>
  <c r="U61" i="10" a="1"/>
  <c r="U61" i="10" s="1"/>
  <c r="W61" i="16" s="1"/>
  <c r="Y58" i="10" a="1"/>
  <c r="Y58" i="10" s="1"/>
  <c r="AA58" i="16" s="1"/>
  <c r="Y55" i="10" a="1"/>
  <c r="Y55" i="10" s="1"/>
  <c r="AA55" i="16" s="1"/>
  <c r="U54" i="10" a="1"/>
  <c r="U54" i="10" s="1"/>
  <c r="W54" i="16" s="1"/>
  <c r="X52" i="10" a="1"/>
  <c r="X52" i="10" s="1"/>
  <c r="Z52" i="16" s="1"/>
  <c r="V48" i="10" a="1"/>
  <c r="V48" i="10" s="1"/>
  <c r="X48" i="16" s="1"/>
  <c r="U46" i="10" a="1"/>
  <c r="U46" i="10" s="1"/>
  <c r="W46" i="16" s="1"/>
  <c r="Z42" i="10" a="1"/>
  <c r="Z42" i="10" s="1"/>
  <c r="AB42" i="16" s="1"/>
  <c r="AA28" i="10" a="1"/>
  <c r="AA28" i="10" s="1"/>
  <c r="AC28" i="16" s="1"/>
  <c r="U15" i="10" a="1"/>
  <c r="U15" i="10" s="1"/>
  <c r="Z13" i="10" a="1"/>
  <c r="Z13" i="10" s="1"/>
  <c r="AB13" i="16" s="1"/>
  <c r="Z16" i="10" a="1"/>
  <c r="Z16" i="10" s="1"/>
  <c r="AB16" i="16" s="1"/>
  <c r="Z21" i="10" a="1"/>
  <c r="Z21" i="10" s="1"/>
  <c r="AB21" i="16" s="1"/>
  <c r="Z23" i="10" a="1"/>
  <c r="Z23" i="10" s="1"/>
  <c r="AB23" i="16" s="1"/>
  <c r="Z26" i="10" a="1"/>
  <c r="Z26" i="10" s="1"/>
  <c r="AB26" i="16" s="1"/>
  <c r="Z35" i="10" a="1"/>
  <c r="Z35" i="10" s="1"/>
  <c r="AB35" i="16" s="1"/>
  <c r="Z19" i="10" a="1"/>
  <c r="Z19" i="10" s="1"/>
  <c r="AB19" i="16" s="1"/>
  <c r="Z29" i="10" a="1"/>
  <c r="Z29" i="10" s="1"/>
  <c r="AB29" i="16" s="1"/>
  <c r="Z31" i="10" a="1"/>
  <c r="Z31" i="10" s="1"/>
  <c r="AB31" i="16" s="1"/>
  <c r="Z38" i="10" a="1"/>
  <c r="Z38" i="10" s="1"/>
  <c r="AB38" i="16" s="1"/>
  <c r="Z41" i="10" a="1"/>
  <c r="Z41" i="10" s="1"/>
  <c r="AB41" i="16" s="1"/>
  <c r="Z49" i="10" a="1"/>
  <c r="Z49" i="10" s="1"/>
  <c r="AB49" i="16" s="1"/>
  <c r="Z51" i="10" a="1"/>
  <c r="Z51" i="10" s="1"/>
  <c r="AB51" i="16" s="1"/>
  <c r="Z53" i="10" a="1"/>
  <c r="Z53" i="10" s="1"/>
  <c r="AB53" i="16" s="1"/>
  <c r="Z58" i="10" a="1"/>
  <c r="Z58" i="10" s="1"/>
  <c r="AB58" i="16" s="1"/>
  <c r="Z60" i="10" a="1"/>
  <c r="Z60" i="10" s="1"/>
  <c r="AB60" i="16" s="1"/>
  <c r="Z8" i="10" a="1"/>
  <c r="Z8" i="10" s="1"/>
  <c r="AB8" i="16" s="1"/>
  <c r="Z11" i="10" a="1"/>
  <c r="Z11" i="10" s="1"/>
  <c r="AB11" i="16" s="1"/>
  <c r="Z14" i="10" a="1"/>
  <c r="Z14" i="10" s="1"/>
  <c r="AB14" i="16" s="1"/>
  <c r="Z27" i="10" a="1"/>
  <c r="Z27" i="10" s="1"/>
  <c r="AB27" i="16" s="1"/>
  <c r="Z33" i="10" a="1"/>
  <c r="Z33" i="10" s="1"/>
  <c r="AB33" i="16" s="1"/>
  <c r="Z3" i="10" a="1"/>
  <c r="Z3" i="10" s="1"/>
  <c r="AB3" i="16" s="1"/>
  <c r="Z6" i="10" a="1"/>
  <c r="Z6" i="10" s="1"/>
  <c r="AB6" i="16" s="1"/>
  <c r="Z17" i="10" a="1"/>
  <c r="Z17" i="10" s="1"/>
  <c r="AB17" i="16" s="1"/>
  <c r="Z24" i="10" a="1"/>
  <c r="Z24" i="10" s="1"/>
  <c r="AB24" i="16" s="1"/>
  <c r="Z37" i="10" a="1"/>
  <c r="Z37" i="10" s="1"/>
  <c r="AB37" i="16" s="1"/>
  <c r="Z52" i="10" a="1"/>
  <c r="Z52" i="10" s="1"/>
  <c r="AB52" i="16" s="1"/>
  <c r="Z55" i="10" a="1"/>
  <c r="Z55" i="10" s="1"/>
  <c r="AB55" i="16" s="1"/>
  <c r="Z57" i="10" a="1"/>
  <c r="Z57" i="10" s="1"/>
  <c r="AB57" i="16" s="1"/>
  <c r="Z9" i="10" a="1"/>
  <c r="Z9" i="10" s="1"/>
  <c r="AB9" i="16" s="1"/>
  <c r="Z15" i="10" a="1"/>
  <c r="Z15" i="10" s="1"/>
  <c r="Z20" i="10" a="1"/>
  <c r="Z20" i="10" s="1"/>
  <c r="AB20" i="16" s="1"/>
  <c r="Z22" i="10" a="1"/>
  <c r="Z22" i="10" s="1"/>
  <c r="AB22" i="16" s="1"/>
  <c r="Z32" i="10" a="1"/>
  <c r="Z32" i="10" s="1"/>
  <c r="AB32" i="16" s="1"/>
  <c r="Z34" i="10" a="1"/>
  <c r="Z34" i="10" s="1"/>
  <c r="AB34" i="16" s="1"/>
  <c r="Z40" i="10" a="1"/>
  <c r="Z40" i="10" s="1"/>
  <c r="AB40" i="16" s="1"/>
  <c r="Z48" i="10" a="1"/>
  <c r="Z48" i="10" s="1"/>
  <c r="AB48" i="16" s="1"/>
  <c r="Z4" i="10" a="1"/>
  <c r="Z4" i="10" s="1"/>
  <c r="AB4" i="16" s="1"/>
  <c r="Z12" i="10" a="1"/>
  <c r="Z12" i="10" s="1"/>
  <c r="AB12" i="16" s="1"/>
  <c r="Z30" i="10" a="1"/>
  <c r="Z30" i="10" s="1"/>
  <c r="AB30" i="16" s="1"/>
  <c r="Z36" i="10" a="1"/>
  <c r="Z36" i="10" s="1"/>
  <c r="AB36" i="16" s="1"/>
  <c r="Z43" i="10" a="1"/>
  <c r="Z43" i="10" s="1"/>
  <c r="AB43" i="16" s="1"/>
  <c r="Z44" i="10" a="1"/>
  <c r="Z44" i="10" s="1"/>
  <c r="AB44" i="16" s="1"/>
  <c r="Z50" i="10" a="1"/>
  <c r="Z50" i="10" s="1"/>
  <c r="AB50" i="16" s="1"/>
  <c r="Z59" i="10" a="1"/>
  <c r="Z59" i="10" s="1"/>
  <c r="AB59" i="16" s="1"/>
  <c r="Z25" i="10" a="1"/>
  <c r="Z25" i="10" s="1"/>
  <c r="AB25" i="16" s="1"/>
  <c r="Z28" i="10" a="1"/>
  <c r="Z28" i="10" s="1"/>
  <c r="AB28" i="16" s="1"/>
  <c r="Z39" i="10" a="1"/>
  <c r="Z39" i="10" s="1"/>
  <c r="AB39" i="16" s="1"/>
  <c r="Z47" i="10" a="1"/>
  <c r="Z47" i="10" s="1"/>
  <c r="AB47" i="16" s="1"/>
  <c r="Z54" i="10" a="1"/>
  <c r="Z54" i="10" s="1"/>
  <c r="AB54" i="16" s="1"/>
  <c r="U4" i="5"/>
  <c r="U3" i="5" s="1"/>
  <c r="X71" i="10" a="1"/>
  <c r="X71" i="10" s="1"/>
  <c r="Z71" i="16" s="1"/>
  <c r="Z70" i="10" a="1"/>
  <c r="Z70" i="10" s="1"/>
  <c r="AB70" i="16" s="1"/>
  <c r="F70" i="10" a="1"/>
  <c r="F70" i="10" s="1"/>
  <c r="H70" i="16" s="1"/>
  <c r="V69" i="10" a="1"/>
  <c r="V69" i="10" s="1"/>
  <c r="X69" i="16" s="1"/>
  <c r="Y68" i="10" a="1"/>
  <c r="Y68" i="10" s="1"/>
  <c r="AA68" i="16" s="1"/>
  <c r="F68" i="10" a="1"/>
  <c r="F68" i="10" s="1"/>
  <c r="H68" i="16" s="1"/>
  <c r="U67" i="10" a="1"/>
  <c r="U67" i="10" s="1"/>
  <c r="W67" i="16" s="1"/>
  <c r="W66" i="10" a="1"/>
  <c r="W66" i="10" s="1"/>
  <c r="Y66" i="16" s="1"/>
  <c r="Z65" i="10" a="1"/>
  <c r="Z65" i="10" s="1"/>
  <c r="AB65" i="16" s="1"/>
  <c r="V64" i="10" a="1"/>
  <c r="V64" i="10" s="1"/>
  <c r="X64" i="16" s="1"/>
  <c r="X63" i="10" a="1"/>
  <c r="X63" i="10" s="1"/>
  <c r="Z63" i="16" s="1"/>
  <c r="T63" i="10" a="1"/>
  <c r="T63" i="10" s="1"/>
  <c r="V63" i="16" s="1"/>
  <c r="X62" i="10" a="1"/>
  <c r="X62" i="10" s="1"/>
  <c r="Z62" i="16" s="1"/>
  <c r="U58" i="10" a="1"/>
  <c r="U58" i="10" s="1"/>
  <c r="W58" i="16" s="1"/>
  <c r="T52" i="10" a="1"/>
  <c r="T52" i="10" s="1"/>
  <c r="V52" i="16" s="1"/>
  <c r="T46" i="10" a="1"/>
  <c r="T46" i="10" s="1"/>
  <c r="V46" i="16" s="1"/>
  <c r="V44" i="10" a="1"/>
  <c r="V44" i="10" s="1"/>
  <c r="X44" i="16" s="1"/>
  <c r="U42" i="10" a="1"/>
  <c r="U42" i="10" s="1"/>
  <c r="W42" i="16" s="1"/>
  <c r="V40" i="10" a="1"/>
  <c r="V40" i="10" s="1"/>
  <c r="X40" i="16" s="1"/>
  <c r="U34" i="10" a="1"/>
  <c r="U34" i="10" s="1"/>
  <c r="W34" i="16" s="1"/>
  <c r="T28" i="10" a="1"/>
  <c r="T28" i="10" s="1"/>
  <c r="V28" i="16" s="1"/>
  <c r="Y21" i="10" a="1"/>
  <c r="Y21" i="10" s="1"/>
  <c r="AA21" i="16" s="1"/>
  <c r="X11" i="10" a="1"/>
  <c r="X11" i="10" s="1"/>
  <c r="Z11" i="16" s="1"/>
  <c r="T4" i="10" a="1"/>
  <c r="T4" i="10" s="1"/>
  <c r="V4" i="16" s="1"/>
  <c r="C7" i="10" a="1"/>
  <c r="C7" i="10" s="1"/>
  <c r="E7" i="16" s="1"/>
  <c r="C37" i="10" a="1"/>
  <c r="C37" i="10" s="1"/>
  <c r="E37" i="16" s="1"/>
  <c r="C24" i="10" a="1"/>
  <c r="C24" i="10" s="1"/>
  <c r="E24" i="16" s="1"/>
  <c r="C43" i="10" a="1"/>
  <c r="C43" i="10" s="1"/>
  <c r="E43" i="16" s="1"/>
  <c r="C61" i="10" a="1"/>
  <c r="C61" i="10" s="1"/>
  <c r="E61" i="16" s="1"/>
  <c r="S5" i="10" a="1"/>
  <c r="S5" i="10" s="1"/>
  <c r="U5" i="16" s="1"/>
  <c r="S23" i="10" a="1"/>
  <c r="S23" i="10" s="1"/>
  <c r="U23" i="16" s="1"/>
  <c r="S13" i="10" a="1"/>
  <c r="S13" i="10" s="1"/>
  <c r="U13" i="16" s="1"/>
  <c r="S26" i="10" a="1"/>
  <c r="S26" i="10" s="1"/>
  <c r="U26" i="16" s="1"/>
  <c r="S29" i="10" a="1"/>
  <c r="S29" i="10" s="1"/>
  <c r="U29" i="16" s="1"/>
  <c r="S31" i="10" a="1"/>
  <c r="S31" i="10" s="1"/>
  <c r="U31" i="16" s="1"/>
  <c r="S33" i="10" a="1"/>
  <c r="S33" i="10" s="1"/>
  <c r="U33" i="16" s="1"/>
  <c r="S60" i="10" a="1"/>
  <c r="S60" i="10" s="1"/>
  <c r="U60" i="16" s="1"/>
  <c r="S6" i="10" a="1"/>
  <c r="S6" i="10" s="1"/>
  <c r="U6" i="16" s="1"/>
  <c r="S8" i="10" a="1"/>
  <c r="S8" i="10" s="1"/>
  <c r="U8" i="16" s="1"/>
  <c r="S11" i="10" a="1"/>
  <c r="S11" i="10" s="1"/>
  <c r="U11" i="16" s="1"/>
  <c r="S19" i="10" a="1"/>
  <c r="S19" i="10" s="1"/>
  <c r="U19" i="16" s="1"/>
  <c r="S37" i="10" a="1"/>
  <c r="S37" i="10" s="1"/>
  <c r="U37" i="16" s="1"/>
  <c r="S44" i="10" a="1"/>
  <c r="S44" i="10" s="1"/>
  <c r="U44" i="16" s="1"/>
  <c r="S48" i="10" a="1"/>
  <c r="S48" i="10" s="1"/>
  <c r="U48" i="16" s="1"/>
  <c r="S3" i="10" a="1"/>
  <c r="S3" i="10" s="1"/>
  <c r="U3" i="16" s="1"/>
  <c r="S14" i="10" a="1"/>
  <c r="S14" i="10" s="1"/>
  <c r="U14" i="16" s="1"/>
  <c r="S17" i="10" a="1"/>
  <c r="S17" i="10" s="1"/>
  <c r="U17" i="16" s="1"/>
  <c r="S27" i="10" a="1"/>
  <c r="S27" i="10" s="1"/>
  <c r="U27" i="16" s="1"/>
  <c r="S40" i="10" a="1"/>
  <c r="S40" i="10" s="1"/>
  <c r="U40" i="16" s="1"/>
  <c r="S20" i="10" a="1"/>
  <c r="S20" i="10" s="1"/>
  <c r="U20" i="16" s="1"/>
  <c r="S22" i="10" a="1"/>
  <c r="S22" i="10" s="1"/>
  <c r="U22" i="16" s="1"/>
  <c r="S24" i="10" a="1"/>
  <c r="S24" i="10" s="1"/>
  <c r="U24" i="16" s="1"/>
  <c r="S36" i="10" a="1"/>
  <c r="S36" i="10" s="1"/>
  <c r="U36" i="16" s="1"/>
  <c r="S43" i="10" a="1"/>
  <c r="S43" i="10" s="1"/>
  <c r="U43" i="16" s="1"/>
  <c r="S47" i="10" a="1"/>
  <c r="S47" i="10" s="1"/>
  <c r="U47" i="16" s="1"/>
  <c r="S51" i="10" a="1"/>
  <c r="S51" i="10" s="1"/>
  <c r="U51" i="16" s="1"/>
  <c r="S57" i="10" a="1"/>
  <c r="S57" i="10" s="1"/>
  <c r="U57" i="16" s="1"/>
  <c r="S59" i="10" a="1"/>
  <c r="S59" i="10" s="1"/>
  <c r="U59" i="16" s="1"/>
  <c r="S9" i="10" a="1"/>
  <c r="S9" i="10" s="1"/>
  <c r="U9" i="16" s="1"/>
  <c r="S12" i="10" a="1"/>
  <c r="S12" i="10" s="1"/>
  <c r="U12" i="16" s="1"/>
  <c r="S15" i="10" a="1"/>
  <c r="S15" i="10" s="1"/>
  <c r="S30" i="10" a="1"/>
  <c r="S30" i="10" s="1"/>
  <c r="U30" i="16" s="1"/>
  <c r="S32" i="10" a="1"/>
  <c r="S32" i="10" s="1"/>
  <c r="U32" i="16" s="1"/>
  <c r="S34" i="10" a="1"/>
  <c r="S34" i="10" s="1"/>
  <c r="U34" i="16" s="1"/>
  <c r="S39" i="10" a="1"/>
  <c r="S39" i="10" s="1"/>
  <c r="U39" i="16" s="1"/>
  <c r="S54" i="10" a="1"/>
  <c r="S54" i="10" s="1"/>
  <c r="U54" i="16" s="1"/>
  <c r="S4" i="10" a="1"/>
  <c r="S4" i="10" s="1"/>
  <c r="U4" i="16" s="1"/>
  <c r="S25" i="10" a="1"/>
  <c r="S25" i="10" s="1"/>
  <c r="U25" i="16" s="1"/>
  <c r="S28" i="10" a="1"/>
  <c r="S28" i="10" s="1"/>
  <c r="U28" i="16" s="1"/>
  <c r="S42" i="10" a="1"/>
  <c r="S42" i="10" s="1"/>
  <c r="U42" i="16" s="1"/>
  <c r="S46" i="10" a="1"/>
  <c r="S46" i="10" s="1"/>
  <c r="U46" i="16" s="1"/>
  <c r="S52" i="10" a="1"/>
  <c r="S52" i="10" s="1"/>
  <c r="U52" i="16" s="1"/>
  <c r="AA5" i="10" a="1"/>
  <c r="AA5" i="10" s="1"/>
  <c r="AC5" i="16" s="1"/>
  <c r="AA7" i="10" a="1"/>
  <c r="AA7" i="10" s="1"/>
  <c r="AC7" i="16" s="1"/>
  <c r="AA10" i="10" a="1"/>
  <c r="AA10" i="10" s="1"/>
  <c r="AC10" i="16" s="1"/>
  <c r="AA18" i="10" a="1"/>
  <c r="AA18" i="10" s="1"/>
  <c r="AC18" i="16" s="1"/>
  <c r="AA13" i="10" a="1"/>
  <c r="AA13" i="10" s="1"/>
  <c r="AC13" i="16" s="1"/>
  <c r="AA16" i="10" a="1"/>
  <c r="AA16" i="10" s="1"/>
  <c r="AC16" i="16" s="1"/>
  <c r="AA21" i="10" a="1"/>
  <c r="AA21" i="10" s="1"/>
  <c r="AC21" i="16" s="1"/>
  <c r="AA23" i="10" a="1"/>
  <c r="AA23" i="10" s="1"/>
  <c r="AC23" i="16" s="1"/>
  <c r="AA26" i="10" a="1"/>
  <c r="AA26" i="10" s="1"/>
  <c r="AC26" i="16" s="1"/>
  <c r="AA35" i="10" a="1"/>
  <c r="AA35" i="10" s="1"/>
  <c r="AC35" i="16" s="1"/>
  <c r="AA42" i="10" a="1"/>
  <c r="AA42" i="10" s="1"/>
  <c r="AC42" i="16" s="1"/>
  <c r="AA46" i="10" a="1"/>
  <c r="AA46" i="10" s="1"/>
  <c r="AC46" i="16" s="1"/>
  <c r="AA19" i="10" a="1"/>
  <c r="AA19" i="10" s="1"/>
  <c r="AC19" i="16" s="1"/>
  <c r="AA29" i="10" a="1"/>
  <c r="AA29" i="10" s="1"/>
  <c r="AC29" i="16" s="1"/>
  <c r="AA31" i="10" a="1"/>
  <c r="AA31" i="10" s="1"/>
  <c r="AC31" i="16" s="1"/>
  <c r="AA45" i="10" a="1"/>
  <c r="AA45" i="10" s="1"/>
  <c r="AC45" i="16" s="1"/>
  <c r="AA53" i="10" a="1"/>
  <c r="AA53" i="10" s="1"/>
  <c r="AC53" i="16" s="1"/>
  <c r="AA8" i="10" a="1"/>
  <c r="AA8" i="10" s="1"/>
  <c r="AC8" i="16" s="1"/>
  <c r="AA11" i="10" a="1"/>
  <c r="AA11" i="10" s="1"/>
  <c r="AC11" i="16" s="1"/>
  <c r="AA14" i="10" a="1"/>
  <c r="AA14" i="10" s="1"/>
  <c r="AC14" i="16" s="1"/>
  <c r="AA33" i="10" a="1"/>
  <c r="AA33" i="10" s="1"/>
  <c r="AC33" i="16" s="1"/>
  <c r="AA38" i="10" a="1"/>
  <c r="AA38" i="10" s="1"/>
  <c r="AC38" i="16" s="1"/>
  <c r="AA41" i="10" a="1"/>
  <c r="AA41" i="10" s="1"/>
  <c r="AC41" i="16" s="1"/>
  <c r="AA49" i="10" a="1"/>
  <c r="AA49" i="10" s="1"/>
  <c r="AC49" i="16" s="1"/>
  <c r="AA51" i="10" a="1"/>
  <c r="AA51" i="10" s="1"/>
  <c r="AC51" i="16" s="1"/>
  <c r="AA60" i="10" a="1"/>
  <c r="AA60" i="10" s="1"/>
  <c r="AC60" i="16" s="1"/>
  <c r="AA3" i="10" a="1"/>
  <c r="AA3" i="10" s="1"/>
  <c r="AC3" i="16" s="1"/>
  <c r="AA6" i="10" a="1"/>
  <c r="AA6" i="10" s="1"/>
  <c r="AC6" i="16" s="1"/>
  <c r="AA17" i="10" a="1"/>
  <c r="AA17" i="10" s="1"/>
  <c r="AC17" i="16" s="1"/>
  <c r="AA24" i="10" a="1"/>
  <c r="AA24" i="10" s="1"/>
  <c r="AC24" i="16" s="1"/>
  <c r="AA27" i="10" a="1"/>
  <c r="AA27" i="10" s="1"/>
  <c r="AC27" i="16" s="1"/>
  <c r="AA52" i="10" a="1"/>
  <c r="AA52" i="10" s="1"/>
  <c r="AC52" i="16" s="1"/>
  <c r="AA55" i="10" a="1"/>
  <c r="AA55" i="10" s="1"/>
  <c r="AC55" i="16" s="1"/>
  <c r="AA57" i="10" a="1"/>
  <c r="AA57" i="10" s="1"/>
  <c r="AC57" i="16" s="1"/>
  <c r="AA9" i="10" a="1"/>
  <c r="AA9" i="10" s="1"/>
  <c r="AC9" i="16" s="1"/>
  <c r="AA15" i="10" a="1"/>
  <c r="AA15" i="10" s="1"/>
  <c r="AA20" i="10" a="1"/>
  <c r="AA20" i="10" s="1"/>
  <c r="AC20" i="16" s="1"/>
  <c r="AA22" i="10" a="1"/>
  <c r="AA22" i="10" s="1"/>
  <c r="AC22" i="16" s="1"/>
  <c r="AA34" i="10" a="1"/>
  <c r="AA34" i="10" s="1"/>
  <c r="AC34" i="16" s="1"/>
  <c r="AA37" i="10" a="1"/>
  <c r="AA37" i="10" s="1"/>
  <c r="AC37" i="16" s="1"/>
  <c r="AA40" i="10" a="1"/>
  <c r="AA40" i="10" s="1"/>
  <c r="AC40" i="16" s="1"/>
  <c r="AA48" i="10" a="1"/>
  <c r="AA48" i="10" s="1"/>
  <c r="AC48" i="16" s="1"/>
  <c r="AA4" i="10" a="1"/>
  <c r="AA4" i="10" s="1"/>
  <c r="AC4" i="16" s="1"/>
  <c r="AA12" i="10" a="1"/>
  <c r="AA12" i="10" s="1"/>
  <c r="AC12" i="16" s="1"/>
  <c r="AA30" i="10" a="1"/>
  <c r="AA30" i="10" s="1"/>
  <c r="AC30" i="16" s="1"/>
  <c r="AA32" i="10" a="1"/>
  <c r="AA32" i="10" s="1"/>
  <c r="AC32" i="16" s="1"/>
  <c r="AA43" i="10" a="1"/>
  <c r="AA43" i="10" s="1"/>
  <c r="AC43" i="16" s="1"/>
  <c r="AA44" i="10" a="1"/>
  <c r="AA44" i="10" s="1"/>
  <c r="AC44" i="16" s="1"/>
  <c r="AA59" i="10" a="1"/>
  <c r="AA59" i="10" s="1"/>
  <c r="AC59" i="16" s="1"/>
  <c r="V2" i="10" a="1"/>
  <c r="V2" i="10" s="1"/>
  <c r="W71" i="10" a="1"/>
  <c r="W71" i="10" s="1"/>
  <c r="Y71" i="16" s="1"/>
  <c r="Y70" i="10" a="1"/>
  <c r="Y70" i="10" s="1"/>
  <c r="AA70" i="16" s="1"/>
  <c r="C70" i="10" a="1"/>
  <c r="C70" i="10" s="1"/>
  <c r="E70" i="16" s="1"/>
  <c r="U69" i="10" a="1"/>
  <c r="U69" i="10" s="1"/>
  <c r="W69" i="16" s="1"/>
  <c r="X68" i="10" a="1"/>
  <c r="X68" i="10" s="1"/>
  <c r="Z68" i="16" s="1"/>
  <c r="T67" i="10" a="1"/>
  <c r="T67" i="10" s="1"/>
  <c r="V67" i="16" s="1"/>
  <c r="V66" i="10" a="1"/>
  <c r="V66" i="10" s="1"/>
  <c r="X66" i="16" s="1"/>
  <c r="Y65" i="10" a="1"/>
  <c r="Y65" i="10" s="1"/>
  <c r="AA65" i="16" s="1"/>
  <c r="U64" i="10" a="1"/>
  <c r="U64" i="10" s="1"/>
  <c r="W64" i="16" s="1"/>
  <c r="W62" i="10" a="1"/>
  <c r="W62" i="10" s="1"/>
  <c r="Y62" i="16" s="1"/>
  <c r="AA61" i="10" a="1"/>
  <c r="AA61" i="10" s="1"/>
  <c r="AC61" i="16" s="1"/>
  <c r="S61" i="10" a="1"/>
  <c r="S61" i="10" s="1"/>
  <c r="U61" i="16" s="1"/>
  <c r="S58" i="10" a="1"/>
  <c r="S58" i="10" s="1"/>
  <c r="U58" i="16" s="1"/>
  <c r="AA56" i="10" a="1"/>
  <c r="AA56" i="10" s="1"/>
  <c r="AC56" i="16" s="1"/>
  <c r="W55" i="10" a="1"/>
  <c r="W55" i="10" s="1"/>
  <c r="Y55" i="16" s="1"/>
  <c r="Y53" i="10" a="1"/>
  <c r="Y53" i="10" s="1"/>
  <c r="AA53" i="16" s="1"/>
  <c r="Y49" i="10" a="1"/>
  <c r="Y49" i="10" s="1"/>
  <c r="AA49" i="16" s="1"/>
  <c r="AA47" i="10" a="1"/>
  <c r="AA47" i="10" s="1"/>
  <c r="AC47" i="16" s="1"/>
  <c r="Y38" i="10" a="1"/>
  <c r="Y38" i="10" s="1"/>
  <c r="AA38" i="16" s="1"/>
  <c r="V36" i="10" a="1"/>
  <c r="V36" i="10" s="1"/>
  <c r="X36" i="16" s="1"/>
  <c r="V24" i="10" a="1"/>
  <c r="V24" i="10" s="1"/>
  <c r="X24" i="16" s="1"/>
  <c r="S21" i="10" a="1"/>
  <c r="S21" i="10" s="1"/>
  <c r="U21" i="16" s="1"/>
  <c r="W14" i="10" a="1"/>
  <c r="W14" i="10" s="1"/>
  <c r="Y14" i="16" s="1"/>
  <c r="Z7" i="10" a="1"/>
  <c r="Z7" i="10" s="1"/>
  <c r="AB7" i="16" s="1"/>
  <c r="T7" i="10" a="1"/>
  <c r="T7" i="10" s="1"/>
  <c r="V7" i="16" s="1"/>
  <c r="T16" i="10" a="1"/>
  <c r="T16" i="10" s="1"/>
  <c r="V16" i="16" s="1"/>
  <c r="T18" i="10" a="1"/>
  <c r="T18" i="10" s="1"/>
  <c r="V18" i="16" s="1"/>
  <c r="T25" i="10" a="1"/>
  <c r="T25" i="10" s="1"/>
  <c r="V25" i="16" s="1"/>
  <c r="T35" i="10" a="1"/>
  <c r="T35" i="10" s="1"/>
  <c r="V35" i="16" s="1"/>
  <c r="T5" i="10" a="1"/>
  <c r="T5" i="10" s="1"/>
  <c r="V5" i="16" s="1"/>
  <c r="T10" i="10" a="1"/>
  <c r="T10" i="10" s="1"/>
  <c r="V10" i="16" s="1"/>
  <c r="T21" i="10" a="1"/>
  <c r="T21" i="10" s="1"/>
  <c r="V21" i="16" s="1"/>
  <c r="T23" i="10" a="1"/>
  <c r="T23" i="10" s="1"/>
  <c r="V23" i="16" s="1"/>
  <c r="T38" i="10" a="1"/>
  <c r="T38" i="10" s="1"/>
  <c r="V38" i="16" s="1"/>
  <c r="T41" i="10" a="1"/>
  <c r="T41" i="10" s="1"/>
  <c r="V41" i="16" s="1"/>
  <c r="T50" i="10" a="1"/>
  <c r="T50" i="10" s="1"/>
  <c r="V50" i="16" s="1"/>
  <c r="T58" i="10" a="1"/>
  <c r="T58" i="10" s="1"/>
  <c r="V58" i="16" s="1"/>
  <c r="T61" i="10" a="1"/>
  <c r="T61" i="10" s="1"/>
  <c r="V61" i="16" s="1"/>
  <c r="T13" i="10" a="1"/>
  <c r="T13" i="10" s="1"/>
  <c r="V13" i="16" s="1"/>
  <c r="T26" i="10" a="1"/>
  <c r="T26" i="10" s="1"/>
  <c r="V26" i="16" s="1"/>
  <c r="T29" i="10" a="1"/>
  <c r="T29" i="10" s="1"/>
  <c r="V29" i="16" s="1"/>
  <c r="T31" i="10" a="1"/>
  <c r="T31" i="10" s="1"/>
  <c r="V31" i="16" s="1"/>
  <c r="T33" i="10" a="1"/>
  <c r="T33" i="10" s="1"/>
  <c r="V33" i="16" s="1"/>
  <c r="T45" i="10" a="1"/>
  <c r="T45" i="10" s="1"/>
  <c r="V45" i="16" s="1"/>
  <c r="T49" i="10" a="1"/>
  <c r="T49" i="10" s="1"/>
  <c r="V49" i="16" s="1"/>
  <c r="T53" i="10" a="1"/>
  <c r="T53" i="10" s="1"/>
  <c r="V53" i="16" s="1"/>
  <c r="T8" i="10" a="1"/>
  <c r="T8" i="10" s="1"/>
  <c r="V8" i="16" s="1"/>
  <c r="T11" i="10" a="1"/>
  <c r="T11" i="10" s="1"/>
  <c r="V11" i="16" s="1"/>
  <c r="T19" i="10" a="1"/>
  <c r="T19" i="10" s="1"/>
  <c r="V19" i="16" s="1"/>
  <c r="T37" i="10" a="1"/>
  <c r="T37" i="10" s="1"/>
  <c r="V37" i="16" s="1"/>
  <c r="T44" i="10" a="1"/>
  <c r="T44" i="10" s="1"/>
  <c r="V44" i="16" s="1"/>
  <c r="T48" i="10" a="1"/>
  <c r="T48" i="10" s="1"/>
  <c r="V48" i="16" s="1"/>
  <c r="T3" i="10" a="1"/>
  <c r="T3" i="10" s="1"/>
  <c r="V3" i="16" s="1"/>
  <c r="T6" i="10" a="1"/>
  <c r="T6" i="10" s="1"/>
  <c r="V6" i="16" s="1"/>
  <c r="T14" i="10" a="1"/>
  <c r="T14" i="10" s="1"/>
  <c r="V14" i="16" s="1"/>
  <c r="T27" i="10" a="1"/>
  <c r="T27" i="10" s="1"/>
  <c r="V27" i="16" s="1"/>
  <c r="T40" i="10" a="1"/>
  <c r="T40" i="10" s="1"/>
  <c r="V40" i="16" s="1"/>
  <c r="T55" i="10" a="1"/>
  <c r="T55" i="10" s="1"/>
  <c r="V55" i="16" s="1"/>
  <c r="T17" i="10" a="1"/>
  <c r="T17" i="10" s="1"/>
  <c r="V17" i="16" s="1"/>
  <c r="T20" i="10" a="1"/>
  <c r="T20" i="10" s="1"/>
  <c r="V20" i="16" s="1"/>
  <c r="T22" i="10" a="1"/>
  <c r="T22" i="10" s="1"/>
  <c r="V22" i="16" s="1"/>
  <c r="T24" i="10" a="1"/>
  <c r="T24" i="10" s="1"/>
  <c r="V24" i="16" s="1"/>
  <c r="T36" i="10" a="1"/>
  <c r="T36" i="10" s="1"/>
  <c r="V36" i="16" s="1"/>
  <c r="T43" i="10" a="1"/>
  <c r="T43" i="10" s="1"/>
  <c r="V43" i="16" s="1"/>
  <c r="T47" i="10" a="1"/>
  <c r="T47" i="10" s="1"/>
  <c r="V47" i="16" s="1"/>
  <c r="T57" i="10" a="1"/>
  <c r="T57" i="10" s="1"/>
  <c r="V57" i="16" s="1"/>
  <c r="T59" i="10" a="1"/>
  <c r="T59" i="10" s="1"/>
  <c r="V59" i="16" s="1"/>
  <c r="T9" i="10" a="1"/>
  <c r="T9" i="10" s="1"/>
  <c r="V9" i="16" s="1"/>
  <c r="T12" i="10" a="1"/>
  <c r="T12" i="10" s="1"/>
  <c r="V12" i="16" s="1"/>
  <c r="T15" i="10" a="1"/>
  <c r="T15" i="10" s="1"/>
  <c r="T30" i="10" a="1"/>
  <c r="T30" i="10" s="1"/>
  <c r="V30" i="16" s="1"/>
  <c r="T32" i="10" a="1"/>
  <c r="T32" i="10" s="1"/>
  <c r="V32" i="16" s="1"/>
  <c r="T34" i="10" a="1"/>
  <c r="T34" i="10" s="1"/>
  <c r="V34" i="16" s="1"/>
  <c r="T39" i="10" a="1"/>
  <c r="T39" i="10" s="1"/>
  <c r="V39" i="16" s="1"/>
  <c r="T51" i="10" a="1"/>
  <c r="T51" i="10" s="1"/>
  <c r="V51" i="16" s="1"/>
  <c r="T54" i="10" a="1"/>
  <c r="T54" i="10" s="1"/>
  <c r="V54" i="16" s="1"/>
  <c r="AA4" i="5"/>
  <c r="AA3" i="5" s="1"/>
  <c r="S4" i="5"/>
  <c r="S3" i="5" s="1"/>
  <c r="AA2" i="10" a="1"/>
  <c r="AA2" i="10" s="1"/>
  <c r="U2" i="10" a="1"/>
  <c r="U2" i="10" s="1"/>
  <c r="V71" i="10" a="1"/>
  <c r="V71" i="10" s="1"/>
  <c r="X71" i="16" s="1"/>
  <c r="X70" i="10" a="1"/>
  <c r="X70" i="10" s="1"/>
  <c r="Z70" i="16" s="1"/>
  <c r="T69" i="10" a="1"/>
  <c r="T69" i="10" s="1"/>
  <c r="V69" i="16" s="1"/>
  <c r="W68" i="10" a="1"/>
  <c r="W68" i="10" s="1"/>
  <c r="Y68" i="16" s="1"/>
  <c r="AA67" i="10" a="1"/>
  <c r="AA67" i="10" s="1"/>
  <c r="AC67" i="16" s="1"/>
  <c r="S67" i="10" a="1"/>
  <c r="S67" i="10" s="1"/>
  <c r="U67" i="16" s="1"/>
  <c r="U66" i="10" a="1"/>
  <c r="U66" i="10" s="1"/>
  <c r="W66" i="16" s="1"/>
  <c r="X65" i="10" a="1"/>
  <c r="X65" i="10" s="1"/>
  <c r="Z65" i="16" s="1"/>
  <c r="AA64" i="10" a="1"/>
  <c r="AA64" i="10" s="1"/>
  <c r="AC64" i="16" s="1"/>
  <c r="AA63" i="10" a="1"/>
  <c r="AA63" i="10" s="1"/>
  <c r="AC63" i="16" s="1"/>
  <c r="W63" i="10" a="1"/>
  <c r="W63" i="10" s="1"/>
  <c r="Y63" i="16" s="1"/>
  <c r="S63" i="10" a="1"/>
  <c r="S63" i="10" s="1"/>
  <c r="U63" i="16" s="1"/>
  <c r="Z61" i="10" a="1"/>
  <c r="Z61" i="10" s="1"/>
  <c r="AB61" i="16" s="1"/>
  <c r="V59" i="10" a="1"/>
  <c r="V59" i="10" s="1"/>
  <c r="X59" i="16" s="1"/>
  <c r="C58" i="10" a="1"/>
  <c r="C58" i="10" s="1"/>
  <c r="E58" i="16" s="1"/>
  <c r="Z56" i="10" a="1"/>
  <c r="Z56" i="10" s="1"/>
  <c r="AB56" i="16" s="1"/>
  <c r="S55" i="10" a="1"/>
  <c r="S55" i="10" s="1"/>
  <c r="U55" i="16" s="1"/>
  <c r="X53" i="10" a="1"/>
  <c r="X53" i="10" s="1"/>
  <c r="Z53" i="16" s="1"/>
  <c r="AA50" i="10" a="1"/>
  <c r="AA50" i="10" s="1"/>
  <c r="AC50" i="16" s="1"/>
  <c r="X49" i="10" a="1"/>
  <c r="X49" i="10" s="1"/>
  <c r="Z49" i="16" s="1"/>
  <c r="S38" i="10" a="1"/>
  <c r="S38" i="10" s="1"/>
  <c r="U38" i="16" s="1"/>
  <c r="X33" i="10" a="1"/>
  <c r="X33" i="10" s="1"/>
  <c r="Z33" i="16" s="1"/>
  <c r="W27" i="10" a="1"/>
  <c r="W27" i="10" s="1"/>
  <c r="Y27" i="16" s="1"/>
  <c r="V17" i="10" a="1"/>
  <c r="V17" i="10" s="1"/>
  <c r="X17" i="16" s="1"/>
  <c r="Z10" i="10" a="1"/>
  <c r="Z10" i="10" s="1"/>
  <c r="AB10" i="16" s="1"/>
  <c r="S7" i="10" a="1"/>
  <c r="S7" i="10" s="1"/>
  <c r="U7" i="16" s="1"/>
  <c r="U4" i="10" a="1"/>
  <c r="U4" i="10" s="1"/>
  <c r="W4" i="16" s="1"/>
  <c r="U28" i="10" a="1"/>
  <c r="U28" i="10" s="1"/>
  <c r="W28" i="16" s="1"/>
  <c r="U30" i="10" a="1"/>
  <c r="U30" i="10" s="1"/>
  <c r="W30" i="16" s="1"/>
  <c r="U7" i="10" a="1"/>
  <c r="U7" i="10" s="1"/>
  <c r="W7" i="16" s="1"/>
  <c r="U16" i="10" a="1"/>
  <c r="U16" i="10" s="1"/>
  <c r="W16" i="16" s="1"/>
  <c r="U18" i="10" a="1"/>
  <c r="U18" i="10" s="1"/>
  <c r="W18" i="16" s="1"/>
  <c r="U25" i="10" a="1"/>
  <c r="U25" i="10" s="1"/>
  <c r="W25" i="16" s="1"/>
  <c r="U56" i="10" a="1"/>
  <c r="U56" i="10" s="1"/>
  <c r="W56" i="16" s="1"/>
  <c r="U5" i="10" a="1"/>
  <c r="U5" i="10" s="1"/>
  <c r="W5" i="16" s="1"/>
  <c r="U10" i="10" a="1"/>
  <c r="U10" i="10" s="1"/>
  <c r="W10" i="16" s="1"/>
  <c r="U21" i="10" a="1"/>
  <c r="U21" i="10" s="1"/>
  <c r="W21" i="16" s="1"/>
  <c r="U23" i="10" a="1"/>
  <c r="U23" i="10" s="1"/>
  <c r="W23" i="16" s="1"/>
  <c r="U35" i="10" a="1"/>
  <c r="U35" i="10" s="1"/>
  <c r="W35" i="16" s="1"/>
  <c r="U38" i="10" a="1"/>
  <c r="U38" i="10" s="1"/>
  <c r="W38" i="16" s="1"/>
  <c r="U52" i="10" a="1"/>
  <c r="U52" i="10" s="1"/>
  <c r="W52" i="16" s="1"/>
  <c r="U13" i="10" a="1"/>
  <c r="U13" i="10" s="1"/>
  <c r="W13" i="16" s="1"/>
  <c r="U26" i="10" a="1"/>
  <c r="U26" i="10" s="1"/>
  <c r="W26" i="16" s="1"/>
  <c r="U29" i="10" a="1"/>
  <c r="U29" i="10" s="1"/>
  <c r="W29" i="16" s="1"/>
  <c r="U31" i="10" a="1"/>
  <c r="U31" i="10" s="1"/>
  <c r="W31" i="16" s="1"/>
  <c r="U41" i="10" a="1"/>
  <c r="U41" i="10" s="1"/>
  <c r="W41" i="16" s="1"/>
  <c r="U45" i="10" a="1"/>
  <c r="U45" i="10" s="1"/>
  <c r="W45" i="16" s="1"/>
  <c r="U50" i="10" a="1"/>
  <c r="U50" i="10" s="1"/>
  <c r="W50" i="16" s="1"/>
  <c r="U53" i="10" a="1"/>
  <c r="U53" i="10" s="1"/>
  <c r="W53" i="16" s="1"/>
  <c r="U60" i="10" a="1"/>
  <c r="U60" i="10" s="1"/>
  <c r="W60" i="16" s="1"/>
  <c r="U8" i="10" a="1"/>
  <c r="U8" i="10" s="1"/>
  <c r="W8" i="16" s="1"/>
  <c r="U11" i="10" a="1"/>
  <c r="U11" i="10" s="1"/>
  <c r="W11" i="16" s="1"/>
  <c r="U19" i="10" a="1"/>
  <c r="U19" i="10" s="1"/>
  <c r="W19" i="16" s="1"/>
  <c r="U33" i="10" a="1"/>
  <c r="U33" i="10" s="1"/>
  <c r="W33" i="16" s="1"/>
  <c r="U49" i="10" a="1"/>
  <c r="U49" i="10" s="1"/>
  <c r="W49" i="16" s="1"/>
  <c r="U3" i="10" a="1"/>
  <c r="U3" i="10" s="1"/>
  <c r="W3" i="16" s="1"/>
  <c r="U6" i="10" a="1"/>
  <c r="U6" i="10" s="1"/>
  <c r="W6" i="16" s="1"/>
  <c r="U14" i="10" a="1"/>
  <c r="U14" i="10" s="1"/>
  <c r="W14" i="16" s="1"/>
  <c r="U27" i="10" a="1"/>
  <c r="U27" i="10" s="1"/>
  <c r="W27" i="16" s="1"/>
  <c r="U37" i="10" a="1"/>
  <c r="U37" i="10" s="1"/>
  <c r="W37" i="16" s="1"/>
  <c r="U44" i="10" a="1"/>
  <c r="U44" i="10" s="1"/>
  <c r="W44" i="16" s="1"/>
  <c r="U48" i="10" a="1"/>
  <c r="U48" i="10" s="1"/>
  <c r="W48" i="16" s="1"/>
  <c r="U55" i="10" a="1"/>
  <c r="U55" i="10" s="1"/>
  <c r="W55" i="16" s="1"/>
  <c r="U17" i="10" a="1"/>
  <c r="U17" i="10" s="1"/>
  <c r="W17" i="16" s="1"/>
  <c r="U20" i="10" a="1"/>
  <c r="U20" i="10" s="1"/>
  <c r="W20" i="16" s="1"/>
  <c r="U22" i="10" a="1"/>
  <c r="U22" i="10" s="1"/>
  <c r="W22" i="16" s="1"/>
  <c r="U24" i="10" a="1"/>
  <c r="U24" i="10" s="1"/>
  <c r="W24" i="16" s="1"/>
  <c r="U40" i="10" a="1"/>
  <c r="U40" i="10" s="1"/>
  <c r="W40" i="16" s="1"/>
  <c r="U43" i="10" a="1"/>
  <c r="U43" i="10" s="1"/>
  <c r="W43" i="16" s="1"/>
  <c r="U47" i="10" a="1"/>
  <c r="U47" i="10" s="1"/>
  <c r="W47" i="16" s="1"/>
  <c r="U57" i="10" a="1"/>
  <c r="U57" i="10" s="1"/>
  <c r="W57" i="16" s="1"/>
  <c r="Z4" i="5"/>
  <c r="Z3" i="5" s="1"/>
  <c r="T2" i="10" a="1"/>
  <c r="T2" i="10" s="1"/>
  <c r="U71" i="10" a="1"/>
  <c r="U71" i="10" s="1"/>
  <c r="W71" i="16" s="1"/>
  <c r="W70" i="10" a="1"/>
  <c r="W70" i="10" s="1"/>
  <c r="Y70" i="16" s="1"/>
  <c r="AA69" i="10" a="1"/>
  <c r="AA69" i="10" s="1"/>
  <c r="AC69" i="16" s="1"/>
  <c r="S69" i="10" a="1"/>
  <c r="S69" i="10" s="1"/>
  <c r="U69" i="16" s="1"/>
  <c r="V68" i="10" a="1"/>
  <c r="V68" i="10" s="1"/>
  <c r="X68" i="16" s="1"/>
  <c r="Z67" i="10" a="1"/>
  <c r="Z67" i="10" s="1"/>
  <c r="AB67" i="16" s="1"/>
  <c r="T66" i="10" a="1"/>
  <c r="T66" i="10" s="1"/>
  <c r="V66" i="16" s="1"/>
  <c r="W65" i="10" a="1"/>
  <c r="W65" i="10" s="1"/>
  <c r="Y65" i="16" s="1"/>
  <c r="Z64" i="10" a="1"/>
  <c r="Z64" i="10" s="1"/>
  <c r="AB64" i="16" s="1"/>
  <c r="T64" i="10" a="1"/>
  <c r="T64" i="10" s="1"/>
  <c r="V64" i="16" s="1"/>
  <c r="V62" i="10" a="1"/>
  <c r="V62" i="10" s="1"/>
  <c r="X62" i="16" s="1"/>
  <c r="Y61" i="10" a="1"/>
  <c r="Y61" i="10" s="1"/>
  <c r="AA61" i="16" s="1"/>
  <c r="U59" i="10" a="1"/>
  <c r="U59" i="10" s="1"/>
  <c r="W59" i="16" s="1"/>
  <c r="S53" i="10" a="1"/>
  <c r="S53" i="10" s="1"/>
  <c r="U53" i="16" s="1"/>
  <c r="S49" i="10" a="1"/>
  <c r="S49" i="10" s="1"/>
  <c r="U49" i="16" s="1"/>
  <c r="Z45" i="10" a="1"/>
  <c r="Z45" i="10" s="1"/>
  <c r="AB45" i="16" s="1"/>
  <c r="W43" i="10" a="1"/>
  <c r="W43" i="10" s="1"/>
  <c r="Y43" i="16" s="1"/>
  <c r="Y41" i="10" a="1"/>
  <c r="Y41" i="10" s="1"/>
  <c r="AA41" i="16" s="1"/>
  <c r="AA39" i="10" a="1"/>
  <c r="AA39" i="10" s="1"/>
  <c r="AC39" i="16" s="1"/>
  <c r="Y23" i="10" a="1"/>
  <c r="Y23" i="10" s="1"/>
  <c r="AA23" i="16" s="1"/>
  <c r="Y13" i="10" a="1"/>
  <c r="Y13" i="10" s="1"/>
  <c r="AA13" i="16" s="1"/>
  <c r="S10" i="10" a="1"/>
  <c r="S10" i="10" s="1"/>
  <c r="U10" i="16" s="1"/>
  <c r="F4" i="10" a="1"/>
  <c r="F4" i="10" s="1"/>
  <c r="H4" i="16" s="1"/>
  <c r="F55" i="10" a="1"/>
  <c r="F55" i="10" s="1"/>
  <c r="H55" i="16" s="1"/>
  <c r="F47" i="10" a="1"/>
  <c r="F47" i="10" s="1"/>
  <c r="H47" i="16" s="1"/>
  <c r="F57" i="10" a="1"/>
  <c r="F57" i="10" s="1"/>
  <c r="H57" i="16" s="1"/>
  <c r="N3" i="10" a="1"/>
  <c r="N3" i="10" s="1"/>
  <c r="P3" i="16" s="1"/>
  <c r="N44" i="10" a="1"/>
  <c r="N44" i="10" s="1"/>
  <c r="P44" i="16" s="1"/>
  <c r="N51" i="10" a="1"/>
  <c r="N51" i="10" s="1"/>
  <c r="P51" i="16" s="1"/>
  <c r="N61" i="10" a="1"/>
  <c r="N61" i="10" s="1"/>
  <c r="P61" i="16" s="1"/>
  <c r="V9" i="10" a="1"/>
  <c r="V9" i="10" s="1"/>
  <c r="X9" i="16" s="1"/>
  <c r="V12" i="10" a="1"/>
  <c r="V12" i="10" s="1"/>
  <c r="X12" i="16" s="1"/>
  <c r="V15" i="10" a="1"/>
  <c r="V15" i="10" s="1"/>
  <c r="V20" i="10" a="1"/>
  <c r="V20" i="10" s="1"/>
  <c r="X20" i="16" s="1"/>
  <c r="V32" i="10" a="1"/>
  <c r="V32" i="10" s="1"/>
  <c r="X32" i="16" s="1"/>
  <c r="V34" i="10" a="1"/>
  <c r="V34" i="10" s="1"/>
  <c r="X34" i="16" s="1"/>
  <c r="V4" i="10" a="1"/>
  <c r="V4" i="10" s="1"/>
  <c r="X4" i="16" s="1"/>
  <c r="V28" i="10" a="1"/>
  <c r="V28" i="10" s="1"/>
  <c r="X28" i="16" s="1"/>
  <c r="V30" i="10" a="1"/>
  <c r="V30" i="10" s="1"/>
  <c r="X30" i="16" s="1"/>
  <c r="V46" i="10" a="1"/>
  <c r="V46" i="10" s="1"/>
  <c r="X46" i="16" s="1"/>
  <c r="V54" i="10" a="1"/>
  <c r="V54" i="10" s="1"/>
  <c r="X54" i="16" s="1"/>
  <c r="V7" i="10" a="1"/>
  <c r="V7" i="10" s="1"/>
  <c r="X7" i="16" s="1"/>
  <c r="V18" i="10" a="1"/>
  <c r="V18" i="10" s="1"/>
  <c r="X18" i="16" s="1"/>
  <c r="V25" i="10" a="1"/>
  <c r="V25" i="10" s="1"/>
  <c r="X25" i="16" s="1"/>
  <c r="V42" i="10" a="1"/>
  <c r="V42" i="10" s="1"/>
  <c r="X42" i="16" s="1"/>
  <c r="V51" i="10" a="1"/>
  <c r="V51" i="10" s="1"/>
  <c r="X51" i="16" s="1"/>
  <c r="V5" i="10" a="1"/>
  <c r="V5" i="10" s="1"/>
  <c r="X5" i="16" s="1"/>
  <c r="V10" i="10" a="1"/>
  <c r="V10" i="10" s="1"/>
  <c r="X10" i="16" s="1"/>
  <c r="V16" i="10" a="1"/>
  <c r="V16" i="10" s="1"/>
  <c r="X16" i="16" s="1"/>
  <c r="V21" i="10" a="1"/>
  <c r="V21" i="10" s="1"/>
  <c r="X21" i="16" s="1"/>
  <c r="V23" i="10" a="1"/>
  <c r="V23" i="10" s="1"/>
  <c r="X23" i="16" s="1"/>
  <c r="V35" i="10" a="1"/>
  <c r="V35" i="10" s="1"/>
  <c r="X35" i="16" s="1"/>
  <c r="V56" i="10" a="1"/>
  <c r="V56" i="10" s="1"/>
  <c r="X56" i="16" s="1"/>
  <c r="V58" i="10" a="1"/>
  <c r="V58" i="10" s="1"/>
  <c r="X58" i="16" s="1"/>
  <c r="V13" i="10" a="1"/>
  <c r="V13" i="10" s="1"/>
  <c r="X13" i="16" s="1"/>
  <c r="V26" i="10" a="1"/>
  <c r="V26" i="10" s="1"/>
  <c r="X26" i="16" s="1"/>
  <c r="V29" i="10" a="1"/>
  <c r="V29" i="10" s="1"/>
  <c r="X29" i="16" s="1"/>
  <c r="V31" i="10" a="1"/>
  <c r="V31" i="10" s="1"/>
  <c r="X31" i="16" s="1"/>
  <c r="V38" i="10" a="1"/>
  <c r="V38" i="10" s="1"/>
  <c r="X38" i="16" s="1"/>
  <c r="V41" i="10" a="1"/>
  <c r="V41" i="10" s="1"/>
  <c r="X41" i="16" s="1"/>
  <c r="V45" i="10" a="1"/>
  <c r="V45" i="10" s="1"/>
  <c r="X45" i="16" s="1"/>
  <c r="V52" i="10" a="1"/>
  <c r="V52" i="10" s="1"/>
  <c r="X52" i="16" s="1"/>
  <c r="V53" i="10" a="1"/>
  <c r="V53" i="10" s="1"/>
  <c r="X53" i="16" s="1"/>
  <c r="V8" i="10" a="1"/>
  <c r="V8" i="10" s="1"/>
  <c r="X8" i="16" s="1"/>
  <c r="V11" i="10" a="1"/>
  <c r="V11" i="10" s="1"/>
  <c r="X11" i="16" s="1"/>
  <c r="V19" i="10" a="1"/>
  <c r="V19" i="10" s="1"/>
  <c r="X19" i="16" s="1"/>
  <c r="V33" i="10" a="1"/>
  <c r="V33" i="10" s="1"/>
  <c r="X33" i="16" s="1"/>
  <c r="V49" i="10" a="1"/>
  <c r="V49" i="10" s="1"/>
  <c r="X49" i="16" s="1"/>
  <c r="V50" i="10" a="1"/>
  <c r="V50" i="10" s="1"/>
  <c r="X50" i="16" s="1"/>
  <c r="V60" i="10" a="1"/>
  <c r="V60" i="10" s="1"/>
  <c r="X60" i="16" s="1"/>
  <c r="V3" i="10" a="1"/>
  <c r="V3" i="10" s="1"/>
  <c r="X3" i="16" s="1"/>
  <c r="V6" i="10" a="1"/>
  <c r="V6" i="10" s="1"/>
  <c r="X6" i="16" s="1"/>
  <c r="V14" i="10" a="1"/>
  <c r="V14" i="10" s="1"/>
  <c r="X14" i="16" s="1"/>
  <c r="V27" i="10" a="1"/>
  <c r="V27" i="10" s="1"/>
  <c r="X27" i="16" s="1"/>
  <c r="V37" i="10" a="1"/>
  <c r="V37" i="10" s="1"/>
  <c r="X37" i="16" s="1"/>
  <c r="V55" i="10" a="1"/>
  <c r="V55" i="10" s="1"/>
  <c r="X55" i="16" s="1"/>
  <c r="Y4" i="5"/>
  <c r="Y3" i="5" s="1"/>
  <c r="Z2" i="10" a="1"/>
  <c r="Z2" i="10" s="1"/>
  <c r="S2" i="10" a="1"/>
  <c r="S2" i="10" s="1"/>
  <c r="T71" i="10" a="1"/>
  <c r="T71" i="10" s="1"/>
  <c r="V71" i="16" s="1"/>
  <c r="V70" i="10" a="1"/>
  <c r="V70" i="10" s="1"/>
  <c r="X70" i="16" s="1"/>
  <c r="Z69" i="10" a="1"/>
  <c r="Z69" i="10" s="1"/>
  <c r="AB69" i="16" s="1"/>
  <c r="C69" i="10" a="1"/>
  <c r="C69" i="10" s="1"/>
  <c r="E69" i="16" s="1"/>
  <c r="U68" i="10" a="1"/>
  <c r="U68" i="10" s="1"/>
  <c r="W68" i="16" s="1"/>
  <c r="Y67" i="10" a="1"/>
  <c r="Y67" i="10" s="1"/>
  <c r="AA67" i="16" s="1"/>
  <c r="AA66" i="10" a="1"/>
  <c r="AA66" i="10" s="1"/>
  <c r="AC66" i="16" s="1"/>
  <c r="S66" i="10" a="1"/>
  <c r="S66" i="10" s="1"/>
  <c r="U66" i="16" s="1"/>
  <c r="V65" i="10" a="1"/>
  <c r="V65" i="10" s="1"/>
  <c r="X65" i="16" s="1"/>
  <c r="Y64" i="10" a="1"/>
  <c r="Y64" i="10" s="1"/>
  <c r="AA64" i="16" s="1"/>
  <c r="Z63" i="10" a="1"/>
  <c r="Z63" i="10" s="1"/>
  <c r="AB63" i="16" s="1"/>
  <c r="V63" i="10" a="1"/>
  <c r="V63" i="10" s="1"/>
  <c r="X63" i="16" s="1"/>
  <c r="U62" i="10" a="1"/>
  <c r="U62" i="10" s="1"/>
  <c r="W62" i="16" s="1"/>
  <c r="Y60" i="10" a="1"/>
  <c r="Y60" i="10" s="1"/>
  <c r="AA60" i="16" s="1"/>
  <c r="Y57" i="10" a="1"/>
  <c r="Y57" i="10" s="1"/>
  <c r="AA57" i="16" s="1"/>
  <c r="T56" i="10" a="1"/>
  <c r="T56" i="10" s="1"/>
  <c r="V56" i="16" s="1"/>
  <c r="AA54" i="10" a="1"/>
  <c r="AA54" i="10" s="1"/>
  <c r="AC54" i="16" s="1"/>
  <c r="Y51" i="10" a="1"/>
  <c r="Y51" i="10" s="1"/>
  <c r="AA51" i="16" s="1"/>
  <c r="W50" i="10" a="1"/>
  <c r="W50" i="10" s="1"/>
  <c r="Y50" i="16" s="1"/>
  <c r="Y45" i="10" a="1"/>
  <c r="Y45" i="10" s="1"/>
  <c r="AA45" i="16" s="1"/>
  <c r="V43" i="10" a="1"/>
  <c r="V43" i="10" s="1"/>
  <c r="X43" i="16" s="1"/>
  <c r="Y26" i="10" a="1"/>
  <c r="Y26" i="10" s="1"/>
  <c r="AA26" i="16" s="1"/>
  <c r="F23" i="10" a="1"/>
  <c r="F23" i="10" s="1"/>
  <c r="H23" i="16" s="1"/>
  <c r="W6" i="10" a="1"/>
  <c r="W6" i="10" s="1"/>
  <c r="Y6" i="16" s="1"/>
  <c r="R57" i="10" a="1"/>
  <c r="R57" i="10" s="1"/>
  <c r="T57" i="16" s="1"/>
  <c r="R53" i="10" a="1"/>
  <c r="R53" i="10" s="1"/>
  <c r="T53" i="16" s="1"/>
  <c r="J49" i="10" a="1"/>
  <c r="J49" i="10" s="1"/>
  <c r="L49" i="16" s="1"/>
  <c r="R46" i="10" a="1"/>
  <c r="R46" i="10" s="1"/>
  <c r="T46" i="16" s="1"/>
  <c r="R43" i="10" a="1"/>
  <c r="R43" i="10" s="1"/>
  <c r="T43" i="16" s="1"/>
  <c r="R22" i="10" a="1"/>
  <c r="R22" i="10" s="1"/>
  <c r="T22" i="16" s="1"/>
  <c r="N62" i="10" a="1"/>
  <c r="N62" i="10" s="1"/>
  <c r="P62" i="16" s="1"/>
  <c r="J48" i="10" a="1"/>
  <c r="J48" i="10" s="1"/>
  <c r="L48" i="16" s="1"/>
  <c r="L44" i="10" a="1"/>
  <c r="L44" i="10" s="1"/>
  <c r="N44" i="16" s="1"/>
  <c r="Q42" i="10" a="1"/>
  <c r="Q42" i="10" s="1"/>
  <c r="S42" i="16" s="1"/>
  <c r="R41" i="10" a="1"/>
  <c r="R41" i="10" s="1"/>
  <c r="T41" i="16" s="1"/>
  <c r="R40" i="10" a="1"/>
  <c r="R40" i="10" s="1"/>
  <c r="T40" i="16" s="1"/>
  <c r="R38" i="10" a="1"/>
  <c r="R38" i="10" s="1"/>
  <c r="T38" i="16" s="1"/>
  <c r="N37" i="10" a="1"/>
  <c r="N37" i="10" s="1"/>
  <c r="P37" i="16" s="1"/>
  <c r="R36" i="10" a="1"/>
  <c r="R36" i="10" s="1"/>
  <c r="T36" i="16" s="1"/>
  <c r="J35" i="10" a="1"/>
  <c r="J35" i="10" s="1"/>
  <c r="L35" i="16" s="1"/>
  <c r="R31" i="10" a="1"/>
  <c r="R31" i="10" s="1"/>
  <c r="T31" i="16" s="1"/>
  <c r="L30" i="10" a="1"/>
  <c r="L30" i="10" s="1"/>
  <c r="N30" i="16" s="1"/>
  <c r="Q27" i="10" a="1"/>
  <c r="Q27" i="10" s="1"/>
  <c r="S27" i="16" s="1"/>
  <c r="R25" i="10" a="1"/>
  <c r="R25" i="10" s="1"/>
  <c r="T25" i="16" s="1"/>
  <c r="R15" i="10" a="1"/>
  <c r="R15" i="10" s="1"/>
  <c r="R13" i="10" a="1"/>
  <c r="R13" i="10" s="1"/>
  <c r="T13" i="16" s="1"/>
  <c r="R9" i="10" a="1"/>
  <c r="R9" i="10" s="1"/>
  <c r="T9" i="16" s="1"/>
  <c r="R37" i="10" a="1"/>
  <c r="R37" i="10" s="1"/>
  <c r="T37" i="16" s="1"/>
  <c r="J4" i="10" a="1"/>
  <c r="J4" i="10" s="1"/>
  <c r="L4" i="16" s="1"/>
  <c r="R71" i="10" a="1"/>
  <c r="R71" i="10" s="1"/>
  <c r="T71" i="16" s="1"/>
  <c r="R69" i="10" a="1"/>
  <c r="R69" i="10" s="1"/>
  <c r="T69" i="16" s="1"/>
  <c r="R63" i="10" a="1"/>
  <c r="R63" i="10" s="1"/>
  <c r="T63" i="16" s="1"/>
  <c r="R58" i="10" a="1"/>
  <c r="R58" i="10" s="1"/>
  <c r="T58" i="16" s="1"/>
  <c r="R54" i="10" a="1"/>
  <c r="R54" i="10" s="1"/>
  <c r="T54" i="16" s="1"/>
  <c r="N41" i="10" a="1"/>
  <c r="N41" i="10" s="1"/>
  <c r="P41" i="16" s="1"/>
  <c r="O40" i="10" a="1"/>
  <c r="O40" i="10" s="1"/>
  <c r="Q40" i="16" s="1"/>
  <c r="R39" i="10" a="1"/>
  <c r="R39" i="10" s="1"/>
  <c r="T39" i="16" s="1"/>
  <c r="J36" i="10" a="1"/>
  <c r="J36" i="10" s="1"/>
  <c r="L36" i="16" s="1"/>
  <c r="R32" i="10" a="1"/>
  <c r="R32" i="10" s="1"/>
  <c r="T32" i="16" s="1"/>
  <c r="L31" i="10" a="1"/>
  <c r="L31" i="10" s="1"/>
  <c r="N31" i="16" s="1"/>
  <c r="R28" i="10" a="1"/>
  <c r="R28" i="10" s="1"/>
  <c r="T28" i="16" s="1"/>
  <c r="O27" i="10" a="1"/>
  <c r="O27" i="10" s="1"/>
  <c r="Q27" i="16" s="1"/>
  <c r="R23" i="10" a="1"/>
  <c r="R23" i="10" s="1"/>
  <c r="T23" i="16" s="1"/>
  <c r="R20" i="10" a="1"/>
  <c r="R20" i="10" s="1"/>
  <c r="T20" i="16" s="1"/>
  <c r="R18" i="10" a="1"/>
  <c r="R18" i="10" s="1"/>
  <c r="T18" i="16" s="1"/>
  <c r="O15" i="10" a="1"/>
  <c r="O15" i="10" s="1"/>
  <c r="R11" i="10" a="1"/>
  <c r="R11" i="10" s="1"/>
  <c r="T11" i="16" s="1"/>
  <c r="J9" i="10" a="1"/>
  <c r="J9" i="10" s="1"/>
  <c r="L9" i="16" s="1"/>
  <c r="R7" i="10" a="1"/>
  <c r="R7" i="10" s="1"/>
  <c r="T7" i="16" s="1"/>
  <c r="R4" i="5"/>
  <c r="R3" i="5" s="1"/>
  <c r="L69" i="10" a="1"/>
  <c r="L69" i="10" s="1"/>
  <c r="N69" i="16" s="1"/>
  <c r="R65" i="10" a="1"/>
  <c r="R65" i="10" s="1"/>
  <c r="T65" i="16" s="1"/>
  <c r="R64" i="10" a="1"/>
  <c r="R64" i="10" s="1"/>
  <c r="T64" i="16" s="1"/>
  <c r="O63" i="10" a="1"/>
  <c r="O63" i="10" s="1"/>
  <c r="Q63" i="16" s="1"/>
  <c r="O58" i="10" a="1"/>
  <c r="O58" i="10" s="1"/>
  <c r="Q58" i="16" s="1"/>
  <c r="R52" i="10" a="1"/>
  <c r="R52" i="10" s="1"/>
  <c r="T52" i="16" s="1"/>
  <c r="L32" i="10" a="1"/>
  <c r="L32" i="10" s="1"/>
  <c r="N32" i="16" s="1"/>
  <c r="L28" i="10" a="1"/>
  <c r="L28" i="10" s="1"/>
  <c r="N28" i="16" s="1"/>
  <c r="L23" i="10" a="1"/>
  <c r="L23" i="10" s="1"/>
  <c r="N23" i="16" s="1"/>
  <c r="Q18" i="10" a="1"/>
  <c r="Q18" i="10" s="1"/>
  <c r="S18" i="16" s="1"/>
  <c r="R5" i="10" a="1"/>
  <c r="R5" i="10" s="1"/>
  <c r="T5" i="16" s="1"/>
  <c r="J47" i="10" a="1"/>
  <c r="J47" i="10" s="1"/>
  <c r="L47" i="16" s="1"/>
  <c r="R42" i="10" a="1"/>
  <c r="R42" i="10" s="1"/>
  <c r="T42" i="16" s="1"/>
  <c r="R35" i="10" a="1"/>
  <c r="R35" i="10" s="1"/>
  <c r="T35" i="16" s="1"/>
  <c r="R67" i="10" a="1"/>
  <c r="R67" i="10" s="1"/>
  <c r="T67" i="16" s="1"/>
  <c r="R55" i="10" a="1"/>
  <c r="R55" i="10" s="1"/>
  <c r="T55" i="16" s="1"/>
  <c r="R34" i="10" a="1"/>
  <c r="R34" i="10" s="1"/>
  <c r="T34" i="16" s="1"/>
  <c r="R33" i="10" a="1"/>
  <c r="R33" i="10" s="1"/>
  <c r="T33" i="16" s="1"/>
  <c r="R24" i="10" a="1"/>
  <c r="R24" i="10" s="1"/>
  <c r="T24" i="16" s="1"/>
  <c r="R3" i="10" a="1"/>
  <c r="R3" i="10" s="1"/>
  <c r="T3" i="16" s="1"/>
  <c r="R2" i="10" a="1"/>
  <c r="R2" i="10" s="1"/>
  <c r="R17" i="10" a="1"/>
  <c r="R17" i="10" s="1"/>
  <c r="T17" i="16" s="1"/>
  <c r="R70" i="10" a="1"/>
  <c r="R70" i="10" s="1"/>
  <c r="T70" i="16" s="1"/>
  <c r="R59" i="10" a="1"/>
  <c r="R59" i="10" s="1"/>
  <c r="T59" i="16" s="1"/>
  <c r="O34" i="10" a="1"/>
  <c r="O34" i="10" s="1"/>
  <c r="Q34" i="16" s="1"/>
  <c r="R29" i="10" a="1"/>
  <c r="R29" i="10" s="1"/>
  <c r="T29" i="16" s="1"/>
  <c r="R26" i="10" a="1"/>
  <c r="R26" i="10" s="1"/>
  <c r="T26" i="16" s="1"/>
  <c r="O24" i="10" a="1"/>
  <c r="O24" i="10" s="1"/>
  <c r="Q24" i="16" s="1"/>
  <c r="R19" i="10" a="1"/>
  <c r="R19" i="10" s="1"/>
  <c r="T19" i="16" s="1"/>
  <c r="R16" i="10" a="1"/>
  <c r="R16" i="10" s="1"/>
  <c r="T16" i="16" s="1"/>
  <c r="R14" i="10" a="1"/>
  <c r="R14" i="10" s="1"/>
  <c r="T14" i="16" s="1"/>
  <c r="J3" i="10" a="1"/>
  <c r="J3" i="10" s="1"/>
  <c r="L3" i="16" s="1"/>
  <c r="R45" i="10" a="1"/>
  <c r="R45" i="10" s="1"/>
  <c r="T45" i="16" s="1"/>
  <c r="R27" i="10" a="1"/>
  <c r="R27" i="10" s="1"/>
  <c r="T27" i="16" s="1"/>
  <c r="R6" i="10" a="1"/>
  <c r="R6" i="10" s="1"/>
  <c r="T6" i="16" s="1"/>
  <c r="R56" i="10" a="1"/>
  <c r="R56" i="10" s="1"/>
  <c r="T56" i="16" s="1"/>
  <c r="R50" i="10" a="1"/>
  <c r="R50" i="10" s="1"/>
  <c r="T50" i="16" s="1"/>
  <c r="J34" i="10" a="1"/>
  <c r="J34" i="10" s="1"/>
  <c r="L34" i="16" s="1"/>
  <c r="L29" i="10" a="1"/>
  <c r="L29" i="10" s="1"/>
  <c r="N29" i="16" s="1"/>
  <c r="R21" i="10" a="1"/>
  <c r="R21" i="10" s="1"/>
  <c r="T21" i="16" s="1"/>
  <c r="N19" i="10" a="1"/>
  <c r="N19" i="10" s="1"/>
  <c r="P19" i="16" s="1"/>
  <c r="N16" i="10" a="1"/>
  <c r="N16" i="10" s="1"/>
  <c r="P16" i="16" s="1"/>
  <c r="N14" i="10" a="1"/>
  <c r="N14" i="10" s="1"/>
  <c r="P14" i="16" s="1"/>
  <c r="R12" i="10" a="1"/>
  <c r="R12" i="10" s="1"/>
  <c r="T12" i="16" s="1"/>
  <c r="R10" i="10" a="1"/>
  <c r="R10" i="10" s="1"/>
  <c r="T10" i="16" s="1"/>
  <c r="R8" i="10" a="1"/>
  <c r="R8" i="10" s="1"/>
  <c r="T8" i="16" s="1"/>
  <c r="R4" i="10" a="1"/>
  <c r="R4" i="10" s="1"/>
  <c r="T4" i="16" s="1"/>
  <c r="R62" i="10" a="1"/>
  <c r="R62" i="10" s="1"/>
  <c r="T62" i="16" s="1"/>
  <c r="R68" i="10" a="1"/>
  <c r="R68" i="10" s="1"/>
  <c r="T68" i="16" s="1"/>
  <c r="R66" i="10" a="1"/>
  <c r="R66" i="10" s="1"/>
  <c r="T66" i="16" s="1"/>
  <c r="R61" i="10" a="1"/>
  <c r="R61" i="10" s="1"/>
  <c r="T61" i="16" s="1"/>
  <c r="R60" i="10" a="1"/>
  <c r="R60" i="10" s="1"/>
  <c r="T60" i="16" s="1"/>
  <c r="R51" i="10" a="1"/>
  <c r="R51" i="10" s="1"/>
  <c r="T51" i="16" s="1"/>
  <c r="R49" i="10" a="1"/>
  <c r="R49" i="10" s="1"/>
  <c r="T49" i="16" s="1"/>
  <c r="R48" i="10" a="1"/>
  <c r="R48" i="10" s="1"/>
  <c r="T48" i="16" s="1"/>
  <c r="R47" i="10" a="1"/>
  <c r="R47" i="10" s="1"/>
  <c r="T47" i="16" s="1"/>
  <c r="R44" i="10" a="1"/>
  <c r="R44" i="10" s="1"/>
  <c r="T44" i="16" s="1"/>
  <c r="L4" i="10" a="1"/>
  <c r="L4" i="10" s="1"/>
  <c r="N4" i="16" s="1"/>
  <c r="G36" i="10" a="1"/>
  <c r="G36" i="10" s="1"/>
  <c r="I36" i="16" s="1"/>
  <c r="G67" i="10" a="1"/>
  <c r="G67" i="10" s="1"/>
  <c r="I67" i="16" s="1"/>
  <c r="G68" i="10" a="1"/>
  <c r="G68" i="10" s="1"/>
  <c r="I68" i="16" s="1"/>
  <c r="F2" i="10" a="1"/>
  <c r="F2" i="10" s="1"/>
  <c r="F49" i="10" a="1"/>
  <c r="F49" i="10" s="1"/>
  <c r="H49" i="16" s="1"/>
  <c r="F44" i="10" a="1"/>
  <c r="F44" i="10" s="1"/>
  <c r="H44" i="16" s="1"/>
  <c r="F40" i="10" a="1"/>
  <c r="F40" i="10" s="1"/>
  <c r="H40" i="16" s="1"/>
  <c r="F36" i="10" a="1"/>
  <c r="F36" i="10" s="1"/>
  <c r="H36" i="16" s="1"/>
  <c r="F35" i="10" a="1"/>
  <c r="F35" i="10" s="1"/>
  <c r="H35" i="16" s="1"/>
  <c r="F24" i="10" a="1"/>
  <c r="F24" i="10" s="1"/>
  <c r="H24" i="16" s="1"/>
  <c r="F20" i="10" a="1"/>
  <c r="F20" i="10" s="1"/>
  <c r="H20" i="16" s="1"/>
  <c r="F16" i="10" a="1"/>
  <c r="F16" i="10" s="1"/>
  <c r="H16" i="16" s="1"/>
  <c r="F8" i="10" a="1"/>
  <c r="F8" i="10" s="1"/>
  <c r="H8" i="16" s="1"/>
  <c r="F5" i="10" a="1"/>
  <c r="F5" i="10" s="1"/>
  <c r="H5" i="16" s="1"/>
  <c r="F4" i="5"/>
  <c r="F3" i="5" s="1"/>
  <c r="F67" i="10" a="1"/>
  <c r="F67" i="10" s="1"/>
  <c r="H67" i="16" s="1"/>
  <c r="F58" i="10" a="1"/>
  <c r="F58" i="10" s="1"/>
  <c r="H58" i="16" s="1"/>
  <c r="F43" i="10" a="1"/>
  <c r="F43" i="10" s="1"/>
  <c r="H43" i="16" s="1"/>
  <c r="F17" i="10" a="1"/>
  <c r="F17" i="10" s="1"/>
  <c r="H17" i="16" s="1"/>
  <c r="F11" i="10" a="1"/>
  <c r="F11" i="10" s="1"/>
  <c r="H11" i="16" s="1"/>
  <c r="F65" i="10" a="1"/>
  <c r="F65" i="10" s="1"/>
  <c r="H65" i="16" s="1"/>
  <c r="F59" i="10" a="1"/>
  <c r="F59" i="10" s="1"/>
  <c r="H59" i="16" s="1"/>
  <c r="F54" i="10" a="1"/>
  <c r="F54" i="10" s="1"/>
  <c r="H54" i="16" s="1"/>
  <c r="F53" i="10" a="1"/>
  <c r="F53" i="10" s="1"/>
  <c r="H53" i="16" s="1"/>
  <c r="F39" i="10" a="1"/>
  <c r="F39" i="10" s="1"/>
  <c r="H39" i="16" s="1"/>
  <c r="F28" i="10" a="1"/>
  <c r="F28" i="10" s="1"/>
  <c r="H28" i="16" s="1"/>
  <c r="F27" i="10" a="1"/>
  <c r="F27" i="10" s="1"/>
  <c r="H27" i="16" s="1"/>
  <c r="F14" i="10" a="1"/>
  <c r="F14" i="10" s="1"/>
  <c r="H14" i="16" s="1"/>
  <c r="F71" i="10" a="1"/>
  <c r="F71" i="10" s="1"/>
  <c r="H71" i="16" s="1"/>
  <c r="F62" i="10" a="1"/>
  <c r="F62" i="10" s="1"/>
  <c r="H62" i="16" s="1"/>
  <c r="F61" i="10" a="1"/>
  <c r="F61" i="10" s="1"/>
  <c r="H61" i="16" s="1"/>
  <c r="F60" i="10" a="1"/>
  <c r="F60" i="10" s="1"/>
  <c r="H60" i="16" s="1"/>
  <c r="F48" i="10" a="1"/>
  <c r="F48" i="10" s="1"/>
  <c r="H48" i="16" s="1"/>
  <c r="F42" i="10" a="1"/>
  <c r="F42" i="10" s="1"/>
  <c r="H42" i="16" s="1"/>
  <c r="F38" i="10" a="1"/>
  <c r="F38" i="10" s="1"/>
  <c r="H38" i="16" s="1"/>
  <c r="F25" i="10" a="1"/>
  <c r="F25" i="10" s="1"/>
  <c r="H25" i="16" s="1"/>
  <c r="F21" i="10" a="1"/>
  <c r="F21" i="10" s="1"/>
  <c r="H21" i="16" s="1"/>
  <c r="F18" i="10" a="1"/>
  <c r="F18" i="10" s="1"/>
  <c r="H18" i="16" s="1"/>
  <c r="F9" i="10" a="1"/>
  <c r="F9" i="10" s="1"/>
  <c r="H9" i="16" s="1"/>
  <c r="F46" i="10" a="1"/>
  <c r="F46" i="10" s="1"/>
  <c r="H46" i="16" s="1"/>
  <c r="F37" i="10" a="1"/>
  <c r="F37" i="10" s="1"/>
  <c r="H37" i="16" s="1"/>
  <c r="F29" i="10" a="1"/>
  <c r="F29" i="10" s="1"/>
  <c r="H29" i="16" s="1"/>
  <c r="F22" i="10" a="1"/>
  <c r="F22" i="10" s="1"/>
  <c r="H22" i="16" s="1"/>
  <c r="F12" i="10" a="1"/>
  <c r="F12" i="10" s="1"/>
  <c r="H12" i="16" s="1"/>
  <c r="F6" i="10" a="1"/>
  <c r="F6" i="10" s="1"/>
  <c r="H6" i="16" s="1"/>
  <c r="F3" i="10" a="1"/>
  <c r="F3" i="10" s="1"/>
  <c r="H3" i="16" s="1"/>
  <c r="F69" i="10" a="1"/>
  <c r="F69" i="10" s="1"/>
  <c r="H69" i="16" s="1"/>
  <c r="F56" i="10" a="1"/>
  <c r="F56" i="10" s="1"/>
  <c r="H56" i="16" s="1"/>
  <c r="F51" i="10" a="1"/>
  <c r="F51" i="10" s="1"/>
  <c r="H51" i="16" s="1"/>
  <c r="F50" i="10" a="1"/>
  <c r="F50" i="10" s="1"/>
  <c r="H50" i="16" s="1"/>
  <c r="F45" i="10" a="1"/>
  <c r="F45" i="10" s="1"/>
  <c r="H45" i="16" s="1"/>
  <c r="F33" i="10" a="1"/>
  <c r="F33" i="10" s="1"/>
  <c r="H33" i="16" s="1"/>
  <c r="F32" i="10" a="1"/>
  <c r="F32" i="10" s="1"/>
  <c r="H32" i="16" s="1"/>
  <c r="F31" i="10" a="1"/>
  <c r="F31" i="10" s="1"/>
  <c r="H31" i="16" s="1"/>
  <c r="F30" i="10" a="1"/>
  <c r="F30" i="10" s="1"/>
  <c r="H30" i="16" s="1"/>
  <c r="F19" i="10" a="1"/>
  <c r="F19" i="10" s="1"/>
  <c r="H19" i="16" s="1"/>
  <c r="F15" i="10" a="1"/>
  <c r="F15" i="10" s="1"/>
  <c r="F7" i="10" a="1"/>
  <c r="F7" i="10" s="1"/>
  <c r="H7" i="16" s="1"/>
  <c r="F66" i="10" a="1"/>
  <c r="F66" i="10" s="1"/>
  <c r="H66" i="16" s="1"/>
  <c r="F52" i="10" a="1"/>
  <c r="F52" i="10" s="1"/>
  <c r="H52" i="16" s="1"/>
  <c r="F41" i="10" a="1"/>
  <c r="F41" i="10" s="1"/>
  <c r="H41" i="16" s="1"/>
  <c r="F34" i="10" a="1"/>
  <c r="F34" i="10" s="1"/>
  <c r="H34" i="16" s="1"/>
  <c r="F26" i="10" a="1"/>
  <c r="F26" i="10" s="1"/>
  <c r="H26" i="16" s="1"/>
  <c r="F13" i="10" a="1"/>
  <c r="F13" i="10" s="1"/>
  <c r="H13" i="16" s="1"/>
  <c r="F10" i="10" a="1"/>
  <c r="F10" i="10" s="1"/>
  <c r="H10" i="16" s="1"/>
  <c r="E48" i="10" a="1"/>
  <c r="E48" i="10" s="1"/>
  <c r="G48" i="16" s="1"/>
  <c r="E39" i="10" a="1"/>
  <c r="E39" i="10" s="1"/>
  <c r="G39" i="16" s="1"/>
  <c r="E18" i="10" a="1"/>
  <c r="E18" i="10" s="1"/>
  <c r="G18" i="16" s="1"/>
  <c r="E16" i="10" a="1"/>
  <c r="E16" i="10" s="1"/>
  <c r="G16" i="16" s="1"/>
  <c r="E7" i="10" a="1"/>
  <c r="E7" i="10" s="1"/>
  <c r="G7" i="16" s="1"/>
  <c r="E6" i="10" a="1"/>
  <c r="E6" i="10" s="1"/>
  <c r="G6" i="16" s="1"/>
  <c r="E71" i="10" a="1"/>
  <c r="E71" i="10" s="1"/>
  <c r="G71" i="16" s="1"/>
  <c r="E66" i="10" a="1"/>
  <c r="E66" i="10" s="1"/>
  <c r="G66" i="16" s="1"/>
  <c r="E44" i="10" a="1"/>
  <c r="E44" i="10" s="1"/>
  <c r="G44" i="16" s="1"/>
  <c r="E36" i="10" a="1"/>
  <c r="E36" i="10" s="1"/>
  <c r="G36" i="16" s="1"/>
  <c r="E34" i="10" a="1"/>
  <c r="E34" i="10" s="1"/>
  <c r="G34" i="16" s="1"/>
  <c r="E33" i="10" a="1"/>
  <c r="E33" i="10" s="1"/>
  <c r="G33" i="16" s="1"/>
  <c r="E26" i="10" a="1"/>
  <c r="E26" i="10" s="1"/>
  <c r="G26" i="16" s="1"/>
  <c r="E19" i="10" a="1"/>
  <c r="E19" i="10" s="1"/>
  <c r="G19" i="16" s="1"/>
  <c r="E12" i="10" a="1"/>
  <c r="E12" i="10" s="1"/>
  <c r="G12" i="16" s="1"/>
  <c r="E64" i="10" a="1"/>
  <c r="E64" i="10" s="1"/>
  <c r="G64" i="16" s="1"/>
  <c r="E47" i="10" a="1"/>
  <c r="E47" i="10" s="1"/>
  <c r="G47" i="16" s="1"/>
  <c r="E41" i="10" a="1"/>
  <c r="E41" i="10" s="1"/>
  <c r="G41" i="16" s="1"/>
  <c r="E38" i="10" a="1"/>
  <c r="E38" i="10" s="1"/>
  <c r="G38" i="16" s="1"/>
  <c r="E35" i="10" a="1"/>
  <c r="E35" i="10" s="1"/>
  <c r="G35" i="16" s="1"/>
  <c r="E32" i="10" a="1"/>
  <c r="E32" i="10" s="1"/>
  <c r="G32" i="16" s="1"/>
  <c r="E13" i="10" a="1"/>
  <c r="E13" i="10" s="1"/>
  <c r="G13" i="16" s="1"/>
  <c r="E8" i="10" a="1"/>
  <c r="E8" i="10" s="1"/>
  <c r="G8" i="16" s="1"/>
  <c r="E67" i="10" a="1"/>
  <c r="E67" i="10" s="1"/>
  <c r="G67" i="16" s="1"/>
  <c r="E63" i="10" a="1"/>
  <c r="E63" i="10" s="1"/>
  <c r="G63" i="16" s="1"/>
  <c r="E62" i="10" a="1"/>
  <c r="E62" i="10" s="1"/>
  <c r="G62" i="16" s="1"/>
  <c r="E49" i="10" a="1"/>
  <c r="E49" i="10" s="1"/>
  <c r="G49" i="16" s="1"/>
  <c r="E46" i="10" a="1"/>
  <c r="E46" i="10" s="1"/>
  <c r="G46" i="16" s="1"/>
  <c r="E43" i="10" a="1"/>
  <c r="E43" i="10" s="1"/>
  <c r="G43" i="16" s="1"/>
  <c r="E31" i="10" a="1"/>
  <c r="E31" i="10" s="1"/>
  <c r="G31" i="16" s="1"/>
  <c r="E28" i="10" a="1"/>
  <c r="E28" i="10" s="1"/>
  <c r="G28" i="16" s="1"/>
  <c r="E20" i="10" a="1"/>
  <c r="E20" i="10" s="1"/>
  <c r="G20" i="16" s="1"/>
  <c r="E61" i="10" a="1"/>
  <c r="E61" i="10" s="1"/>
  <c r="G61" i="16" s="1"/>
  <c r="E52" i="10" a="1"/>
  <c r="E52" i="10" s="1"/>
  <c r="G52" i="16" s="1"/>
  <c r="E37" i="10" a="1"/>
  <c r="E37" i="10" s="1"/>
  <c r="G37" i="16" s="1"/>
  <c r="E30" i="10" a="1"/>
  <c r="E30" i="10" s="1"/>
  <c r="G30" i="16" s="1"/>
  <c r="E29" i="10" a="1"/>
  <c r="E29" i="10" s="1"/>
  <c r="G29" i="16" s="1"/>
  <c r="E27" i="10" a="1"/>
  <c r="E27" i="10" s="1"/>
  <c r="G27" i="16" s="1"/>
  <c r="E22" i="10" a="1"/>
  <c r="E22" i="10" s="1"/>
  <c r="G22" i="16" s="1"/>
  <c r="E21" i="10" a="1"/>
  <c r="E21" i="10" s="1"/>
  <c r="G21" i="16" s="1"/>
  <c r="E14" i="10" a="1"/>
  <c r="E14" i="10" s="1"/>
  <c r="G14" i="16" s="1"/>
  <c r="E9" i="10" a="1"/>
  <c r="E9" i="10" s="1"/>
  <c r="G9" i="16" s="1"/>
  <c r="E4" i="5"/>
  <c r="E3" i="5" s="1"/>
  <c r="E2" i="10" a="1"/>
  <c r="E2" i="10" s="1"/>
  <c r="E69" i="10" a="1"/>
  <c r="E69" i="10" s="1"/>
  <c r="G69" i="16" s="1"/>
  <c r="E68" i="10" a="1"/>
  <c r="E68" i="10" s="1"/>
  <c r="G68" i="16" s="1"/>
  <c r="E57" i="10" a="1"/>
  <c r="E57" i="10" s="1"/>
  <c r="G57" i="16" s="1"/>
  <c r="E56" i="10" a="1"/>
  <c r="E56" i="10" s="1"/>
  <c r="G56" i="16" s="1"/>
  <c r="E55" i="10" a="1"/>
  <c r="E55" i="10" s="1"/>
  <c r="G55" i="16" s="1"/>
  <c r="E54" i="10" a="1"/>
  <c r="E54" i="10" s="1"/>
  <c r="G54" i="16" s="1"/>
  <c r="E51" i="10" a="1"/>
  <c r="E51" i="10" s="1"/>
  <c r="G51" i="16" s="1"/>
  <c r="E45" i="10" a="1"/>
  <c r="E45" i="10" s="1"/>
  <c r="G45" i="16" s="1"/>
  <c r="E40" i="10" a="1"/>
  <c r="E40" i="10" s="1"/>
  <c r="G40" i="16" s="1"/>
  <c r="E10" i="10" a="1"/>
  <c r="E10" i="10" s="1"/>
  <c r="G10" i="16" s="1"/>
  <c r="E4" i="10" a="1"/>
  <c r="E4" i="10" s="1"/>
  <c r="G4" i="16" s="1"/>
  <c r="E3" i="10" a="1"/>
  <c r="E3" i="10" s="1"/>
  <c r="G3" i="16" s="1"/>
  <c r="E70" i="10" a="1"/>
  <c r="E70" i="10" s="1"/>
  <c r="G70" i="16" s="1"/>
  <c r="E60" i="10" a="1"/>
  <c r="E60" i="10" s="1"/>
  <c r="G60" i="16" s="1"/>
  <c r="E59" i="10" a="1"/>
  <c r="E59" i="10" s="1"/>
  <c r="G59" i="16" s="1"/>
  <c r="E58" i="10" a="1"/>
  <c r="E58" i="10" s="1"/>
  <c r="G58" i="16" s="1"/>
  <c r="E53" i="10" a="1"/>
  <c r="E53" i="10" s="1"/>
  <c r="G53" i="16" s="1"/>
  <c r="E42" i="10" a="1"/>
  <c r="E42" i="10" s="1"/>
  <c r="G42" i="16" s="1"/>
  <c r="E24" i="10" a="1"/>
  <c r="E24" i="10" s="1"/>
  <c r="G24" i="16" s="1"/>
  <c r="E23" i="10" a="1"/>
  <c r="E23" i="10" s="1"/>
  <c r="G23" i="16" s="1"/>
  <c r="E15" i="10" a="1"/>
  <c r="E15" i="10" s="1"/>
  <c r="E5" i="10" a="1"/>
  <c r="E5" i="10" s="1"/>
  <c r="G5" i="16" s="1"/>
  <c r="E65" i="10" a="1"/>
  <c r="E65" i="10" s="1"/>
  <c r="G65" i="16" s="1"/>
  <c r="E50" i="10" a="1"/>
  <c r="E50" i="10" s="1"/>
  <c r="G50" i="16" s="1"/>
  <c r="E25" i="10" a="1"/>
  <c r="E25" i="10" s="1"/>
  <c r="G25" i="16" s="1"/>
  <c r="E17" i="10" a="1"/>
  <c r="E17" i="10" s="1"/>
  <c r="G17" i="16" s="1"/>
  <c r="D65" i="10" a="1"/>
  <c r="D65" i="10" s="1"/>
  <c r="F65" i="16" s="1"/>
  <c r="D62" i="10" a="1"/>
  <c r="D62" i="10" s="1"/>
  <c r="F62" i="16" s="1"/>
  <c r="D58" i="10" a="1"/>
  <c r="D58" i="10" s="1"/>
  <c r="F58" i="16" s="1"/>
  <c r="D57" i="10" a="1"/>
  <c r="D57" i="10" s="1"/>
  <c r="F57" i="16" s="1"/>
  <c r="D51" i="10" a="1"/>
  <c r="D51" i="10" s="1"/>
  <c r="F51" i="16" s="1"/>
  <c r="D44" i="10" a="1"/>
  <c r="D44" i="10" s="1"/>
  <c r="F44" i="16" s="1"/>
  <c r="D42" i="10" a="1"/>
  <c r="D42" i="10" s="1"/>
  <c r="F42" i="16" s="1"/>
  <c r="D35" i="10" a="1"/>
  <c r="D35" i="10" s="1"/>
  <c r="F35" i="16" s="1"/>
  <c r="D34" i="10" a="1"/>
  <c r="D34" i="10" s="1"/>
  <c r="F34" i="16" s="1"/>
  <c r="D13" i="10" a="1"/>
  <c r="D13" i="10" s="1"/>
  <c r="F13" i="16" s="1"/>
  <c r="D12" i="10" a="1"/>
  <c r="D12" i="10" s="1"/>
  <c r="F12" i="16" s="1"/>
  <c r="D66" i="10" a="1"/>
  <c r="D66" i="10" s="1"/>
  <c r="F66" i="16" s="1"/>
  <c r="D56" i="10" a="1"/>
  <c r="D56" i="10" s="1"/>
  <c r="F56" i="16" s="1"/>
  <c r="D48" i="10" a="1"/>
  <c r="D48" i="10" s="1"/>
  <c r="F48" i="16" s="1"/>
  <c r="D30" i="10" a="1"/>
  <c r="D30" i="10" s="1"/>
  <c r="F30" i="16" s="1"/>
  <c r="D25" i="10" a="1"/>
  <c r="D25" i="10" s="1"/>
  <c r="F25" i="16" s="1"/>
  <c r="D24" i="10" a="1"/>
  <c r="D24" i="10" s="1"/>
  <c r="F24" i="16" s="1"/>
  <c r="D22" i="10" a="1"/>
  <c r="D22" i="10" s="1"/>
  <c r="F22" i="16" s="1"/>
  <c r="D19" i="10" a="1"/>
  <c r="D19" i="10" s="1"/>
  <c r="F19" i="16" s="1"/>
  <c r="D18" i="10" a="1"/>
  <c r="D18" i="10" s="1"/>
  <c r="F18" i="16" s="1"/>
  <c r="D17" i="10" a="1"/>
  <c r="D17" i="10" s="1"/>
  <c r="F17" i="16" s="1"/>
  <c r="D14" i="10" a="1"/>
  <c r="D14" i="10" s="1"/>
  <c r="F14" i="16" s="1"/>
  <c r="D70" i="10" a="1"/>
  <c r="D70" i="10" s="1"/>
  <c r="F70" i="16" s="1"/>
  <c r="D69" i="10" a="1"/>
  <c r="D69" i="10" s="1"/>
  <c r="F69" i="16" s="1"/>
  <c r="D67" i="10" a="1"/>
  <c r="D67" i="10" s="1"/>
  <c r="F67" i="16" s="1"/>
  <c r="D61" i="10" a="1"/>
  <c r="D61" i="10" s="1"/>
  <c r="F61" i="16" s="1"/>
  <c r="D55" i="10" a="1"/>
  <c r="D55" i="10" s="1"/>
  <c r="F55" i="16" s="1"/>
  <c r="D49" i="10" a="1"/>
  <c r="D49" i="10" s="1"/>
  <c r="F49" i="16" s="1"/>
  <c r="D45" i="10" a="1"/>
  <c r="D45" i="10" s="1"/>
  <c r="F45" i="16" s="1"/>
  <c r="D40" i="10" a="1"/>
  <c r="D40" i="10" s="1"/>
  <c r="F40" i="16" s="1"/>
  <c r="D38" i="10" a="1"/>
  <c r="D38" i="10" s="1"/>
  <c r="F38" i="16" s="1"/>
  <c r="D33" i="10" a="1"/>
  <c r="D33" i="10" s="1"/>
  <c r="F33" i="16" s="1"/>
  <c r="D29" i="10" a="1"/>
  <c r="D29" i="10" s="1"/>
  <c r="F29" i="16" s="1"/>
  <c r="D28" i="10" a="1"/>
  <c r="D28" i="10" s="1"/>
  <c r="F28" i="16" s="1"/>
  <c r="D26" i="10" a="1"/>
  <c r="D26" i="10" s="1"/>
  <c r="F26" i="16" s="1"/>
  <c r="D23" i="10" a="1"/>
  <c r="D23" i="10" s="1"/>
  <c r="F23" i="16" s="1"/>
  <c r="D21" i="10" a="1"/>
  <c r="D21" i="10" s="1"/>
  <c r="F21" i="16" s="1"/>
  <c r="D20" i="10" a="1"/>
  <c r="D20" i="10" s="1"/>
  <c r="F20" i="16" s="1"/>
  <c r="D15" i="10" a="1"/>
  <c r="D15" i="10" s="1"/>
  <c r="D68" i="10" a="1"/>
  <c r="D68" i="10" s="1"/>
  <c r="F68" i="16" s="1"/>
  <c r="D54" i="10" a="1"/>
  <c r="D54" i="10" s="1"/>
  <c r="F54" i="16" s="1"/>
  <c r="D16" i="10" a="1"/>
  <c r="D16" i="10" s="1"/>
  <c r="F16" i="16" s="1"/>
  <c r="D71" i="10" a="1"/>
  <c r="D71" i="10" s="1"/>
  <c r="F71" i="16" s="1"/>
  <c r="D50" i="10" a="1"/>
  <c r="D50" i="10" s="1"/>
  <c r="F50" i="16" s="1"/>
  <c r="D47" i="10" a="1"/>
  <c r="D47" i="10" s="1"/>
  <c r="F47" i="16" s="1"/>
  <c r="D43" i="10" a="1"/>
  <c r="D43" i="10" s="1"/>
  <c r="F43" i="16" s="1"/>
  <c r="D32" i="10" a="1"/>
  <c r="D32" i="10" s="1"/>
  <c r="F32" i="16" s="1"/>
  <c r="D27" i="10" a="1"/>
  <c r="D27" i="10" s="1"/>
  <c r="F27" i="16" s="1"/>
  <c r="D7" i="10" a="1"/>
  <c r="D7" i="10" s="1"/>
  <c r="F7" i="16" s="1"/>
  <c r="D5" i="10" a="1"/>
  <c r="D5" i="10" s="1"/>
  <c r="F5" i="16" s="1"/>
  <c r="D4" i="10" a="1"/>
  <c r="D4" i="10" s="1"/>
  <c r="F4" i="16" s="1"/>
  <c r="D64" i="10" a="1"/>
  <c r="D64" i="10" s="1"/>
  <c r="F64" i="16" s="1"/>
  <c r="D60" i="10" a="1"/>
  <c r="D60" i="10" s="1"/>
  <c r="F60" i="16" s="1"/>
  <c r="D53" i="10" a="1"/>
  <c r="D53" i="10" s="1"/>
  <c r="F53" i="16" s="1"/>
  <c r="D52" i="10" a="1"/>
  <c r="D52" i="10" s="1"/>
  <c r="F52" i="16" s="1"/>
  <c r="D36" i="10" a="1"/>
  <c r="D36" i="10" s="1"/>
  <c r="F36" i="16" s="1"/>
  <c r="D8" i="10" a="1"/>
  <c r="D8" i="10" s="1"/>
  <c r="F8" i="16" s="1"/>
  <c r="D6" i="10" a="1"/>
  <c r="D6" i="10" s="1"/>
  <c r="F6" i="16" s="1"/>
  <c r="D3" i="10" a="1"/>
  <c r="D3" i="10" s="1"/>
  <c r="F3" i="16" s="1"/>
  <c r="D4" i="5"/>
  <c r="D3" i="5" s="1"/>
  <c r="D46" i="10" a="1"/>
  <c r="D46" i="10" s="1"/>
  <c r="F46" i="16" s="1"/>
  <c r="D41" i="10" a="1"/>
  <c r="D41" i="10" s="1"/>
  <c r="F41" i="16" s="1"/>
  <c r="D37" i="10" a="1"/>
  <c r="D37" i="10" s="1"/>
  <c r="F37" i="16" s="1"/>
  <c r="D31" i="10" a="1"/>
  <c r="D31" i="10" s="1"/>
  <c r="F31" i="16" s="1"/>
  <c r="D10" i="10" a="1"/>
  <c r="D10" i="10" s="1"/>
  <c r="F10" i="16" s="1"/>
  <c r="D9" i="10" a="1"/>
  <c r="D9" i="10" s="1"/>
  <c r="F9" i="16" s="1"/>
  <c r="D2" i="10" a="1"/>
  <c r="D2" i="10" s="1"/>
  <c r="B16" i="7" s="1" a="1"/>
  <c r="B16" i="7" s="1"/>
  <c r="D63" i="10" a="1"/>
  <c r="D63" i="10" s="1"/>
  <c r="F63" i="16" s="1"/>
  <c r="D59" i="10" a="1"/>
  <c r="D59" i="10" s="1"/>
  <c r="F59" i="16" s="1"/>
  <c r="D39" i="10" a="1"/>
  <c r="D39" i="10" s="1"/>
  <c r="F39" i="16" s="1"/>
  <c r="C71" i="10" a="1"/>
  <c r="C71" i="10" s="1"/>
  <c r="E71" i="16" s="1"/>
  <c r="C68" i="10" a="1"/>
  <c r="C68" i="10" s="1"/>
  <c r="E68" i="16" s="1"/>
  <c r="C67" i="10" a="1"/>
  <c r="C67" i="10" s="1"/>
  <c r="E67" i="16" s="1"/>
  <c r="C66" i="10" a="1"/>
  <c r="C66" i="10" s="1"/>
  <c r="E66" i="16" s="1"/>
  <c r="C65" i="10" a="1"/>
  <c r="C65" i="10" s="1"/>
  <c r="E65" i="16" s="1"/>
  <c r="C56" i="10" a="1"/>
  <c r="C56" i="10" s="1"/>
  <c r="E56" i="16" s="1"/>
  <c r="C51" i="10" a="1"/>
  <c r="C51" i="10" s="1"/>
  <c r="E51" i="16" s="1"/>
  <c r="C40" i="10" a="1"/>
  <c r="C40" i="10" s="1"/>
  <c r="E40" i="16" s="1"/>
  <c r="C30" i="10" a="1"/>
  <c r="C30" i="10" s="1"/>
  <c r="E30" i="16" s="1"/>
  <c r="C23" i="10" a="1"/>
  <c r="C23" i="10" s="1"/>
  <c r="E23" i="16" s="1"/>
  <c r="C22" i="10" a="1"/>
  <c r="C22" i="10" s="1"/>
  <c r="E22" i="16" s="1"/>
  <c r="C6" i="10" a="1"/>
  <c r="C6" i="10" s="1"/>
  <c r="E6" i="16" s="1"/>
  <c r="C5" i="10" a="1"/>
  <c r="C5" i="10" s="1"/>
  <c r="E5" i="16" s="1"/>
  <c r="C63" i="10" a="1"/>
  <c r="C63" i="10" s="1"/>
  <c r="E63" i="16" s="1"/>
  <c r="C53" i="10" a="1"/>
  <c r="C53" i="10" s="1"/>
  <c r="E53" i="16" s="1"/>
  <c r="C32" i="10" a="1"/>
  <c r="C32" i="10" s="1"/>
  <c r="E32" i="16" s="1"/>
  <c r="C16" i="10" a="1"/>
  <c r="C16" i="10" s="1"/>
  <c r="E16" i="16" s="1"/>
  <c r="C15" i="10" a="1"/>
  <c r="C15" i="10" s="1"/>
  <c r="C4" i="10" a="1"/>
  <c r="C4" i="10" s="1"/>
  <c r="E4" i="16" s="1"/>
  <c r="C2" i="10" a="1"/>
  <c r="C2" i="10" s="1"/>
  <c r="C60" i="10" a="1"/>
  <c r="C60" i="10" s="1"/>
  <c r="E60" i="16" s="1"/>
  <c r="C47" i="10" a="1"/>
  <c r="C47" i="10" s="1"/>
  <c r="E47" i="16" s="1"/>
  <c r="C44" i="10" a="1"/>
  <c r="C44" i="10" s="1"/>
  <c r="E44" i="16" s="1"/>
  <c r="C38" i="10" a="1"/>
  <c r="C38" i="10" s="1"/>
  <c r="E38" i="16" s="1"/>
  <c r="C35" i="10" a="1"/>
  <c r="C35" i="10" s="1"/>
  <c r="E35" i="16" s="1"/>
  <c r="C29" i="10" a="1"/>
  <c r="C29" i="10" s="1"/>
  <c r="E29" i="16" s="1"/>
  <c r="C21" i="10" a="1"/>
  <c r="C21" i="10" s="1"/>
  <c r="E21" i="16" s="1"/>
  <c r="C14" i="10" a="1"/>
  <c r="C14" i="10" s="1"/>
  <c r="E14" i="16" s="1"/>
  <c r="C13" i="10" a="1"/>
  <c r="C13" i="10" s="1"/>
  <c r="E13" i="16" s="1"/>
  <c r="C4" i="5"/>
  <c r="C62" i="10" a="1"/>
  <c r="C62" i="10" s="1"/>
  <c r="E62" i="16" s="1"/>
  <c r="C55" i="10" a="1"/>
  <c r="C55" i="10" s="1"/>
  <c r="E55" i="16" s="1"/>
  <c r="C52" i="10" a="1"/>
  <c r="C52" i="10" s="1"/>
  <c r="E52" i="16" s="1"/>
  <c r="C45" i="10" a="1"/>
  <c r="C45" i="10" s="1"/>
  <c r="E45" i="16" s="1"/>
  <c r="C42" i="10" a="1"/>
  <c r="C42" i="10" s="1"/>
  <c r="E42" i="16" s="1"/>
  <c r="C41" i="10" a="1"/>
  <c r="C41" i="10" s="1"/>
  <c r="E41" i="16" s="1"/>
  <c r="C34" i="10" a="1"/>
  <c r="C34" i="10" s="1"/>
  <c r="E34" i="16" s="1"/>
  <c r="C28" i="10" a="1"/>
  <c r="C28" i="10" s="1"/>
  <c r="E28" i="16" s="1"/>
  <c r="C20" i="10" a="1"/>
  <c r="C20" i="10" s="1"/>
  <c r="E20" i="16" s="1"/>
  <c r="C19" i="10" a="1"/>
  <c r="C19" i="10" s="1"/>
  <c r="E19" i="16" s="1"/>
  <c r="C12" i="10" a="1"/>
  <c r="C12" i="10" s="1"/>
  <c r="E12" i="16" s="1"/>
  <c r="C11" i="10" a="1"/>
  <c r="C11" i="10" s="1"/>
  <c r="E11" i="16" s="1"/>
  <c r="C3" i="10" a="1"/>
  <c r="C3" i="10" s="1"/>
  <c r="E3" i="16" s="1"/>
  <c r="C31" i="10" a="1"/>
  <c r="C31" i="10" s="1"/>
  <c r="E31" i="16" s="1"/>
  <c r="C18" i="10" a="1"/>
  <c r="C18" i="10" s="1"/>
  <c r="E18" i="16" s="1"/>
  <c r="C10" i="10" a="1"/>
  <c r="C10" i="10" s="1"/>
  <c r="E10" i="16" s="1"/>
  <c r="C59" i="10" a="1"/>
  <c r="C59" i="10" s="1"/>
  <c r="E59" i="16" s="1"/>
  <c r="C54" i="10" a="1"/>
  <c r="C54" i="10" s="1"/>
  <c r="E54" i="16" s="1"/>
  <c r="C46" i="10" a="1"/>
  <c r="C46" i="10" s="1"/>
  <c r="E46" i="16" s="1"/>
  <c r="C26" i="10" a="1"/>
  <c r="C26" i="10" s="1"/>
  <c r="E26" i="16" s="1"/>
  <c r="C9" i="10" a="1"/>
  <c r="C9" i="10" s="1"/>
  <c r="E9" i="16" s="1"/>
  <c r="C50" i="10" a="1"/>
  <c r="C50" i="10" s="1"/>
  <c r="E50" i="16" s="1"/>
  <c r="C49" i="10" a="1"/>
  <c r="C49" i="10" s="1"/>
  <c r="E49" i="16" s="1"/>
  <c r="C48" i="10" a="1"/>
  <c r="C48" i="10" s="1"/>
  <c r="E48" i="16" s="1"/>
  <c r="C39" i="10" a="1"/>
  <c r="C39" i="10" s="1"/>
  <c r="E39" i="16" s="1"/>
  <c r="C36" i="10" a="1"/>
  <c r="C36" i="10" s="1"/>
  <c r="E36" i="16" s="1"/>
  <c r="C33" i="10" a="1"/>
  <c r="C33" i="10" s="1"/>
  <c r="E33" i="16" s="1"/>
  <c r="C27" i="10" a="1"/>
  <c r="C27" i="10" s="1"/>
  <c r="E27" i="16" s="1"/>
  <c r="C25" i="10" a="1"/>
  <c r="C25" i="10" s="1"/>
  <c r="E25" i="16" s="1"/>
  <c r="C17" i="10" a="1"/>
  <c r="C17" i="10" s="1"/>
  <c r="E17" i="16" s="1"/>
  <c r="C8" i="10" a="1"/>
  <c r="C8" i="10" s="1"/>
  <c r="E8" i="16" s="1"/>
  <c r="Q68" i="10" a="1"/>
  <c r="Q68" i="10" s="1"/>
  <c r="S68" i="16" s="1"/>
  <c r="Q63" i="10" a="1"/>
  <c r="Q63" i="10" s="1"/>
  <c r="S63" i="16" s="1"/>
  <c r="Q61" i="10" a="1"/>
  <c r="Q61" i="10" s="1"/>
  <c r="S61" i="16" s="1"/>
  <c r="Q56" i="10" a="1"/>
  <c r="Q56" i="10" s="1"/>
  <c r="S56" i="16" s="1"/>
  <c r="Q54" i="10" a="1"/>
  <c r="Q54" i="10" s="1"/>
  <c r="S54" i="16" s="1"/>
  <c r="Q38" i="10" a="1"/>
  <c r="Q38" i="10" s="1"/>
  <c r="S38" i="16" s="1"/>
  <c r="Q29" i="10" a="1"/>
  <c r="Q29" i="10" s="1"/>
  <c r="S29" i="16" s="1"/>
  <c r="Q25" i="10" a="1"/>
  <c r="Q25" i="10" s="1"/>
  <c r="S25" i="16" s="1"/>
  <c r="Q17" i="10" a="1"/>
  <c r="Q17" i="10" s="1"/>
  <c r="S17" i="16" s="1"/>
  <c r="Q14" i="10" a="1"/>
  <c r="Q14" i="10" s="1"/>
  <c r="S14" i="16" s="1"/>
  <c r="Q10" i="10" a="1"/>
  <c r="Q10" i="10" s="1"/>
  <c r="S10" i="16" s="1"/>
  <c r="Q59" i="10" a="1"/>
  <c r="Q59" i="10" s="1"/>
  <c r="S59" i="16" s="1"/>
  <c r="Q45" i="10" a="1"/>
  <c r="Q45" i="10" s="1"/>
  <c r="S45" i="16" s="1"/>
  <c r="Q33" i="10" a="1"/>
  <c r="Q33" i="10" s="1"/>
  <c r="S33" i="16" s="1"/>
  <c r="Q31" i="10" a="1"/>
  <c r="Q31" i="10" s="1"/>
  <c r="S31" i="16" s="1"/>
  <c r="Q24" i="10" a="1"/>
  <c r="Q24" i="10" s="1"/>
  <c r="S24" i="16" s="1"/>
  <c r="Q9" i="10" a="1"/>
  <c r="Q9" i="10" s="1"/>
  <c r="S9" i="16" s="1"/>
  <c r="Q67" i="10" a="1"/>
  <c r="Q67" i="10" s="1"/>
  <c r="S67" i="16" s="1"/>
  <c r="Q64" i="10" a="1"/>
  <c r="Q64" i="10" s="1"/>
  <c r="S64" i="16" s="1"/>
  <c r="Q39" i="10" a="1"/>
  <c r="Q39" i="10" s="1"/>
  <c r="S39" i="16" s="1"/>
  <c r="Q35" i="10" a="1"/>
  <c r="Q35" i="10" s="1"/>
  <c r="S35" i="16" s="1"/>
  <c r="Q21" i="10" a="1"/>
  <c r="Q21" i="10" s="1"/>
  <c r="S21" i="16" s="1"/>
  <c r="Q13" i="10" a="1"/>
  <c r="Q13" i="10" s="1"/>
  <c r="S13" i="16" s="1"/>
  <c r="Q6" i="10" a="1"/>
  <c r="Q6" i="10" s="1"/>
  <c r="S6" i="16" s="1"/>
  <c r="Q66" i="10" a="1"/>
  <c r="Q66" i="10" s="1"/>
  <c r="S66" i="16" s="1"/>
  <c r="Q62" i="10" a="1"/>
  <c r="Q62" i="10" s="1"/>
  <c r="S62" i="16" s="1"/>
  <c r="Q41" i="10" a="1"/>
  <c r="Q41" i="10" s="1"/>
  <c r="S41" i="16" s="1"/>
  <c r="Q40" i="10" a="1"/>
  <c r="Q40" i="10" s="1"/>
  <c r="S40" i="16" s="1"/>
  <c r="Q36" i="10" a="1"/>
  <c r="Q36" i="10" s="1"/>
  <c r="S36" i="16" s="1"/>
  <c r="Q28" i="10" a="1"/>
  <c r="Q28" i="10" s="1"/>
  <c r="S28" i="16" s="1"/>
  <c r="Q20" i="10" a="1"/>
  <c r="Q20" i="10" s="1"/>
  <c r="S20" i="16" s="1"/>
  <c r="Q5" i="10" a="1"/>
  <c r="Q5" i="10" s="1"/>
  <c r="S5" i="16" s="1"/>
  <c r="Q65" i="10" a="1"/>
  <c r="Q65" i="10" s="1"/>
  <c r="S65" i="16" s="1"/>
  <c r="Q55" i="10" a="1"/>
  <c r="Q55" i="10" s="1"/>
  <c r="S55" i="16" s="1"/>
  <c r="Q53" i="10" a="1"/>
  <c r="Q53" i="10" s="1"/>
  <c r="S53" i="16" s="1"/>
  <c r="Q51" i="10" a="1"/>
  <c r="Q51" i="10" s="1"/>
  <c r="S51" i="16" s="1"/>
  <c r="Q46" i="10" a="1"/>
  <c r="Q46" i="10" s="1"/>
  <c r="S46" i="16" s="1"/>
  <c r="Q34" i="10" a="1"/>
  <c r="Q34" i="10" s="1"/>
  <c r="S34" i="16" s="1"/>
  <c r="Q30" i="10" a="1"/>
  <c r="Q30" i="10" s="1"/>
  <c r="S30" i="16" s="1"/>
  <c r="Q23" i="10" a="1"/>
  <c r="Q23" i="10" s="1"/>
  <c r="S23" i="16" s="1"/>
  <c r="Q19" i="10" a="1"/>
  <c r="Q19" i="10" s="1"/>
  <c r="S19" i="16" s="1"/>
  <c r="Q16" i="10" a="1"/>
  <c r="Q16" i="10" s="1"/>
  <c r="S16" i="16" s="1"/>
  <c r="Q8" i="10" a="1"/>
  <c r="Q8" i="10" s="1"/>
  <c r="S8" i="16" s="1"/>
  <c r="Q4" i="10" a="1"/>
  <c r="Q4" i="10" s="1"/>
  <c r="S4" i="16" s="1"/>
  <c r="Q4" i="5"/>
  <c r="Q3" i="5" s="1"/>
  <c r="Q60" i="10" a="1"/>
  <c r="Q60" i="10" s="1"/>
  <c r="S60" i="16" s="1"/>
  <c r="Q58" i="10" a="1"/>
  <c r="Q58" i="10" s="1"/>
  <c r="S58" i="16" s="1"/>
  <c r="Q50" i="10" a="1"/>
  <c r="Q50" i="10" s="1"/>
  <c r="S50" i="16" s="1"/>
  <c r="Q47" i="10" a="1"/>
  <c r="Q47" i="10" s="1"/>
  <c r="S47" i="16" s="1"/>
  <c r="Q37" i="10" a="1"/>
  <c r="Q37" i="10" s="1"/>
  <c r="S37" i="16" s="1"/>
  <c r="Q32" i="10" a="1"/>
  <c r="Q32" i="10" s="1"/>
  <c r="S32" i="16" s="1"/>
  <c r="Q12" i="10" a="1"/>
  <c r="Q12" i="10" s="1"/>
  <c r="S12" i="16" s="1"/>
  <c r="Q2" i="10" a="1"/>
  <c r="Q2" i="10" s="1"/>
  <c r="Q71" i="10" a="1"/>
  <c r="Q71" i="10" s="1"/>
  <c r="S71" i="16" s="1"/>
  <c r="Q70" i="10" a="1"/>
  <c r="Q70" i="10" s="1"/>
  <c r="S70" i="16" s="1"/>
  <c r="Q69" i="10" a="1"/>
  <c r="Q69" i="10" s="1"/>
  <c r="S69" i="16" s="1"/>
  <c r="Q57" i="10" a="1"/>
  <c r="Q57" i="10" s="1"/>
  <c r="S57" i="16" s="1"/>
  <c r="Q52" i="10" a="1"/>
  <c r="Q52" i="10" s="1"/>
  <c r="S52" i="16" s="1"/>
  <c r="Q49" i="10" a="1"/>
  <c r="Q49" i="10" s="1"/>
  <c r="S49" i="16" s="1"/>
  <c r="Q44" i="10" a="1"/>
  <c r="Q44" i="10" s="1"/>
  <c r="S44" i="16" s="1"/>
  <c r="Q43" i="10" a="1"/>
  <c r="Q43" i="10" s="1"/>
  <c r="S43" i="16" s="1"/>
  <c r="Q26" i="10" a="1"/>
  <c r="Q26" i="10" s="1"/>
  <c r="S26" i="16" s="1"/>
  <c r="Q22" i="10" a="1"/>
  <c r="Q22" i="10" s="1"/>
  <c r="S22" i="16" s="1"/>
  <c r="Q15" i="10" a="1"/>
  <c r="Q15" i="10" s="1"/>
  <c r="Q11" i="10" a="1"/>
  <c r="Q11" i="10" s="1"/>
  <c r="S11" i="16" s="1"/>
  <c r="Q7" i="10" a="1"/>
  <c r="Q7" i="10" s="1"/>
  <c r="S7" i="16" s="1"/>
  <c r="P68" i="10" a="1"/>
  <c r="P68" i="10" s="1"/>
  <c r="R68" i="16" s="1"/>
  <c r="P60" i="10" a="1"/>
  <c r="P60" i="10" s="1"/>
  <c r="R60" i="16" s="1"/>
  <c r="P49" i="10" a="1"/>
  <c r="P49" i="10" s="1"/>
  <c r="R49" i="16" s="1"/>
  <c r="P48" i="10" a="1"/>
  <c r="P48" i="10" s="1"/>
  <c r="R48" i="16" s="1"/>
  <c r="P44" i="10" a="1"/>
  <c r="P44" i="10" s="1"/>
  <c r="R44" i="16" s="1"/>
  <c r="P41" i="10" a="1"/>
  <c r="P41" i="10" s="1"/>
  <c r="R41" i="16" s="1"/>
  <c r="P37" i="10" a="1"/>
  <c r="P37" i="10" s="1"/>
  <c r="R37" i="16" s="1"/>
  <c r="P35" i="10" a="1"/>
  <c r="P35" i="10" s="1"/>
  <c r="R35" i="16" s="1"/>
  <c r="P30" i="10" a="1"/>
  <c r="P30" i="10" s="1"/>
  <c r="R30" i="16" s="1"/>
  <c r="P26" i="10" a="1"/>
  <c r="P26" i="10" s="1"/>
  <c r="R26" i="16" s="1"/>
  <c r="P23" i="10" a="1"/>
  <c r="P23" i="10" s="1"/>
  <c r="R23" i="16" s="1"/>
  <c r="P21" i="10" a="1"/>
  <c r="P21" i="10" s="1"/>
  <c r="R21" i="16" s="1"/>
  <c r="P13" i="10" a="1"/>
  <c r="P13" i="10" s="1"/>
  <c r="R13" i="16" s="1"/>
  <c r="P54" i="10" a="1"/>
  <c r="P54" i="10" s="1"/>
  <c r="R54" i="16" s="1"/>
  <c r="P47" i="10" a="1"/>
  <c r="P47" i="10" s="1"/>
  <c r="R47" i="16" s="1"/>
  <c r="P45" i="10" a="1"/>
  <c r="P45" i="10" s="1"/>
  <c r="R45" i="16" s="1"/>
  <c r="P40" i="10" a="1"/>
  <c r="P40" i="10" s="1"/>
  <c r="R40" i="16" s="1"/>
  <c r="P39" i="10" a="1"/>
  <c r="P39" i="10" s="1"/>
  <c r="R39" i="16" s="1"/>
  <c r="P38" i="10" a="1"/>
  <c r="P38" i="10" s="1"/>
  <c r="R38" i="16" s="1"/>
  <c r="P10" i="10" a="1"/>
  <c r="P10" i="10" s="1"/>
  <c r="R10" i="16" s="1"/>
  <c r="P5" i="10" a="1"/>
  <c r="P5" i="10" s="1"/>
  <c r="R5" i="16" s="1"/>
  <c r="P61" i="10" a="1"/>
  <c r="P61" i="10" s="1"/>
  <c r="R61" i="16" s="1"/>
  <c r="P58" i="10" a="1"/>
  <c r="P58" i="10" s="1"/>
  <c r="R58" i="16" s="1"/>
  <c r="P51" i="10" a="1"/>
  <c r="P51" i="10" s="1"/>
  <c r="R51" i="16" s="1"/>
  <c r="P46" i="10" a="1"/>
  <c r="P46" i="10" s="1"/>
  <c r="R46" i="16" s="1"/>
  <c r="P43" i="10" a="1"/>
  <c r="P43" i="10" s="1"/>
  <c r="R43" i="16" s="1"/>
  <c r="P42" i="10" a="1"/>
  <c r="P42" i="10" s="1"/>
  <c r="R42" i="16" s="1"/>
  <c r="P33" i="10" a="1"/>
  <c r="P33" i="10" s="1"/>
  <c r="R33" i="16" s="1"/>
  <c r="P28" i="10" a="1"/>
  <c r="P28" i="10" s="1"/>
  <c r="R28" i="16" s="1"/>
  <c r="P25" i="10" a="1"/>
  <c r="P25" i="10" s="1"/>
  <c r="R25" i="16" s="1"/>
  <c r="P20" i="10" a="1"/>
  <c r="P20" i="10" s="1"/>
  <c r="R20" i="16" s="1"/>
  <c r="P17" i="10" a="1"/>
  <c r="P17" i="10" s="1"/>
  <c r="R17" i="16" s="1"/>
  <c r="P2" i="10" a="1"/>
  <c r="P2" i="10" s="1"/>
  <c r="P67" i="10" a="1"/>
  <c r="P67" i="10" s="1"/>
  <c r="R67" i="16" s="1"/>
  <c r="P62" i="10" a="1"/>
  <c r="P62" i="10" s="1"/>
  <c r="R62" i="16" s="1"/>
  <c r="P52" i="10" a="1"/>
  <c r="P52" i="10" s="1"/>
  <c r="R52" i="16" s="1"/>
  <c r="P34" i="10" a="1"/>
  <c r="P34" i="10" s="1"/>
  <c r="R34" i="16" s="1"/>
  <c r="P15" i="10" a="1"/>
  <c r="P15" i="10" s="1"/>
  <c r="P9" i="10" a="1"/>
  <c r="P9" i="10" s="1"/>
  <c r="R9" i="16" s="1"/>
  <c r="P7" i="10" a="1"/>
  <c r="P7" i="10" s="1"/>
  <c r="R7" i="16" s="1"/>
  <c r="P4" i="10" a="1"/>
  <c r="P4" i="10" s="1"/>
  <c r="R4" i="16" s="1"/>
  <c r="P71" i="10" a="1"/>
  <c r="P71" i="10" s="1"/>
  <c r="R71" i="16" s="1"/>
  <c r="P55" i="10" a="1"/>
  <c r="P55" i="10" s="1"/>
  <c r="R55" i="16" s="1"/>
  <c r="P31" i="10" a="1"/>
  <c r="P31" i="10" s="1"/>
  <c r="R31" i="16" s="1"/>
  <c r="P24" i="10" a="1"/>
  <c r="P24" i="10" s="1"/>
  <c r="R24" i="16" s="1"/>
  <c r="P22" i="10" a="1"/>
  <c r="P22" i="10" s="1"/>
  <c r="R22" i="16" s="1"/>
  <c r="P19" i="10" a="1"/>
  <c r="P19" i="10" s="1"/>
  <c r="R19" i="16" s="1"/>
  <c r="P12" i="10" a="1"/>
  <c r="P12" i="10" s="1"/>
  <c r="R12" i="16" s="1"/>
  <c r="P70" i="10" a="1"/>
  <c r="P70" i="10" s="1"/>
  <c r="R70" i="16" s="1"/>
  <c r="P66" i="10" a="1"/>
  <c r="P66" i="10" s="1"/>
  <c r="R66" i="16" s="1"/>
  <c r="P59" i="10" a="1"/>
  <c r="P59" i="10" s="1"/>
  <c r="R59" i="16" s="1"/>
  <c r="P57" i="10" a="1"/>
  <c r="P57" i="10" s="1"/>
  <c r="R57" i="16" s="1"/>
  <c r="P50" i="10" a="1"/>
  <c r="P50" i="10" s="1"/>
  <c r="R50" i="16" s="1"/>
  <c r="P29" i="10" a="1"/>
  <c r="P29" i="10" s="1"/>
  <c r="R29" i="16" s="1"/>
  <c r="P14" i="10" a="1"/>
  <c r="P14" i="10" s="1"/>
  <c r="R14" i="16" s="1"/>
  <c r="P69" i="10" a="1"/>
  <c r="P69" i="10" s="1"/>
  <c r="R69" i="16" s="1"/>
  <c r="P53" i="10" a="1"/>
  <c r="P53" i="10" s="1"/>
  <c r="R53" i="16" s="1"/>
  <c r="P27" i="10" a="1"/>
  <c r="P27" i="10" s="1"/>
  <c r="R27" i="16" s="1"/>
  <c r="P4" i="5"/>
  <c r="P3" i="5" s="1"/>
  <c r="P65" i="10" a="1"/>
  <c r="P65" i="10" s="1"/>
  <c r="R65" i="16" s="1"/>
  <c r="P64" i="10" a="1"/>
  <c r="P64" i="10" s="1"/>
  <c r="R64" i="16" s="1"/>
  <c r="P63" i="10" a="1"/>
  <c r="P63" i="10" s="1"/>
  <c r="R63" i="16" s="1"/>
  <c r="P56" i="10" a="1"/>
  <c r="P56" i="10" s="1"/>
  <c r="R56" i="16" s="1"/>
  <c r="P36" i="10" a="1"/>
  <c r="P36" i="10" s="1"/>
  <c r="R36" i="16" s="1"/>
  <c r="P32" i="10" a="1"/>
  <c r="P32" i="10" s="1"/>
  <c r="R32" i="16" s="1"/>
  <c r="P18" i="10" a="1"/>
  <c r="P18" i="10" s="1"/>
  <c r="R18" i="16" s="1"/>
  <c r="P16" i="10" a="1"/>
  <c r="P16" i="10" s="1"/>
  <c r="R16" i="16" s="1"/>
  <c r="P11" i="10" a="1"/>
  <c r="P11" i="10" s="1"/>
  <c r="R11" i="16" s="1"/>
  <c r="P8" i="10" a="1"/>
  <c r="P8" i="10" s="1"/>
  <c r="R8" i="16" s="1"/>
  <c r="P6" i="10" a="1"/>
  <c r="P6" i="10" s="1"/>
  <c r="R6" i="16" s="1"/>
  <c r="O2" i="10" a="1"/>
  <c r="O2" i="10" s="1"/>
  <c r="O66" i="10" a="1"/>
  <c r="O66" i="10" s="1"/>
  <c r="Q66" i="16" s="1"/>
  <c r="O52" i="10" a="1"/>
  <c r="O52" i="10" s="1"/>
  <c r="Q52" i="16" s="1"/>
  <c r="O46" i="10" a="1"/>
  <c r="O46" i="10" s="1"/>
  <c r="Q46" i="16" s="1"/>
  <c r="O45" i="10" a="1"/>
  <c r="O45" i="10" s="1"/>
  <c r="Q45" i="16" s="1"/>
  <c r="O44" i="10" a="1"/>
  <c r="O44" i="10" s="1"/>
  <c r="Q44" i="16" s="1"/>
  <c r="O39" i="10" a="1"/>
  <c r="O39" i="10" s="1"/>
  <c r="Q39" i="16" s="1"/>
  <c r="O22" i="10" a="1"/>
  <c r="O22" i="10" s="1"/>
  <c r="Q22" i="16" s="1"/>
  <c r="O20" i="10" a="1"/>
  <c r="O20" i="10" s="1"/>
  <c r="Q20" i="16" s="1"/>
  <c r="O18" i="10" a="1"/>
  <c r="O18" i="10" s="1"/>
  <c r="Q18" i="16" s="1"/>
  <c r="O68" i="10" a="1"/>
  <c r="O68" i="10" s="1"/>
  <c r="Q68" i="16" s="1"/>
  <c r="O59" i="10" a="1"/>
  <c r="O59" i="10" s="1"/>
  <c r="Q59" i="16" s="1"/>
  <c r="O53" i="10" a="1"/>
  <c r="O53" i="10" s="1"/>
  <c r="Q53" i="16" s="1"/>
  <c r="O51" i="10" a="1"/>
  <c r="O51" i="10" s="1"/>
  <c r="Q51" i="16" s="1"/>
  <c r="O38" i="10" a="1"/>
  <c r="O38" i="10" s="1"/>
  <c r="Q38" i="16" s="1"/>
  <c r="O37" i="10" a="1"/>
  <c r="O37" i="10" s="1"/>
  <c r="Q37" i="16" s="1"/>
  <c r="O36" i="10" a="1"/>
  <c r="O36" i="10" s="1"/>
  <c r="Q36" i="16" s="1"/>
  <c r="O26" i="10" a="1"/>
  <c r="O26" i="10" s="1"/>
  <c r="Q26" i="16" s="1"/>
  <c r="O14" i="10" a="1"/>
  <c r="O14" i="10" s="1"/>
  <c r="Q14" i="16" s="1"/>
  <c r="O10" i="10" a="1"/>
  <c r="O10" i="10" s="1"/>
  <c r="Q10" i="16" s="1"/>
  <c r="O8" i="10" a="1"/>
  <c r="O8" i="10" s="1"/>
  <c r="Q8" i="16" s="1"/>
  <c r="O4" i="10" a="1"/>
  <c r="O4" i="10" s="1"/>
  <c r="Q4" i="16" s="1"/>
  <c r="O4" i="5"/>
  <c r="O3" i="5" s="1"/>
  <c r="O71" i="10" a="1"/>
  <c r="O71" i="10" s="1"/>
  <c r="Q71" i="16" s="1"/>
  <c r="O60" i="10" a="1"/>
  <c r="O60" i="10" s="1"/>
  <c r="Q60" i="16" s="1"/>
  <c r="O57" i="10" a="1"/>
  <c r="O57" i="10" s="1"/>
  <c r="Q57" i="16" s="1"/>
  <c r="O54" i="10" a="1"/>
  <c r="O54" i="10" s="1"/>
  <c r="Q54" i="16" s="1"/>
  <c r="O49" i="10" a="1"/>
  <c r="O49" i="10" s="1"/>
  <c r="Q49" i="16" s="1"/>
  <c r="O31" i="10" a="1"/>
  <c r="O31" i="10" s="1"/>
  <c r="Q31" i="16" s="1"/>
  <c r="O28" i="10" a="1"/>
  <c r="O28" i="10" s="1"/>
  <c r="Q28" i="16" s="1"/>
  <c r="O16" i="10" a="1"/>
  <c r="O16" i="10" s="1"/>
  <c r="Q16" i="16" s="1"/>
  <c r="O12" i="10" a="1"/>
  <c r="O12" i="10" s="1"/>
  <c r="Q12" i="16" s="1"/>
  <c r="O65" i="10" a="1"/>
  <c r="O65" i="10" s="1"/>
  <c r="Q65" i="16" s="1"/>
  <c r="O62" i="10" a="1"/>
  <c r="O62" i="10" s="1"/>
  <c r="Q62" i="16" s="1"/>
  <c r="O61" i="10" a="1"/>
  <c r="O61" i="10" s="1"/>
  <c r="Q61" i="16" s="1"/>
  <c r="O48" i="10" a="1"/>
  <c r="O48" i="10" s="1"/>
  <c r="Q48" i="16" s="1"/>
  <c r="O35" i="10" a="1"/>
  <c r="O35" i="10" s="1"/>
  <c r="Q35" i="16" s="1"/>
  <c r="O23" i="10" a="1"/>
  <c r="O23" i="10" s="1"/>
  <c r="Q23" i="16" s="1"/>
  <c r="O6" i="10" a="1"/>
  <c r="O6" i="10" s="1"/>
  <c r="Q6" i="16" s="1"/>
  <c r="O70" i="10" a="1"/>
  <c r="O70" i="10" s="1"/>
  <c r="Q70" i="16" s="1"/>
  <c r="O55" i="10" a="1"/>
  <c r="O55" i="10" s="1"/>
  <c r="Q55" i="16" s="1"/>
  <c r="O43" i="10" a="1"/>
  <c r="O43" i="10" s="1"/>
  <c r="Q43" i="16" s="1"/>
  <c r="O32" i="10" a="1"/>
  <c r="O32" i="10" s="1"/>
  <c r="Q32" i="16" s="1"/>
  <c r="O29" i="10" a="1"/>
  <c r="O29" i="10" s="1"/>
  <c r="Q29" i="16" s="1"/>
  <c r="O25" i="10" a="1"/>
  <c r="O25" i="10" s="1"/>
  <c r="Q25" i="16" s="1"/>
  <c r="O19" i="10" a="1"/>
  <c r="O19" i="10" s="1"/>
  <c r="Q19" i="16" s="1"/>
  <c r="O17" i="10" a="1"/>
  <c r="O17" i="10" s="1"/>
  <c r="Q17" i="16" s="1"/>
  <c r="O9" i="10" a="1"/>
  <c r="O9" i="10" s="1"/>
  <c r="Q9" i="16" s="1"/>
  <c r="O67" i="10" a="1"/>
  <c r="O67" i="10" s="1"/>
  <c r="Q67" i="16" s="1"/>
  <c r="O64" i="10" a="1"/>
  <c r="O64" i="10" s="1"/>
  <c r="Q64" i="16" s="1"/>
  <c r="O56" i="10" a="1"/>
  <c r="O56" i="10" s="1"/>
  <c r="Q56" i="16" s="1"/>
  <c r="O42" i="10" a="1"/>
  <c r="O42" i="10" s="1"/>
  <c r="Q42" i="16" s="1"/>
  <c r="O41" i="10" a="1"/>
  <c r="O41" i="10" s="1"/>
  <c r="Q41" i="16" s="1"/>
  <c r="O21" i="10" a="1"/>
  <c r="O21" i="10" s="1"/>
  <c r="Q21" i="16" s="1"/>
  <c r="O13" i="10" a="1"/>
  <c r="O13" i="10" s="1"/>
  <c r="Q13" i="16" s="1"/>
  <c r="O69" i="10" a="1"/>
  <c r="O69" i="10" s="1"/>
  <c r="Q69" i="16" s="1"/>
  <c r="O50" i="10" a="1"/>
  <c r="O50" i="10" s="1"/>
  <c r="Q50" i="16" s="1"/>
  <c r="O47" i="10" a="1"/>
  <c r="O47" i="10" s="1"/>
  <c r="Q47" i="16" s="1"/>
  <c r="O33" i="10" a="1"/>
  <c r="O33" i="10" s="1"/>
  <c r="Q33" i="16" s="1"/>
  <c r="O11" i="10" a="1"/>
  <c r="O11" i="10" s="1"/>
  <c r="Q11" i="16" s="1"/>
  <c r="O7" i="10" a="1"/>
  <c r="O7" i="10" s="1"/>
  <c r="Q7" i="16" s="1"/>
  <c r="O5" i="10" a="1"/>
  <c r="O5" i="10" s="1"/>
  <c r="Q5" i="16" s="1"/>
  <c r="N70" i="10" a="1"/>
  <c r="N70" i="10" s="1"/>
  <c r="P70" i="16" s="1"/>
  <c r="N36" i="10" a="1"/>
  <c r="N36" i="10" s="1"/>
  <c r="P36" i="16" s="1"/>
  <c r="N31" i="10" a="1"/>
  <c r="N31" i="10" s="1"/>
  <c r="P31" i="16" s="1"/>
  <c r="N22" i="10" a="1"/>
  <c r="N22" i="10" s="1"/>
  <c r="P22" i="16" s="1"/>
  <c r="N17" i="10" a="1"/>
  <c r="N17" i="10" s="1"/>
  <c r="P17" i="16" s="1"/>
  <c r="N6" i="10" a="1"/>
  <c r="N6" i="10" s="1"/>
  <c r="P6" i="16" s="1"/>
  <c r="N4" i="10" a="1"/>
  <c r="N4" i="10" s="1"/>
  <c r="P4" i="16" s="1"/>
  <c r="N4" i="5"/>
  <c r="N3" i="5" s="1"/>
  <c r="N57" i="10" a="1"/>
  <c r="N57" i="10" s="1"/>
  <c r="P57" i="16" s="1"/>
  <c r="N40" i="10" a="1"/>
  <c r="N40" i="10" s="1"/>
  <c r="P40" i="16" s="1"/>
  <c r="N34" i="10" a="1"/>
  <c r="N34" i="10" s="1"/>
  <c r="P34" i="16" s="1"/>
  <c r="N33" i="10" a="1"/>
  <c r="N33" i="10" s="1"/>
  <c r="P33" i="16" s="1"/>
  <c r="N32" i="10" a="1"/>
  <c r="N32" i="10" s="1"/>
  <c r="P32" i="16" s="1"/>
  <c r="N25" i="10" a="1"/>
  <c r="N25" i="10" s="1"/>
  <c r="P25" i="16" s="1"/>
  <c r="N12" i="10" a="1"/>
  <c r="N12" i="10" s="1"/>
  <c r="P12" i="16" s="1"/>
  <c r="N2" i="10" a="1"/>
  <c r="N2" i="10" s="1"/>
  <c r="N65" i="10" a="1"/>
  <c r="N65" i="10" s="1"/>
  <c r="P65" i="16" s="1"/>
  <c r="N63" i="10" a="1"/>
  <c r="N63" i="10" s="1"/>
  <c r="P63" i="16" s="1"/>
  <c r="N49" i="10" a="1"/>
  <c r="N49" i="10" s="1"/>
  <c r="P49" i="16" s="1"/>
  <c r="N47" i="10" a="1"/>
  <c r="N47" i="10" s="1"/>
  <c r="P47" i="16" s="1"/>
  <c r="N27" i="10" a="1"/>
  <c r="N27" i="10" s="1"/>
  <c r="P27" i="16" s="1"/>
  <c r="N23" i="10" a="1"/>
  <c r="N23" i="10" s="1"/>
  <c r="P23" i="16" s="1"/>
  <c r="N20" i="10" a="1"/>
  <c r="N20" i="10" s="1"/>
  <c r="P20" i="16" s="1"/>
  <c r="N10" i="10" a="1"/>
  <c r="N10" i="10" s="1"/>
  <c r="P10" i="16" s="1"/>
  <c r="N7" i="10" a="1"/>
  <c r="N7" i="10" s="1"/>
  <c r="P7" i="16" s="1"/>
  <c r="N69" i="10" a="1"/>
  <c r="N69" i="10" s="1"/>
  <c r="P69" i="16" s="1"/>
  <c r="N67" i="10" a="1"/>
  <c r="N67" i="10" s="1"/>
  <c r="P67" i="16" s="1"/>
  <c r="N18" i="10" a="1"/>
  <c r="N18" i="10" s="1"/>
  <c r="P18" i="16" s="1"/>
  <c r="N13" i="10" a="1"/>
  <c r="N13" i="10" s="1"/>
  <c r="P13" i="16" s="1"/>
  <c r="N54" i="10" a="1"/>
  <c r="N54" i="10" s="1"/>
  <c r="P54" i="16" s="1"/>
  <c r="N53" i="10" a="1"/>
  <c r="N53" i="10" s="1"/>
  <c r="P53" i="16" s="1"/>
  <c r="N52" i="10" a="1"/>
  <c r="N52" i="10" s="1"/>
  <c r="P52" i="16" s="1"/>
  <c r="N43" i="10" a="1"/>
  <c r="N43" i="10" s="1"/>
  <c r="P43" i="16" s="1"/>
  <c r="N39" i="10" a="1"/>
  <c r="N39" i="10" s="1"/>
  <c r="P39" i="16" s="1"/>
  <c r="N35" i="10" a="1"/>
  <c r="N35" i="10" s="1"/>
  <c r="P35" i="16" s="1"/>
  <c r="N28" i="10" a="1"/>
  <c r="N28" i="10" s="1"/>
  <c r="P28" i="16" s="1"/>
  <c r="N15" i="10" a="1"/>
  <c r="N15" i="10" s="1"/>
  <c r="N8" i="10" a="1"/>
  <c r="N8" i="10" s="1"/>
  <c r="P8" i="16" s="1"/>
  <c r="N5" i="10" a="1"/>
  <c r="N5" i="10" s="1"/>
  <c r="P5" i="16" s="1"/>
  <c r="N71" i="10" a="1"/>
  <c r="N71" i="10" s="1"/>
  <c r="P71" i="16" s="1"/>
  <c r="N58" i="10" a="1"/>
  <c r="N58" i="10" s="1"/>
  <c r="P58" i="16" s="1"/>
  <c r="N56" i="10" a="1"/>
  <c r="N56" i="10" s="1"/>
  <c r="P56" i="16" s="1"/>
  <c r="N55" i="10" a="1"/>
  <c r="N55" i="10" s="1"/>
  <c r="P55" i="16" s="1"/>
  <c r="N50" i="10" a="1"/>
  <c r="N50" i="10" s="1"/>
  <c r="P50" i="16" s="1"/>
  <c r="N48" i="10" a="1"/>
  <c r="N48" i="10" s="1"/>
  <c r="P48" i="16" s="1"/>
  <c r="N46" i="10" a="1"/>
  <c r="N46" i="10" s="1"/>
  <c r="P46" i="16" s="1"/>
  <c r="N29" i="10" a="1"/>
  <c r="N29" i="10" s="1"/>
  <c r="P29" i="16" s="1"/>
  <c r="N26" i="10" a="1"/>
  <c r="N26" i="10" s="1"/>
  <c r="P26" i="16" s="1"/>
  <c r="N24" i="10" a="1"/>
  <c r="N24" i="10" s="1"/>
  <c r="P24" i="16" s="1"/>
  <c r="N64" i="10" a="1"/>
  <c r="N64" i="10" s="1"/>
  <c r="P64" i="16" s="1"/>
  <c r="N60" i="10" a="1"/>
  <c r="N60" i="10" s="1"/>
  <c r="P60" i="16" s="1"/>
  <c r="N59" i="10" a="1"/>
  <c r="N59" i="10" s="1"/>
  <c r="P59" i="16" s="1"/>
  <c r="N45" i="10" a="1"/>
  <c r="N45" i="10" s="1"/>
  <c r="P45" i="16" s="1"/>
  <c r="N42" i="10" a="1"/>
  <c r="N42" i="10" s="1"/>
  <c r="P42" i="16" s="1"/>
  <c r="N38" i="10" a="1"/>
  <c r="N38" i="10" s="1"/>
  <c r="P38" i="16" s="1"/>
  <c r="N30" i="10" a="1"/>
  <c r="N30" i="10" s="1"/>
  <c r="P30" i="16" s="1"/>
  <c r="N21" i="10" a="1"/>
  <c r="N21" i="10" s="1"/>
  <c r="P21" i="16" s="1"/>
  <c r="N11" i="10" a="1"/>
  <c r="N11" i="10" s="1"/>
  <c r="P11" i="16" s="1"/>
  <c r="N9" i="10" a="1"/>
  <c r="N9" i="10" s="1"/>
  <c r="P9" i="16" s="1"/>
  <c r="M68" i="10" a="1"/>
  <c r="M68" i="10" s="1"/>
  <c r="O68" i="16" s="1"/>
  <c r="M62" i="10" a="1"/>
  <c r="M62" i="10" s="1"/>
  <c r="O62" i="16" s="1"/>
  <c r="M57" i="10" a="1"/>
  <c r="M57" i="10" s="1"/>
  <c r="O57" i="16" s="1"/>
  <c r="M53" i="10" a="1"/>
  <c r="M53" i="10" s="1"/>
  <c r="O53" i="16" s="1"/>
  <c r="M47" i="10" a="1"/>
  <c r="M47" i="10" s="1"/>
  <c r="O47" i="16" s="1"/>
  <c r="M37" i="10" a="1"/>
  <c r="M37" i="10" s="1"/>
  <c r="O37" i="16" s="1"/>
  <c r="M21" i="10" a="1"/>
  <c r="M21" i="10" s="1"/>
  <c r="O21" i="16" s="1"/>
  <c r="M16" i="10" a="1"/>
  <c r="M16" i="10" s="1"/>
  <c r="O16" i="16" s="1"/>
  <c r="M13" i="10" a="1"/>
  <c r="M13" i="10" s="1"/>
  <c r="O13" i="16" s="1"/>
  <c r="M9" i="10" a="1"/>
  <c r="M9" i="10" s="1"/>
  <c r="O9" i="16" s="1"/>
  <c r="M4" i="10" a="1"/>
  <c r="M4" i="10" s="1"/>
  <c r="O4" i="16" s="1"/>
  <c r="M61" i="10" a="1"/>
  <c r="M61" i="10" s="1"/>
  <c r="O61" i="16" s="1"/>
  <c r="M44" i="10" a="1"/>
  <c r="M44" i="10" s="1"/>
  <c r="O44" i="16" s="1"/>
  <c r="M26" i="10" a="1"/>
  <c r="M26" i="10" s="1"/>
  <c r="O26" i="16" s="1"/>
  <c r="M22" i="10" a="1"/>
  <c r="M22" i="10" s="1"/>
  <c r="O22" i="16" s="1"/>
  <c r="M18" i="10" a="1"/>
  <c r="M18" i="10" s="1"/>
  <c r="O18" i="16" s="1"/>
  <c r="M66" i="10" a="1"/>
  <c r="M66" i="10" s="1"/>
  <c r="O66" i="16" s="1"/>
  <c r="M63" i="10" a="1"/>
  <c r="M63" i="10" s="1"/>
  <c r="O63" i="16" s="1"/>
  <c r="M60" i="10" a="1"/>
  <c r="M60" i="10" s="1"/>
  <c r="O60" i="16" s="1"/>
  <c r="M52" i="10" a="1"/>
  <c r="M52" i="10" s="1"/>
  <c r="O52" i="16" s="1"/>
  <c r="M48" i="10" a="1"/>
  <c r="M48" i="10" s="1"/>
  <c r="O48" i="16" s="1"/>
  <c r="M42" i="10" a="1"/>
  <c r="M42" i="10" s="1"/>
  <c r="O42" i="16" s="1"/>
  <c r="M36" i="10" a="1"/>
  <c r="M36" i="10" s="1"/>
  <c r="O36" i="16" s="1"/>
  <c r="M23" i="10" a="1"/>
  <c r="M23" i="10" s="1"/>
  <c r="O23" i="16" s="1"/>
  <c r="M10" i="10" a="1"/>
  <c r="M10" i="10" s="1"/>
  <c r="O10" i="16" s="1"/>
  <c r="M71" i="10" a="1"/>
  <c r="M71" i="10" s="1"/>
  <c r="O71" i="16" s="1"/>
  <c r="M69" i="10" a="1"/>
  <c r="M69" i="10" s="1"/>
  <c r="O69" i="16" s="1"/>
  <c r="M59" i="10" a="1"/>
  <c r="M59" i="10" s="1"/>
  <c r="O59" i="16" s="1"/>
  <c r="M58" i="10" a="1"/>
  <c r="M58" i="10" s="1"/>
  <c r="O58" i="16" s="1"/>
  <c r="M39" i="10" a="1"/>
  <c r="M39" i="10" s="1"/>
  <c r="O39" i="16" s="1"/>
  <c r="M14" i="10" a="1"/>
  <c r="M14" i="10" s="1"/>
  <c r="O14" i="16" s="1"/>
  <c r="M5" i="10" a="1"/>
  <c r="M5" i="10" s="1"/>
  <c r="O5" i="16" s="1"/>
  <c r="M4" i="5"/>
  <c r="M3" i="5" s="1"/>
  <c r="M64" i="10" a="1"/>
  <c r="M64" i="10" s="1"/>
  <c r="O64" i="16" s="1"/>
  <c r="M46" i="10" a="1"/>
  <c r="M46" i="10" s="1"/>
  <c r="O46" i="16" s="1"/>
  <c r="M41" i="10" a="1"/>
  <c r="M41" i="10" s="1"/>
  <c r="O41" i="16" s="1"/>
  <c r="M24" i="10" a="1"/>
  <c r="M24" i="10" s="1"/>
  <c r="O24" i="16" s="1"/>
  <c r="M19" i="10" a="1"/>
  <c r="M19" i="10" s="1"/>
  <c r="O19" i="16" s="1"/>
  <c r="M67" i="10" a="1"/>
  <c r="M67" i="10" s="1"/>
  <c r="O67" i="16" s="1"/>
  <c r="M56" i="10" a="1"/>
  <c r="M56" i="10" s="1"/>
  <c r="O56" i="16" s="1"/>
  <c r="M49" i="10" a="1"/>
  <c r="M49" i="10" s="1"/>
  <c r="O49" i="16" s="1"/>
  <c r="M34" i="10" a="1"/>
  <c r="M34" i="10" s="1"/>
  <c r="O34" i="16" s="1"/>
  <c r="M27" i="10" a="1"/>
  <c r="M27" i="10" s="1"/>
  <c r="O27" i="16" s="1"/>
  <c r="M11" i="10" a="1"/>
  <c r="M11" i="10" s="1"/>
  <c r="O11" i="16" s="1"/>
  <c r="M6" i="10" a="1"/>
  <c r="M6" i="10" s="1"/>
  <c r="O6" i="16" s="1"/>
  <c r="M55" i="10" a="1"/>
  <c r="M55" i="10" s="1"/>
  <c r="O55" i="16" s="1"/>
  <c r="M45" i="10" a="1"/>
  <c r="M45" i="10" s="1"/>
  <c r="O45" i="16" s="1"/>
  <c r="M38" i="10" a="1"/>
  <c r="M38" i="10" s="1"/>
  <c r="O38" i="16" s="1"/>
  <c r="M33" i="10" a="1"/>
  <c r="M33" i="10" s="1"/>
  <c r="O33" i="16" s="1"/>
  <c r="M30" i="10" a="1"/>
  <c r="M30" i="10" s="1"/>
  <c r="O30" i="16" s="1"/>
  <c r="M29" i="10" a="1"/>
  <c r="M29" i="10" s="1"/>
  <c r="O29" i="16" s="1"/>
  <c r="M28" i="10" a="1"/>
  <c r="M28" i="10" s="1"/>
  <c r="O28" i="16" s="1"/>
  <c r="M25" i="10" a="1"/>
  <c r="M25" i="10" s="1"/>
  <c r="O25" i="16" s="1"/>
  <c r="M20" i="10" a="1"/>
  <c r="M20" i="10" s="1"/>
  <c r="O20" i="16" s="1"/>
  <c r="M7" i="10" a="1"/>
  <c r="M7" i="10" s="1"/>
  <c r="O7" i="16" s="1"/>
  <c r="M2" i="10" a="1"/>
  <c r="M2" i="10" s="1"/>
  <c r="M70" i="10" a="1"/>
  <c r="M70" i="10" s="1"/>
  <c r="O70" i="16" s="1"/>
  <c r="M65" i="10" a="1"/>
  <c r="M65" i="10" s="1"/>
  <c r="O65" i="16" s="1"/>
  <c r="M54" i="10" a="1"/>
  <c r="M54" i="10" s="1"/>
  <c r="O54" i="16" s="1"/>
  <c r="M51" i="10" a="1"/>
  <c r="M51" i="10" s="1"/>
  <c r="O51" i="16" s="1"/>
  <c r="M50" i="10" a="1"/>
  <c r="M50" i="10" s="1"/>
  <c r="O50" i="16" s="1"/>
  <c r="M43" i="10" a="1"/>
  <c r="M43" i="10" s="1"/>
  <c r="O43" i="16" s="1"/>
  <c r="M40" i="10" a="1"/>
  <c r="M40" i="10" s="1"/>
  <c r="O40" i="16" s="1"/>
  <c r="M35" i="10" a="1"/>
  <c r="M35" i="10" s="1"/>
  <c r="O35" i="16" s="1"/>
  <c r="M32" i="10" a="1"/>
  <c r="M32" i="10" s="1"/>
  <c r="O32" i="16" s="1"/>
  <c r="M31" i="10" a="1"/>
  <c r="M31" i="10" s="1"/>
  <c r="O31" i="16" s="1"/>
  <c r="M17" i="10" a="1"/>
  <c r="M17" i="10" s="1"/>
  <c r="O17" i="16" s="1"/>
  <c r="M15" i="10" a="1"/>
  <c r="M15" i="10" s="1"/>
  <c r="M12" i="10" a="1"/>
  <c r="M12" i="10" s="1"/>
  <c r="O12" i="16" s="1"/>
  <c r="M8" i="10" a="1"/>
  <c r="M8" i="10" s="1"/>
  <c r="O8" i="16" s="1"/>
  <c r="L2" i="10" a="1"/>
  <c r="L2" i="10" s="1"/>
  <c r="L66" i="10" a="1"/>
  <c r="L66" i="10" s="1"/>
  <c r="N66" i="16" s="1"/>
  <c r="L60" i="10" a="1"/>
  <c r="L60" i="10" s="1"/>
  <c r="N60" i="16" s="1"/>
  <c r="L56" i="10" a="1"/>
  <c r="L56" i="10" s="1"/>
  <c r="N56" i="16" s="1"/>
  <c r="L39" i="10" a="1"/>
  <c r="L39" i="10" s="1"/>
  <c r="N39" i="16" s="1"/>
  <c r="L37" i="10" a="1"/>
  <c r="L37" i="10" s="1"/>
  <c r="N37" i="16" s="1"/>
  <c r="L24" i="10" a="1"/>
  <c r="L24" i="10" s="1"/>
  <c r="N24" i="16" s="1"/>
  <c r="L14" i="10" a="1"/>
  <c r="L14" i="10" s="1"/>
  <c r="N14" i="16" s="1"/>
  <c r="L51" i="10" a="1"/>
  <c r="L51" i="10" s="1"/>
  <c r="N51" i="16" s="1"/>
  <c r="L47" i="10" a="1"/>
  <c r="L47" i="10" s="1"/>
  <c r="N47" i="16" s="1"/>
  <c r="L34" i="10" a="1"/>
  <c r="L34" i="10" s="1"/>
  <c r="N34" i="16" s="1"/>
  <c r="L25" i="10" a="1"/>
  <c r="L25" i="10" s="1"/>
  <c r="N25" i="16" s="1"/>
  <c r="L17" i="10" a="1"/>
  <c r="L17" i="10" s="1"/>
  <c r="N17" i="16" s="1"/>
  <c r="L5" i="10" a="1"/>
  <c r="L5" i="10" s="1"/>
  <c r="N5" i="16" s="1"/>
  <c r="L70" i="10" a="1"/>
  <c r="L70" i="10" s="1"/>
  <c r="N70" i="16" s="1"/>
  <c r="L67" i="10" a="1"/>
  <c r="L67" i="10" s="1"/>
  <c r="N67" i="16" s="1"/>
  <c r="L57" i="10" a="1"/>
  <c r="L57" i="10" s="1"/>
  <c r="N57" i="16" s="1"/>
  <c r="L55" i="10" a="1"/>
  <c r="L55" i="10" s="1"/>
  <c r="N55" i="16" s="1"/>
  <c r="L52" i="10" a="1"/>
  <c r="L52" i="10" s="1"/>
  <c r="N52" i="16" s="1"/>
  <c r="L48" i="10" a="1"/>
  <c r="L48" i="10" s="1"/>
  <c r="N48" i="16" s="1"/>
  <c r="L45" i="10" a="1"/>
  <c r="L45" i="10" s="1"/>
  <c r="N45" i="16" s="1"/>
  <c r="L42" i="10" a="1"/>
  <c r="L42" i="10" s="1"/>
  <c r="N42" i="16" s="1"/>
  <c r="L35" i="10" a="1"/>
  <c r="L35" i="10" s="1"/>
  <c r="N35" i="16" s="1"/>
  <c r="L18" i="10" a="1"/>
  <c r="L18" i="10" s="1"/>
  <c r="N18" i="16" s="1"/>
  <c r="L9" i="10" a="1"/>
  <c r="L9" i="10" s="1"/>
  <c r="N9" i="16" s="1"/>
  <c r="L8" i="10" a="1"/>
  <c r="L8" i="10" s="1"/>
  <c r="N8" i="16" s="1"/>
  <c r="L7" i="10" a="1"/>
  <c r="L7" i="10" s="1"/>
  <c r="N7" i="16" s="1"/>
  <c r="L6" i="10" a="1"/>
  <c r="L6" i="10" s="1"/>
  <c r="N6" i="16" s="1"/>
  <c r="L59" i="10" a="1"/>
  <c r="L59" i="10" s="1"/>
  <c r="N59" i="16" s="1"/>
  <c r="L50" i="10" a="1"/>
  <c r="L50" i="10" s="1"/>
  <c r="N50" i="16" s="1"/>
  <c r="L49" i="10" a="1"/>
  <c r="L49" i="10" s="1"/>
  <c r="N49" i="16" s="1"/>
  <c r="L40" i="10" a="1"/>
  <c r="L40" i="10" s="1"/>
  <c r="N40" i="16" s="1"/>
  <c r="L36" i="10" a="1"/>
  <c r="L36" i="10" s="1"/>
  <c r="N36" i="16" s="1"/>
  <c r="L26" i="10" a="1"/>
  <c r="L26" i="10" s="1"/>
  <c r="N26" i="16" s="1"/>
  <c r="L16" i="10" a="1"/>
  <c r="L16" i="10" s="1"/>
  <c r="N16" i="16" s="1"/>
  <c r="L15" i="10" a="1"/>
  <c r="L15" i="10" s="1"/>
  <c r="L10" i="10" a="1"/>
  <c r="L10" i="10" s="1"/>
  <c r="N10" i="16" s="1"/>
  <c r="L68" i="10" a="1"/>
  <c r="L68" i="10" s="1"/>
  <c r="N68" i="16" s="1"/>
  <c r="L62" i="10" a="1"/>
  <c r="L62" i="10" s="1"/>
  <c r="N62" i="16" s="1"/>
  <c r="L58" i="10" a="1"/>
  <c r="L58" i="10" s="1"/>
  <c r="N58" i="16" s="1"/>
  <c r="L54" i="10" a="1"/>
  <c r="L54" i="10" s="1"/>
  <c r="N54" i="16" s="1"/>
  <c r="L38" i="10" a="1"/>
  <c r="L38" i="10" s="1"/>
  <c r="N38" i="16" s="1"/>
  <c r="L33" i="10" a="1"/>
  <c r="L33" i="10" s="1"/>
  <c r="N33" i="16" s="1"/>
  <c r="L19" i="10" a="1"/>
  <c r="L19" i="10" s="1"/>
  <c r="N19" i="16" s="1"/>
  <c r="L4" i="5"/>
  <c r="L3" i="5" s="1"/>
  <c r="L71" i="10" a="1"/>
  <c r="L71" i="10" s="1"/>
  <c r="N71" i="16" s="1"/>
  <c r="L64" i="10" a="1"/>
  <c r="L64" i="10" s="1"/>
  <c r="N64" i="16" s="1"/>
  <c r="L63" i="10" a="1"/>
  <c r="L63" i="10" s="1"/>
  <c r="N63" i="16" s="1"/>
  <c r="L43" i="10" a="1"/>
  <c r="L43" i="10" s="1"/>
  <c r="N43" i="16" s="1"/>
  <c r="L20" i="10" a="1"/>
  <c r="L20" i="10" s="1"/>
  <c r="N20" i="16" s="1"/>
  <c r="L11" i="10" a="1"/>
  <c r="L11" i="10" s="1"/>
  <c r="N11" i="16" s="1"/>
  <c r="L65" i="10" a="1"/>
  <c r="L65" i="10" s="1"/>
  <c r="N65" i="16" s="1"/>
  <c r="L61" i="10" a="1"/>
  <c r="L61" i="10" s="1"/>
  <c r="N61" i="16" s="1"/>
  <c r="L53" i="10" a="1"/>
  <c r="L53" i="10" s="1"/>
  <c r="N53" i="16" s="1"/>
  <c r="L46" i="10" a="1"/>
  <c r="L46" i="10" s="1"/>
  <c r="N46" i="16" s="1"/>
  <c r="L41" i="10" a="1"/>
  <c r="L41" i="10" s="1"/>
  <c r="N41" i="16" s="1"/>
  <c r="L27" i="10" a="1"/>
  <c r="L27" i="10" s="1"/>
  <c r="N27" i="16" s="1"/>
  <c r="L22" i="10" a="1"/>
  <c r="L22" i="10" s="1"/>
  <c r="N22" i="16" s="1"/>
  <c r="L21" i="10" a="1"/>
  <c r="L21" i="10" s="1"/>
  <c r="N21" i="16" s="1"/>
  <c r="L13" i="10" a="1"/>
  <c r="L13" i="10" s="1"/>
  <c r="N13" i="16" s="1"/>
  <c r="L12" i="10" a="1"/>
  <c r="L12" i="10" s="1"/>
  <c r="N12" i="16" s="1"/>
  <c r="K65" i="10" a="1"/>
  <c r="K65" i="10" s="1"/>
  <c r="M65" i="16" s="1"/>
  <c r="K58" i="10" a="1"/>
  <c r="K58" i="10" s="1"/>
  <c r="M58" i="16" s="1"/>
  <c r="K57" i="10" a="1"/>
  <c r="K57" i="10" s="1"/>
  <c r="M57" i="16" s="1"/>
  <c r="K52" i="10" a="1"/>
  <c r="K52" i="10" s="1"/>
  <c r="M52" i="16" s="1"/>
  <c r="K44" i="10" a="1"/>
  <c r="K44" i="10" s="1"/>
  <c r="M44" i="16" s="1"/>
  <c r="K29" i="10" a="1"/>
  <c r="K29" i="10" s="1"/>
  <c r="M29" i="16" s="1"/>
  <c r="K18" i="10" a="1"/>
  <c r="K18" i="10" s="1"/>
  <c r="M18" i="16" s="1"/>
  <c r="K17" i="10" a="1"/>
  <c r="K17" i="10" s="1"/>
  <c r="M17" i="16" s="1"/>
  <c r="K71" i="10" a="1"/>
  <c r="K71" i="10" s="1"/>
  <c r="M71" i="16" s="1"/>
  <c r="K66" i="10" a="1"/>
  <c r="K66" i="10" s="1"/>
  <c r="M66" i="16" s="1"/>
  <c r="K64" i="10" a="1"/>
  <c r="K64" i="10" s="1"/>
  <c r="M64" i="16" s="1"/>
  <c r="K51" i="10" a="1"/>
  <c r="K51" i="10" s="1"/>
  <c r="M51" i="16" s="1"/>
  <c r="K40" i="10" a="1"/>
  <c r="K40" i="10" s="1"/>
  <c r="M40" i="16" s="1"/>
  <c r="K37" i="10" a="1"/>
  <c r="K37" i="10" s="1"/>
  <c r="M37" i="16" s="1"/>
  <c r="K33" i="10" a="1"/>
  <c r="K33" i="10" s="1"/>
  <c r="M33" i="16" s="1"/>
  <c r="K28" i="10" a="1"/>
  <c r="K28" i="10" s="1"/>
  <c r="M28" i="16" s="1"/>
  <c r="K27" i="10" a="1"/>
  <c r="K27" i="10" s="1"/>
  <c r="M27" i="16" s="1"/>
  <c r="K21" i="10" a="1"/>
  <c r="K21" i="10" s="1"/>
  <c r="M21" i="16" s="1"/>
  <c r="K20" i="10" a="1"/>
  <c r="K20" i="10" s="1"/>
  <c r="M20" i="16" s="1"/>
  <c r="K19" i="10" a="1"/>
  <c r="K19" i="10" s="1"/>
  <c r="M19" i="16" s="1"/>
  <c r="K67" i="10" a="1"/>
  <c r="K67" i="10" s="1"/>
  <c r="M67" i="16" s="1"/>
  <c r="K60" i="10" a="1"/>
  <c r="K60" i="10" s="1"/>
  <c r="M60" i="16" s="1"/>
  <c r="K53" i="10" a="1"/>
  <c r="K53" i="10" s="1"/>
  <c r="M53" i="16" s="1"/>
  <c r="K45" i="10" a="1"/>
  <c r="K45" i="10" s="1"/>
  <c r="M45" i="16" s="1"/>
  <c r="K13" i="10" a="1"/>
  <c r="K13" i="10" s="1"/>
  <c r="M13" i="16" s="1"/>
  <c r="K2" i="10" a="1"/>
  <c r="K2" i="10" s="1"/>
  <c r="K68" i="10" a="1"/>
  <c r="K68" i="10" s="1"/>
  <c r="M68" i="16" s="1"/>
  <c r="K63" i="10" a="1"/>
  <c r="K63" i="10" s="1"/>
  <c r="M63" i="16" s="1"/>
  <c r="K62" i="10" a="1"/>
  <c r="K62" i="10" s="1"/>
  <c r="M62" i="16" s="1"/>
  <c r="K55" i="10" a="1"/>
  <c r="K55" i="10" s="1"/>
  <c r="M55" i="16" s="1"/>
  <c r="K41" i="10" a="1"/>
  <c r="K41" i="10" s="1"/>
  <c r="M41" i="16" s="1"/>
  <c r="K16" i="10" a="1"/>
  <c r="K16" i="10" s="1"/>
  <c r="M16" i="16" s="1"/>
  <c r="K14" i="10" a="1"/>
  <c r="K14" i="10" s="1"/>
  <c r="M14" i="16" s="1"/>
  <c r="K12" i="10" a="1"/>
  <c r="K12" i="10" s="1"/>
  <c r="M12" i="16" s="1"/>
  <c r="K11" i="10" a="1"/>
  <c r="K11" i="10" s="1"/>
  <c r="M11" i="16" s="1"/>
  <c r="K10" i="10" a="1"/>
  <c r="K10" i="10" s="1"/>
  <c r="M10" i="16" s="1"/>
  <c r="K9" i="10" a="1"/>
  <c r="K9" i="10" s="1"/>
  <c r="M9" i="16" s="1"/>
  <c r="K4" i="5"/>
  <c r="K3" i="5" s="1"/>
  <c r="K38" i="10" a="1"/>
  <c r="K38" i="10" s="1"/>
  <c r="M38" i="16" s="1"/>
  <c r="K15" i="10" a="1"/>
  <c r="K15" i="10" s="1"/>
  <c r="K8" i="10" a="1"/>
  <c r="K8" i="10" s="1"/>
  <c r="M8" i="16" s="1"/>
  <c r="K69" i="10" a="1"/>
  <c r="K69" i="10" s="1"/>
  <c r="M69" i="16" s="1"/>
  <c r="K50" i="10" a="1"/>
  <c r="K50" i="10" s="1"/>
  <c r="M50" i="16" s="1"/>
  <c r="K46" i="10" a="1"/>
  <c r="K46" i="10" s="1"/>
  <c r="M46" i="16" s="1"/>
  <c r="K42" i="10" a="1"/>
  <c r="K42" i="10" s="1"/>
  <c r="M42" i="16" s="1"/>
  <c r="K36" i="10" a="1"/>
  <c r="K36" i="10" s="1"/>
  <c r="M36" i="16" s="1"/>
  <c r="K35" i="10" a="1"/>
  <c r="K35" i="10" s="1"/>
  <c r="M35" i="16" s="1"/>
  <c r="K34" i="10" a="1"/>
  <c r="K34" i="10" s="1"/>
  <c r="M34" i="16" s="1"/>
  <c r="K32" i="10" a="1"/>
  <c r="K32" i="10" s="1"/>
  <c r="M32" i="16" s="1"/>
  <c r="K7" i="10" a="1"/>
  <c r="K7" i="10" s="1"/>
  <c r="M7" i="16" s="1"/>
  <c r="K59" i="10" a="1"/>
  <c r="K59" i="10" s="1"/>
  <c r="M59" i="16" s="1"/>
  <c r="K54" i="10" a="1"/>
  <c r="K54" i="10" s="1"/>
  <c r="M54" i="16" s="1"/>
  <c r="K31" i="10" a="1"/>
  <c r="K31" i="10" s="1"/>
  <c r="M31" i="16" s="1"/>
  <c r="K70" i="10" a="1"/>
  <c r="K70" i="10" s="1"/>
  <c r="M70" i="16" s="1"/>
  <c r="K61" i="10" a="1"/>
  <c r="K61" i="10" s="1"/>
  <c r="M61" i="16" s="1"/>
  <c r="K56" i="10" a="1"/>
  <c r="K56" i="10" s="1"/>
  <c r="M56" i="16" s="1"/>
  <c r="K49" i="10" a="1"/>
  <c r="K49" i="10" s="1"/>
  <c r="M49" i="16" s="1"/>
  <c r="K48" i="10" a="1"/>
  <c r="K48" i="10" s="1"/>
  <c r="M48" i="16" s="1"/>
  <c r="K47" i="10" a="1"/>
  <c r="K47" i="10" s="1"/>
  <c r="M47" i="16" s="1"/>
  <c r="K43" i="10" a="1"/>
  <c r="K43" i="10" s="1"/>
  <c r="M43" i="16" s="1"/>
  <c r="K39" i="10" a="1"/>
  <c r="K39" i="10" s="1"/>
  <c r="M39" i="16" s="1"/>
  <c r="K30" i="10" a="1"/>
  <c r="K30" i="10" s="1"/>
  <c r="M30" i="16" s="1"/>
  <c r="K26" i="10" a="1"/>
  <c r="K26" i="10" s="1"/>
  <c r="M26" i="16" s="1"/>
  <c r="K25" i="10" a="1"/>
  <c r="K25" i="10" s="1"/>
  <c r="M25" i="16" s="1"/>
  <c r="K24" i="10" a="1"/>
  <c r="K24" i="10" s="1"/>
  <c r="M24" i="16" s="1"/>
  <c r="K23" i="10" a="1"/>
  <c r="K23" i="10" s="1"/>
  <c r="M23" i="16" s="1"/>
  <c r="K22" i="10" a="1"/>
  <c r="K22" i="10" s="1"/>
  <c r="M22" i="16" s="1"/>
  <c r="K6" i="10" a="1"/>
  <c r="K6" i="10" s="1"/>
  <c r="M6" i="16" s="1"/>
  <c r="K5" i="10" a="1"/>
  <c r="K5" i="10" s="1"/>
  <c r="M5" i="16" s="1"/>
  <c r="K4" i="10" a="1"/>
  <c r="K4" i="10" s="1"/>
  <c r="M4" i="16" s="1"/>
  <c r="J62" i="10" a="1"/>
  <c r="J62" i="10" s="1"/>
  <c r="L62" i="16" s="1"/>
  <c r="J55" i="10" a="1"/>
  <c r="J55" i="10" s="1"/>
  <c r="L55" i="16" s="1"/>
  <c r="J37" i="10" a="1"/>
  <c r="J37" i="10" s="1"/>
  <c r="L37" i="16" s="1"/>
  <c r="J32" i="10" a="1"/>
  <c r="J32" i="10" s="1"/>
  <c r="L32" i="16" s="1"/>
  <c r="J21" i="10" a="1"/>
  <c r="J21" i="10" s="1"/>
  <c r="L21" i="16" s="1"/>
  <c r="J63" i="10" a="1"/>
  <c r="J63" i="10" s="1"/>
  <c r="L63" i="16" s="1"/>
  <c r="J8" i="10" a="1"/>
  <c r="J8" i="10" s="1"/>
  <c r="L8" i="16" s="1"/>
  <c r="J68" i="10" a="1"/>
  <c r="J68" i="10" s="1"/>
  <c r="L68" i="16" s="1"/>
  <c r="J67" i="10" a="1"/>
  <c r="J67" i="10" s="1"/>
  <c r="L67" i="16" s="1"/>
  <c r="J66" i="10" a="1"/>
  <c r="J66" i="10" s="1"/>
  <c r="L66" i="16" s="1"/>
  <c r="J65" i="10" a="1"/>
  <c r="J65" i="10" s="1"/>
  <c r="L65" i="16" s="1"/>
  <c r="J52" i="10" a="1"/>
  <c r="J52" i="10" s="1"/>
  <c r="L52" i="16" s="1"/>
  <c r="J38" i="10" a="1"/>
  <c r="J38" i="10" s="1"/>
  <c r="L38" i="16" s="1"/>
  <c r="J28" i="10" a="1"/>
  <c r="J28" i="10" s="1"/>
  <c r="L28" i="16" s="1"/>
  <c r="J26" i="10" a="1"/>
  <c r="J26" i="10" s="1"/>
  <c r="L26" i="16" s="1"/>
  <c r="J20" i="10" a="1"/>
  <c r="J20" i="10" s="1"/>
  <c r="L20" i="16" s="1"/>
  <c r="J15" i="10" a="1"/>
  <c r="J15" i="10" s="1"/>
  <c r="J14" i="10" a="1"/>
  <c r="J14" i="10" s="1"/>
  <c r="L14" i="16" s="1"/>
  <c r="J13" i="10" a="1"/>
  <c r="J13" i="10" s="1"/>
  <c r="L13" i="16" s="1"/>
  <c r="J7" i="10" a="1"/>
  <c r="J7" i="10" s="1"/>
  <c r="L7" i="16" s="1"/>
  <c r="J69" i="10" a="1"/>
  <c r="J69" i="10" s="1"/>
  <c r="L69" i="16" s="1"/>
  <c r="J60" i="10" a="1"/>
  <c r="J60" i="10" s="1"/>
  <c r="L60" i="16" s="1"/>
  <c r="J58" i="10" a="1"/>
  <c r="J58" i="10" s="1"/>
  <c r="L58" i="16" s="1"/>
  <c r="J53" i="10" a="1"/>
  <c r="J53" i="10" s="1"/>
  <c r="L53" i="16" s="1"/>
  <c r="J50" i="10" a="1"/>
  <c r="J50" i="10" s="1"/>
  <c r="L50" i="16" s="1"/>
  <c r="J39" i="10" a="1"/>
  <c r="J39" i="10" s="1"/>
  <c r="L39" i="16" s="1"/>
  <c r="J33" i="10" a="1"/>
  <c r="J33" i="10" s="1"/>
  <c r="L33" i="16" s="1"/>
  <c r="J27" i="10" a="1"/>
  <c r="J27" i="10" s="1"/>
  <c r="L27" i="16" s="1"/>
  <c r="J25" i="10" a="1"/>
  <c r="J25" i="10" s="1"/>
  <c r="L25" i="16" s="1"/>
  <c r="J19" i="10" a="1"/>
  <c r="J19" i="10" s="1"/>
  <c r="L19" i="16" s="1"/>
  <c r="J18" i="10" a="1"/>
  <c r="J18" i="10" s="1"/>
  <c r="L18" i="16" s="1"/>
  <c r="J16" i="10" a="1"/>
  <c r="J16" i="10" s="1"/>
  <c r="L16" i="16" s="1"/>
  <c r="J4" i="5"/>
  <c r="J3" i="5" s="1"/>
  <c r="J70" i="10" a="1"/>
  <c r="J70" i="10" s="1"/>
  <c r="L70" i="16" s="1"/>
  <c r="J57" i="10" a="1"/>
  <c r="J57" i="10" s="1"/>
  <c r="L57" i="16" s="1"/>
  <c r="J56" i="10" a="1"/>
  <c r="J56" i="10" s="1"/>
  <c r="L56" i="16" s="1"/>
  <c r="J41" i="10" a="1"/>
  <c r="J41" i="10" s="1"/>
  <c r="L41" i="16" s="1"/>
  <c r="J40" i="10" a="1"/>
  <c r="J40" i="10" s="1"/>
  <c r="L40" i="16" s="1"/>
  <c r="J31" i="10" a="1"/>
  <c r="J31" i="10" s="1"/>
  <c r="L31" i="16" s="1"/>
  <c r="J24" i="10" a="1"/>
  <c r="J24" i="10" s="1"/>
  <c r="L24" i="16" s="1"/>
  <c r="J17" i="10" a="1"/>
  <c r="J17" i="10" s="1"/>
  <c r="L17" i="16" s="1"/>
  <c r="J12" i="10" a="1"/>
  <c r="J12" i="10" s="1"/>
  <c r="L12" i="16" s="1"/>
  <c r="J59" i="10" a="1"/>
  <c r="J59" i="10" s="1"/>
  <c r="L59" i="16" s="1"/>
  <c r="J29" i="10" a="1"/>
  <c r="J29" i="10" s="1"/>
  <c r="L29" i="16" s="1"/>
  <c r="J71" i="10" a="1"/>
  <c r="J71" i="10" s="1"/>
  <c r="L71" i="16" s="1"/>
  <c r="J64" i="10" a="1"/>
  <c r="J64" i="10" s="1"/>
  <c r="L64" i="16" s="1"/>
  <c r="J54" i="10" a="1"/>
  <c r="J54" i="10" s="1"/>
  <c r="L54" i="16" s="1"/>
  <c r="J51" i="10" a="1"/>
  <c r="J51" i="10" s="1"/>
  <c r="L51" i="16" s="1"/>
  <c r="J45" i="10" a="1"/>
  <c r="J45" i="10" s="1"/>
  <c r="L45" i="16" s="1"/>
  <c r="J44" i="10" a="1"/>
  <c r="J44" i="10" s="1"/>
  <c r="L44" i="16" s="1"/>
  <c r="J43" i="10" a="1"/>
  <c r="J43" i="10" s="1"/>
  <c r="L43" i="16" s="1"/>
  <c r="J42" i="10" a="1"/>
  <c r="J42" i="10" s="1"/>
  <c r="L42" i="16" s="1"/>
  <c r="J23" i="10" a="1"/>
  <c r="J23" i="10" s="1"/>
  <c r="L23" i="16" s="1"/>
  <c r="J11" i="10" a="1"/>
  <c r="J11" i="10" s="1"/>
  <c r="L11" i="16" s="1"/>
  <c r="J6" i="10" a="1"/>
  <c r="J6" i="10" s="1"/>
  <c r="L6" i="16" s="1"/>
  <c r="J2" i="10" a="1"/>
  <c r="J2" i="10" s="1"/>
  <c r="J61" i="10" a="1"/>
  <c r="J61" i="10" s="1"/>
  <c r="L61" i="16" s="1"/>
  <c r="J46" i="10" a="1"/>
  <c r="J46" i="10" s="1"/>
  <c r="L46" i="16" s="1"/>
  <c r="J30" i="10" a="1"/>
  <c r="J30" i="10" s="1"/>
  <c r="L30" i="16" s="1"/>
  <c r="J22" i="10" a="1"/>
  <c r="J22" i="10" s="1"/>
  <c r="L22" i="16" s="1"/>
  <c r="J10" i="10" a="1"/>
  <c r="J10" i="10" s="1"/>
  <c r="L10" i="16" s="1"/>
  <c r="G4" i="5"/>
  <c r="G3" i="5" s="1"/>
  <c r="G37" i="10" a="1"/>
  <c r="G37" i="10" s="1"/>
  <c r="I37" i="16" s="1"/>
  <c r="G29" i="10" a="1"/>
  <c r="G29" i="10" s="1"/>
  <c r="I29" i="16" s="1"/>
  <c r="G58" i="10" a="1"/>
  <c r="G58" i="10" s="1"/>
  <c r="I58" i="16" s="1"/>
  <c r="G52" i="10" a="1"/>
  <c r="G52" i="10" s="1"/>
  <c r="I52" i="16" s="1"/>
  <c r="G48" i="10" a="1"/>
  <c r="G48" i="10" s="1"/>
  <c r="I48" i="16" s="1"/>
  <c r="G45" i="10" a="1"/>
  <c r="G45" i="10" s="1"/>
  <c r="I45" i="16" s="1"/>
  <c r="G42" i="10" a="1"/>
  <c r="G42" i="10" s="1"/>
  <c r="I42" i="16" s="1"/>
  <c r="G10" i="10" a="1"/>
  <c r="G10" i="10" s="1"/>
  <c r="I10" i="16" s="1"/>
  <c r="G6" i="10" a="1"/>
  <c r="G6" i="10" s="1"/>
  <c r="I6" i="16" s="1"/>
  <c r="G31" i="10" a="1"/>
  <c r="G31" i="10" s="1"/>
  <c r="I31" i="16" s="1"/>
  <c r="G50" i="10" a="1"/>
  <c r="G50" i="10" s="1"/>
  <c r="I50" i="16" s="1"/>
  <c r="G27" i="10" a="1"/>
  <c r="G27" i="10" s="1"/>
  <c r="I27" i="16" s="1"/>
  <c r="G26" i="10" a="1"/>
  <c r="G26" i="10" s="1"/>
  <c r="I26" i="16" s="1"/>
  <c r="G63" i="10" a="1"/>
  <c r="G63" i="10" s="1"/>
  <c r="I63" i="16" s="1"/>
  <c r="G15" i="10" a="1"/>
  <c r="G15" i="10" s="1"/>
  <c r="G3" i="10" a="1"/>
  <c r="G3" i="10" s="1"/>
  <c r="I3" i="16" s="1"/>
  <c r="H26" i="10" a="1"/>
  <c r="H26" i="10" s="1"/>
  <c r="H15" i="10" a="1"/>
  <c r="H15" i="10" s="1"/>
  <c r="H64" i="10" a="1"/>
  <c r="H64" i="10" s="1"/>
  <c r="G66" i="10" a="1"/>
  <c r="G66" i="10" s="1"/>
  <c r="I66" i="16" s="1"/>
  <c r="H60" i="10" a="1"/>
  <c r="H60" i="10" s="1"/>
  <c r="H57" i="10" a="1"/>
  <c r="H57" i="10" s="1"/>
  <c r="H44" i="10" a="1"/>
  <c r="H44" i="10" s="1"/>
  <c r="G41" i="10" a="1"/>
  <c r="G41" i="10" s="1"/>
  <c r="I41" i="16" s="1"/>
  <c r="H35" i="10" a="1"/>
  <c r="H35" i="10" s="1"/>
  <c r="H21" i="10" a="1"/>
  <c r="H21" i="10" s="1"/>
  <c r="G19" i="10" a="1"/>
  <c r="G19" i="10" s="1"/>
  <c r="I19" i="16" s="1"/>
  <c r="H14" i="10" a="1"/>
  <c r="H14" i="10" s="1"/>
  <c r="G12" i="10" a="1"/>
  <c r="G12" i="10" s="1"/>
  <c r="I12" i="16" s="1"/>
  <c r="H9" i="10" a="1"/>
  <c r="H9" i="10" s="1"/>
  <c r="H7" i="10" a="1"/>
  <c r="H7" i="10" s="1"/>
  <c r="H5" i="10" a="1"/>
  <c r="H5" i="10" s="1"/>
  <c r="H36" i="10" a="1"/>
  <c r="H36" i="10" s="1"/>
  <c r="H2" i="10" a="1"/>
  <c r="H2" i="10" s="1"/>
  <c r="H65" i="10" a="1"/>
  <c r="H65" i="10" s="1"/>
  <c r="G64" i="10" a="1"/>
  <c r="G64" i="10" s="1"/>
  <c r="I64" i="16" s="1"/>
  <c r="H62" i="10" a="1"/>
  <c r="H62" i="10" s="1"/>
  <c r="H61" i="10" a="1"/>
  <c r="H61" i="10" s="1"/>
  <c r="G60" i="10" a="1"/>
  <c r="G60" i="10" s="1"/>
  <c r="I60" i="16" s="1"/>
  <c r="G59" i="10" a="1"/>
  <c r="G59" i="10" s="1"/>
  <c r="I59" i="16" s="1"/>
  <c r="H54" i="10" a="1"/>
  <c r="H54" i="10" s="1"/>
  <c r="H53" i="10" a="1"/>
  <c r="H53" i="10" s="1"/>
  <c r="H47" i="10" a="1"/>
  <c r="H47" i="10" s="1"/>
  <c r="G44" i="10" a="1"/>
  <c r="G44" i="10" s="1"/>
  <c r="I44" i="16" s="1"/>
  <c r="H40" i="10" a="1"/>
  <c r="H40" i="10" s="1"/>
  <c r="G35" i="10" a="1"/>
  <c r="G35" i="10" s="1"/>
  <c r="I35" i="16" s="1"/>
  <c r="H33" i="10" a="1"/>
  <c r="H33" i="10" s="1"/>
  <c r="H32" i="10" a="1"/>
  <c r="H32" i="10" s="1"/>
  <c r="H25" i="10" a="1"/>
  <c r="H25" i="10" s="1"/>
  <c r="G23" i="10" a="1"/>
  <c r="G23" i="10" s="1"/>
  <c r="I23" i="16" s="1"/>
  <c r="G21" i="10" a="1"/>
  <c r="G21" i="10" s="1"/>
  <c r="I21" i="16" s="1"/>
  <c r="H18" i="10" a="1"/>
  <c r="H18" i="10" s="1"/>
  <c r="G9" i="10" a="1"/>
  <c r="G9" i="10" s="1"/>
  <c r="I9" i="16" s="1"/>
  <c r="G7" i="10" a="1"/>
  <c r="G7" i="10" s="1"/>
  <c r="I7" i="16" s="1"/>
  <c r="G5" i="10" a="1"/>
  <c r="G5" i="10" s="1"/>
  <c r="I5" i="16" s="1"/>
  <c r="G2" i="10" a="1"/>
  <c r="G2" i="10" s="1"/>
  <c r="H71" i="10" a="1"/>
  <c r="H71" i="10" s="1"/>
  <c r="G65" i="10" a="1"/>
  <c r="G65" i="10" s="1"/>
  <c r="I65" i="16" s="1"/>
  <c r="G62" i="10" a="1"/>
  <c r="G62" i="10" s="1"/>
  <c r="I62" i="16" s="1"/>
  <c r="G61" i="10" a="1"/>
  <c r="G61" i="10" s="1"/>
  <c r="I61" i="16" s="1"/>
  <c r="G57" i="10" a="1"/>
  <c r="G57" i="10" s="1"/>
  <c r="I57" i="16" s="1"/>
  <c r="H55" i="10" a="1"/>
  <c r="H55" i="10" s="1"/>
  <c r="G54" i="10" a="1"/>
  <c r="G54" i="10" s="1"/>
  <c r="I54" i="16" s="1"/>
  <c r="H43" i="10" a="1"/>
  <c r="H43" i="10" s="1"/>
  <c r="G40" i="10" a="1"/>
  <c r="G40" i="10" s="1"/>
  <c r="I40" i="16" s="1"/>
  <c r="H34" i="10" a="1"/>
  <c r="H34" i="10" s="1"/>
  <c r="G33" i="10" a="1"/>
  <c r="G33" i="10" s="1"/>
  <c r="I33" i="16" s="1"/>
  <c r="G32" i="10" a="1"/>
  <c r="G32" i="10" s="1"/>
  <c r="I32" i="16" s="1"/>
  <c r="H30" i="10" a="1"/>
  <c r="H30" i="10" s="1"/>
  <c r="H28" i="10" a="1"/>
  <c r="H28" i="10" s="1"/>
  <c r="G25" i="10" a="1"/>
  <c r="G25" i="10" s="1"/>
  <c r="I25" i="16" s="1"/>
  <c r="G18" i="10" a="1"/>
  <c r="G18" i="10" s="1"/>
  <c r="I18" i="16" s="1"/>
  <c r="H16" i="10" a="1"/>
  <c r="H16" i="10" s="1"/>
  <c r="G14" i="10" a="1"/>
  <c r="G14" i="10" s="1"/>
  <c r="I14" i="16" s="1"/>
  <c r="H11" i="10" a="1"/>
  <c r="H11" i="10" s="1"/>
  <c r="H67" i="10" a="1"/>
  <c r="H67" i="10" s="1"/>
  <c r="H37" i="10" a="1"/>
  <c r="H37" i="10" s="1"/>
  <c r="H66" i="10" a="1"/>
  <c r="H66" i="10" s="1"/>
  <c r="G71" i="10" a="1"/>
  <c r="G71" i="10" s="1"/>
  <c r="I71" i="16" s="1"/>
  <c r="H70" i="10" a="1"/>
  <c r="H70" i="10" s="1"/>
  <c r="H56" i="10" a="1"/>
  <c r="H56" i="10" s="1"/>
  <c r="G53" i="10" a="1"/>
  <c r="G53" i="10" s="1"/>
  <c r="I53" i="16" s="1"/>
  <c r="H51" i="10" a="1"/>
  <c r="H51" i="10" s="1"/>
  <c r="G47" i="10" a="1"/>
  <c r="G47" i="10" s="1"/>
  <c r="I47" i="16" s="1"/>
  <c r="H39" i="10" a="1"/>
  <c r="H39" i="10" s="1"/>
  <c r="G34" i="10" a="1"/>
  <c r="G34" i="10" s="1"/>
  <c r="I34" i="16" s="1"/>
  <c r="G30" i="10" a="1"/>
  <c r="G30" i="10" s="1"/>
  <c r="I30" i="16" s="1"/>
  <c r="G28" i="10" a="1"/>
  <c r="G28" i="10" s="1"/>
  <c r="I28" i="16" s="1"/>
  <c r="H22" i="10" a="1"/>
  <c r="H22" i="10" s="1"/>
  <c r="H20" i="10" a="1"/>
  <c r="H20" i="10" s="1"/>
  <c r="G16" i="10" a="1"/>
  <c r="G16" i="10" s="1"/>
  <c r="I16" i="16" s="1"/>
  <c r="H13" i="10" a="1"/>
  <c r="H13" i="10" s="1"/>
  <c r="G11" i="10" a="1"/>
  <c r="G11" i="10" s="1"/>
  <c r="I11" i="16" s="1"/>
  <c r="H8" i="10" a="1"/>
  <c r="H8" i="10" s="1"/>
  <c r="H4" i="10" a="1"/>
  <c r="H4" i="10" s="1"/>
  <c r="H3" i="10" a="1"/>
  <c r="H3" i="10" s="1"/>
  <c r="H59" i="10" a="1"/>
  <c r="H59" i="10" s="1"/>
  <c r="H41" i="10" a="1"/>
  <c r="H41" i="10" s="1"/>
  <c r="H12" i="10" a="1"/>
  <c r="H12" i="10" s="1"/>
  <c r="G70" i="10" a="1"/>
  <c r="G70" i="10" s="1"/>
  <c r="I70" i="16" s="1"/>
  <c r="H69" i="10" a="1"/>
  <c r="H69" i="10" s="1"/>
  <c r="G56" i="10" a="1"/>
  <c r="G56" i="10" s="1"/>
  <c r="I56" i="16" s="1"/>
  <c r="G55" i="10" a="1"/>
  <c r="G55" i="10" s="1"/>
  <c r="I55" i="16" s="1"/>
  <c r="H52" i="10" a="1"/>
  <c r="H52" i="10" s="1"/>
  <c r="H49" i="10" a="1"/>
  <c r="H49" i="10" s="1"/>
  <c r="H46" i="10" a="1"/>
  <c r="H46" i="10" s="1"/>
  <c r="G43" i="10" a="1"/>
  <c r="G43" i="10" s="1"/>
  <c r="I43" i="16" s="1"/>
  <c r="G39" i="10" a="1"/>
  <c r="G39" i="10" s="1"/>
  <c r="I39" i="16" s="1"/>
  <c r="H38" i="10" a="1"/>
  <c r="H38" i="10" s="1"/>
  <c r="H24" i="10" a="1"/>
  <c r="H24" i="10" s="1"/>
  <c r="G22" i="10" a="1"/>
  <c r="G22" i="10" s="1"/>
  <c r="I22" i="16" s="1"/>
  <c r="G20" i="10" a="1"/>
  <c r="G20" i="10" s="1"/>
  <c r="I20" i="16" s="1"/>
  <c r="H17" i="10" a="1"/>
  <c r="H17" i="10" s="1"/>
  <c r="G13" i="10" a="1"/>
  <c r="G13" i="10" s="1"/>
  <c r="I13" i="16" s="1"/>
  <c r="H48" i="10" a="1"/>
  <c r="H48" i="10" s="1"/>
  <c r="H42" i="10" a="1"/>
  <c r="H42" i="10" s="1"/>
  <c r="H31" i="10" a="1"/>
  <c r="H31" i="10" s="1"/>
  <c r="H29" i="10" a="1"/>
  <c r="H29" i="10" s="1"/>
  <c r="H19" i="10" a="1"/>
  <c r="H19" i="10" s="1"/>
  <c r="H23" i="10" a="1"/>
  <c r="H23" i="10" s="1"/>
  <c r="H4" i="5"/>
  <c r="H3" i="5" s="1"/>
  <c r="G69" i="10" a="1"/>
  <c r="G69" i="10" s="1"/>
  <c r="I69" i="16" s="1"/>
  <c r="H68" i="10" a="1"/>
  <c r="H68" i="10" s="1"/>
  <c r="H63" i="10" a="1"/>
  <c r="H63" i="10" s="1"/>
  <c r="H58" i="10" a="1"/>
  <c r="H58" i="10" s="1"/>
  <c r="G51" i="10" a="1"/>
  <c r="G51" i="10" s="1"/>
  <c r="I51" i="16" s="1"/>
  <c r="H50" i="10" a="1"/>
  <c r="H50" i="10" s="1"/>
  <c r="G49" i="10" a="1"/>
  <c r="G49" i="10" s="1"/>
  <c r="I49" i="16" s="1"/>
  <c r="G46" i="10" a="1"/>
  <c r="G46" i="10" s="1"/>
  <c r="I46" i="16" s="1"/>
  <c r="H45" i="10" a="1"/>
  <c r="H45" i="10" s="1"/>
  <c r="G38" i="10" a="1"/>
  <c r="G38" i="10" s="1"/>
  <c r="I38" i="16" s="1"/>
  <c r="H27" i="10" a="1"/>
  <c r="H27" i="10" s="1"/>
  <c r="G24" i="10" a="1"/>
  <c r="G24" i="10" s="1"/>
  <c r="I24" i="16" s="1"/>
  <c r="G17" i="10" a="1"/>
  <c r="G17" i="10" s="1"/>
  <c r="I17" i="16" s="1"/>
  <c r="H10" i="10" a="1"/>
  <c r="H10" i="10" s="1"/>
  <c r="G8" i="10" a="1"/>
  <c r="G8" i="10" s="1"/>
  <c r="I8" i="16" s="1"/>
  <c r="I51" i="10" a="1"/>
  <c r="I51" i="10" s="1"/>
  <c r="K51" i="16" s="1"/>
  <c r="I46" i="10" a="1"/>
  <c r="I46" i="10" s="1"/>
  <c r="K46" i="16" s="1"/>
  <c r="I39" i="10" a="1"/>
  <c r="I39" i="10" s="1"/>
  <c r="K39" i="16" s="1"/>
  <c r="I27" i="10" a="1"/>
  <c r="I27" i="10" s="1"/>
  <c r="K27" i="16" s="1"/>
  <c r="I15" i="10" a="1"/>
  <c r="I15" i="10" s="1"/>
  <c r="I70" i="10" a="1"/>
  <c r="I70" i="10" s="1"/>
  <c r="K70" i="16" s="1"/>
  <c r="I66" i="10" a="1"/>
  <c r="I66" i="10" s="1"/>
  <c r="K66" i="16" s="1"/>
  <c r="I62" i="10" a="1"/>
  <c r="I62" i="10" s="1"/>
  <c r="K62" i="16" s="1"/>
  <c r="I61" i="10" a="1"/>
  <c r="I61" i="10" s="1"/>
  <c r="K61" i="16" s="1"/>
  <c r="I58" i="10" a="1"/>
  <c r="I58" i="10" s="1"/>
  <c r="K58" i="16" s="1"/>
  <c r="I56" i="10" a="1"/>
  <c r="I56" i="10" s="1"/>
  <c r="K56" i="16" s="1"/>
  <c r="I55" i="10" a="1"/>
  <c r="I55" i="10" s="1"/>
  <c r="K55" i="16" s="1"/>
  <c r="I35" i="10" a="1"/>
  <c r="I35" i="10" s="1"/>
  <c r="K35" i="16" s="1"/>
  <c r="I21" i="10" a="1"/>
  <c r="I21" i="10" s="1"/>
  <c r="K21" i="16" s="1"/>
  <c r="I19" i="10" a="1"/>
  <c r="I19" i="10" s="1"/>
  <c r="K19" i="16" s="1"/>
  <c r="I11" i="10" a="1"/>
  <c r="I11" i="10" s="1"/>
  <c r="K11" i="16" s="1"/>
  <c r="I4" i="5"/>
  <c r="I3" i="5" s="1"/>
  <c r="I60" i="10" a="1"/>
  <c r="I60" i="10" s="1"/>
  <c r="K60" i="16" s="1"/>
  <c r="I59" i="10" a="1"/>
  <c r="I59" i="10" s="1"/>
  <c r="K59" i="16" s="1"/>
  <c r="I54" i="10" a="1"/>
  <c r="I54" i="10" s="1"/>
  <c r="K54" i="16" s="1"/>
  <c r="I43" i="10" a="1"/>
  <c r="I43" i="10" s="1"/>
  <c r="K43" i="16" s="1"/>
  <c r="I41" i="10" a="1"/>
  <c r="I41" i="10" s="1"/>
  <c r="K41" i="16" s="1"/>
  <c r="I30" i="10" a="1"/>
  <c r="I30" i="10" s="1"/>
  <c r="K30" i="16" s="1"/>
  <c r="I26" i="10" a="1"/>
  <c r="I26" i="10" s="1"/>
  <c r="K26" i="16" s="1"/>
  <c r="I24" i="10" a="1"/>
  <c r="I24" i="10" s="1"/>
  <c r="K24" i="16" s="1"/>
  <c r="I17" i="10" a="1"/>
  <c r="I17" i="10" s="1"/>
  <c r="K17" i="16" s="1"/>
  <c r="I16" i="10" a="1"/>
  <c r="I16" i="10" s="1"/>
  <c r="K16" i="16" s="1"/>
  <c r="I9" i="10" a="1"/>
  <c r="I9" i="10" s="1"/>
  <c r="K9" i="16" s="1"/>
  <c r="I6" i="10" a="1"/>
  <c r="I6" i="10" s="1"/>
  <c r="K6" i="16" s="1"/>
  <c r="I4" i="10" a="1"/>
  <c r="I4" i="10" s="1"/>
  <c r="K4" i="16" s="1"/>
  <c r="I69" i="10" a="1"/>
  <c r="I69" i="10" s="1"/>
  <c r="K69" i="16" s="1"/>
  <c r="I64" i="10" a="1"/>
  <c r="I64" i="10" s="1"/>
  <c r="K64" i="16" s="1"/>
  <c r="I63" i="10" a="1"/>
  <c r="I63" i="10" s="1"/>
  <c r="K63" i="16" s="1"/>
  <c r="I53" i="10" a="1"/>
  <c r="I53" i="10" s="1"/>
  <c r="K53" i="16" s="1"/>
  <c r="I47" i="10" a="1"/>
  <c r="I47" i="10" s="1"/>
  <c r="K47" i="16" s="1"/>
  <c r="I45" i="10" a="1"/>
  <c r="I45" i="10" s="1"/>
  <c r="K45" i="16" s="1"/>
  <c r="I38" i="10" a="1"/>
  <c r="I38" i="10" s="1"/>
  <c r="K38" i="16" s="1"/>
  <c r="I34" i="10" a="1"/>
  <c r="I34" i="10" s="1"/>
  <c r="K34" i="16" s="1"/>
  <c r="I22" i="10" a="1"/>
  <c r="I22" i="10" s="1"/>
  <c r="K22" i="16" s="1"/>
  <c r="I14" i="10" a="1"/>
  <c r="I14" i="10" s="1"/>
  <c r="K14" i="16" s="1"/>
  <c r="I50" i="10" a="1"/>
  <c r="I50" i="10" s="1"/>
  <c r="K50" i="16" s="1"/>
  <c r="I28" i="10" a="1"/>
  <c r="I28" i="10" s="1"/>
  <c r="K28" i="16" s="1"/>
  <c r="I12" i="10" a="1"/>
  <c r="I12" i="10" s="1"/>
  <c r="K12" i="16" s="1"/>
  <c r="I7" i="10" a="1"/>
  <c r="I7" i="10" s="1"/>
  <c r="K7" i="16" s="1"/>
  <c r="I2" i="10" a="1"/>
  <c r="I2" i="10" s="1"/>
  <c r="I68" i="10" a="1"/>
  <c r="I68" i="10" s="1"/>
  <c r="K68" i="16" s="1"/>
  <c r="I65" i="10" a="1"/>
  <c r="I65" i="10" s="1"/>
  <c r="K65" i="16" s="1"/>
  <c r="I57" i="10" a="1"/>
  <c r="I57" i="10" s="1"/>
  <c r="K57" i="16" s="1"/>
  <c r="I49" i="10" a="1"/>
  <c r="I49" i="10" s="1"/>
  <c r="K49" i="16" s="1"/>
  <c r="I37" i="10" a="1"/>
  <c r="I37" i="10" s="1"/>
  <c r="K37" i="16" s="1"/>
  <c r="I33" i="10" a="1"/>
  <c r="I33" i="10" s="1"/>
  <c r="K33" i="16" s="1"/>
  <c r="I31" i="10" a="1"/>
  <c r="I31" i="10" s="1"/>
  <c r="K31" i="16" s="1"/>
  <c r="I20" i="10" a="1"/>
  <c r="I20" i="10" s="1"/>
  <c r="K20" i="16" s="1"/>
  <c r="I10" i="10" a="1"/>
  <c r="I10" i="10" s="1"/>
  <c r="K10" i="16" s="1"/>
  <c r="I40" i="10" a="1"/>
  <c r="I40" i="10" s="1"/>
  <c r="K40" i="16" s="1"/>
  <c r="I25" i="10" a="1"/>
  <c r="I25" i="10" s="1"/>
  <c r="K25" i="16" s="1"/>
  <c r="I23" i="10" a="1"/>
  <c r="I23" i="10" s="1"/>
  <c r="K23" i="16" s="1"/>
  <c r="I18" i="10" a="1"/>
  <c r="I18" i="10" s="1"/>
  <c r="K18" i="16" s="1"/>
  <c r="I8" i="10" a="1"/>
  <c r="I8" i="10" s="1"/>
  <c r="K8" i="16" s="1"/>
  <c r="I5" i="10" a="1"/>
  <c r="I5" i="10" s="1"/>
  <c r="K5" i="16" s="1"/>
  <c r="I48" i="10" a="1"/>
  <c r="I48" i="10" s="1"/>
  <c r="K48" i="16" s="1"/>
  <c r="I71" i="10" a="1"/>
  <c r="I71" i="10" s="1"/>
  <c r="K71" i="16" s="1"/>
  <c r="I67" i="10" a="1"/>
  <c r="I67" i="10" s="1"/>
  <c r="K67" i="16" s="1"/>
  <c r="I52" i="10" a="1"/>
  <c r="I52" i="10" s="1"/>
  <c r="K52" i="16" s="1"/>
  <c r="I44" i="10" a="1"/>
  <c r="I44" i="10" s="1"/>
  <c r="K44" i="16" s="1"/>
  <c r="I42" i="10" a="1"/>
  <c r="I42" i="10" s="1"/>
  <c r="K42" i="16" s="1"/>
  <c r="I36" i="10" a="1"/>
  <c r="I36" i="10" s="1"/>
  <c r="K36" i="16" s="1"/>
  <c r="I32" i="10" a="1"/>
  <c r="I32" i="10" s="1"/>
  <c r="K32" i="16" s="1"/>
  <c r="I29" i="10" a="1"/>
  <c r="I29" i="10" s="1"/>
  <c r="K29" i="16" s="1"/>
  <c r="I13" i="10" a="1"/>
  <c r="I13" i="10" s="1"/>
  <c r="K13" i="16" s="1"/>
  <c r="I16" i="7" l="1" a="1"/>
  <c r="I16" i="7" s="1"/>
  <c r="H16" i="7" a="1"/>
  <c r="H16" i="7" s="1"/>
  <c r="F16" i="7" a="1"/>
  <c r="F16" i="7" s="1"/>
  <c r="G16" i="7" a="1"/>
  <c r="G16" i="7" s="1"/>
  <c r="D16" i="7" a="1"/>
  <c r="D16" i="7" s="1"/>
  <c r="C16" i="7" a="1"/>
  <c r="C16" i="7" s="1"/>
  <c r="J16" i="7" a="1"/>
  <c r="J16" i="7" s="1"/>
  <c r="E16" i="7" a="1"/>
  <c r="E16" i="7" s="1"/>
  <c r="AA2" i="16"/>
  <c r="W16" i="7" a="1"/>
  <c r="W16" i="7" s="1"/>
  <c r="Z2" i="16"/>
  <c r="V16" i="7" a="1"/>
  <c r="V16" i="7" s="1"/>
  <c r="Y2" i="16"/>
  <c r="U16" i="7" a="1"/>
  <c r="U16" i="7" s="1"/>
  <c r="X2" i="16"/>
  <c r="T16" i="7" a="1"/>
  <c r="T16" i="7" s="1"/>
  <c r="AC2" i="16"/>
  <c r="Y16" i="7" a="1"/>
  <c r="Y16" i="7" s="1"/>
  <c r="W2" i="16"/>
  <c r="S16" i="7" a="1"/>
  <c r="S16" i="7" s="1"/>
  <c r="V2" i="16"/>
  <c r="R16" i="7" a="1"/>
  <c r="R16" i="7" s="1"/>
  <c r="AB2" i="16"/>
  <c r="X16" i="7" a="1"/>
  <c r="X16" i="7" s="1"/>
  <c r="U2" i="16"/>
  <c r="Q16" i="7" a="1"/>
  <c r="Q16" i="7" s="1"/>
  <c r="T2" i="16"/>
  <c r="P16" i="7" a="1"/>
  <c r="P16" i="7" s="1"/>
  <c r="S2" i="16"/>
  <c r="O16" i="7" a="1"/>
  <c r="O16" i="7" s="1"/>
  <c r="R2" i="16"/>
  <c r="N16" i="7" a="1"/>
  <c r="N16" i="7" s="1"/>
  <c r="Q2" i="16"/>
  <c r="M16" i="7" a="1"/>
  <c r="M16" i="7" s="1"/>
  <c r="P2" i="16"/>
  <c r="L16" i="7" a="1"/>
  <c r="L16" i="7" s="1"/>
  <c r="O2" i="16"/>
  <c r="K16" i="7" a="1"/>
  <c r="K16" i="7" s="1"/>
  <c r="N31" i="27"/>
  <c r="O31" i="27"/>
  <c r="M31" i="27"/>
  <c r="P31" i="27"/>
  <c r="L31" i="27"/>
  <c r="H2" i="16"/>
  <c r="G2" i="16"/>
  <c r="F2" i="16"/>
  <c r="E2" i="16"/>
  <c r="A16" i="7" a="1"/>
  <c r="N2" i="16"/>
  <c r="M2" i="16"/>
  <c r="L2" i="16"/>
  <c r="I2" i="16"/>
  <c r="K2" i="16"/>
  <c r="D48" i="16"/>
  <c r="AH48" i="16"/>
  <c r="Z74" i="20"/>
  <c r="R74" i="20"/>
  <c r="Q74" i="20"/>
  <c r="P74" i="20"/>
  <c r="O74" i="20"/>
  <c r="N74" i="20"/>
  <c r="M74" i="20"/>
  <c r="L74" i="20"/>
  <c r="K74" i="20"/>
  <c r="I74" i="20"/>
  <c r="X74" i="20"/>
  <c r="U74" i="20"/>
  <c r="J74" i="20"/>
  <c r="Y74" i="20"/>
  <c r="W74" i="20"/>
  <c r="V74" i="20"/>
  <c r="T74" i="20"/>
  <c r="S74" i="20"/>
  <c r="H74" i="20"/>
  <c r="D49" i="16"/>
  <c r="AH49" i="16"/>
  <c r="Z75" i="20"/>
  <c r="X75" i="20"/>
  <c r="T75" i="20"/>
  <c r="S75" i="20"/>
  <c r="Q75" i="20"/>
  <c r="N75" i="20"/>
  <c r="K75" i="20"/>
  <c r="I75" i="20"/>
  <c r="V75" i="20"/>
  <c r="P75" i="20"/>
  <c r="L75" i="20"/>
  <c r="Y75" i="20"/>
  <c r="W75" i="20"/>
  <c r="U75" i="20"/>
  <c r="R75" i="20"/>
  <c r="O75" i="20"/>
  <c r="M75" i="20"/>
  <c r="J75" i="20"/>
  <c r="H75" i="20"/>
  <c r="D50" i="16"/>
  <c r="AH50" i="16"/>
  <c r="Y76" i="20"/>
  <c r="W76" i="20"/>
  <c r="U76" i="20"/>
  <c r="S76" i="20"/>
  <c r="Q76" i="20"/>
  <c r="O76" i="20"/>
  <c r="M76" i="20"/>
  <c r="K76" i="20"/>
  <c r="I76" i="20"/>
  <c r="X76" i="20"/>
  <c r="T76" i="20"/>
  <c r="P76" i="20"/>
  <c r="J76" i="20"/>
  <c r="Z76" i="20"/>
  <c r="V76" i="20"/>
  <c r="R76" i="20"/>
  <c r="N76" i="20"/>
  <c r="L76" i="20"/>
  <c r="H76" i="20"/>
  <c r="AH51" i="16"/>
  <c r="D51" i="16"/>
  <c r="X77" i="20"/>
  <c r="V77" i="20"/>
  <c r="T77" i="20"/>
  <c r="R77" i="20"/>
  <c r="Q77" i="20"/>
  <c r="O77" i="20"/>
  <c r="M77" i="20"/>
  <c r="K77" i="20"/>
  <c r="J77" i="20"/>
  <c r="H77" i="20"/>
  <c r="Z77" i="20"/>
  <c r="U77" i="20"/>
  <c r="N77" i="20"/>
  <c r="Y77" i="20"/>
  <c r="W77" i="20"/>
  <c r="S77" i="20"/>
  <c r="P77" i="20"/>
  <c r="L77" i="20"/>
  <c r="I77" i="20"/>
  <c r="D52" i="16"/>
  <c r="AH52" i="16"/>
  <c r="Y78" i="20"/>
  <c r="W78" i="20"/>
  <c r="U78" i="20"/>
  <c r="R78" i="20"/>
  <c r="P78" i="20"/>
  <c r="N78" i="20"/>
  <c r="L78" i="20"/>
  <c r="J78" i="20"/>
  <c r="H78" i="20"/>
  <c r="X78" i="20"/>
  <c r="T78" i="20"/>
  <c r="O78" i="20"/>
  <c r="Z78" i="20"/>
  <c r="V78" i="20"/>
  <c r="S78" i="20"/>
  <c r="Q78" i="20"/>
  <c r="M78" i="20"/>
  <c r="K78" i="20"/>
  <c r="I78" i="20"/>
  <c r="D53" i="16"/>
  <c r="AH53" i="16"/>
  <c r="X79" i="20"/>
  <c r="U79" i="20"/>
  <c r="S79" i="20"/>
  <c r="P79" i="20"/>
  <c r="L79" i="20"/>
  <c r="K79" i="20"/>
  <c r="H79" i="20"/>
  <c r="Y79" i="20"/>
  <c r="V79" i="20"/>
  <c r="Q79" i="20"/>
  <c r="N79" i="20"/>
  <c r="I79" i="20"/>
  <c r="Z79" i="20"/>
  <c r="W79" i="20"/>
  <c r="T79" i="20"/>
  <c r="R79" i="20"/>
  <c r="O79" i="20"/>
  <c r="M79" i="20"/>
  <c r="J79" i="20"/>
  <c r="AH54" i="16"/>
  <c r="D54" i="16"/>
  <c r="Y80" i="20"/>
  <c r="W80" i="20"/>
  <c r="U80" i="20"/>
  <c r="T80" i="20"/>
  <c r="R80" i="20"/>
  <c r="P80" i="20"/>
  <c r="N80" i="20"/>
  <c r="L80" i="20"/>
  <c r="J80" i="20"/>
  <c r="H80" i="20"/>
  <c r="X80" i="20"/>
  <c r="Q80" i="20"/>
  <c r="M80" i="20"/>
  <c r="Z80" i="20"/>
  <c r="V80" i="20"/>
  <c r="S80" i="20"/>
  <c r="O80" i="20"/>
  <c r="K80" i="20"/>
  <c r="I80" i="20"/>
  <c r="AH55" i="16"/>
  <c r="D55" i="16"/>
  <c r="Y81" i="20"/>
  <c r="W81" i="20"/>
  <c r="U81" i="20"/>
  <c r="S81" i="20"/>
  <c r="Q81" i="20"/>
  <c r="O81" i="20"/>
  <c r="M81" i="20"/>
  <c r="K81" i="20"/>
  <c r="H81" i="20"/>
  <c r="T81" i="20"/>
  <c r="P81" i="20"/>
  <c r="J81" i="20"/>
  <c r="Z81" i="20"/>
  <c r="X81" i="20"/>
  <c r="V81" i="20"/>
  <c r="R81" i="20"/>
  <c r="N81" i="20"/>
  <c r="L81" i="20"/>
  <c r="I81" i="20"/>
  <c r="AH56" i="16"/>
  <c r="D56" i="16"/>
  <c r="X82" i="20"/>
  <c r="U82" i="20"/>
  <c r="S82" i="20"/>
  <c r="R82" i="20"/>
  <c r="P82" i="20"/>
  <c r="O82" i="20"/>
  <c r="L82" i="20"/>
  <c r="J82" i="20"/>
  <c r="H82" i="20"/>
  <c r="Y82" i="20"/>
  <c r="V82" i="20"/>
  <c r="M82" i="20"/>
  <c r="I82" i="20"/>
  <c r="Z82" i="20"/>
  <c r="W82" i="20"/>
  <c r="T82" i="20"/>
  <c r="Q82" i="20"/>
  <c r="N82" i="20"/>
  <c r="K82" i="20"/>
  <c r="Z83" i="20"/>
  <c r="V83" i="20"/>
  <c r="T83" i="20"/>
  <c r="S83" i="20"/>
  <c r="P83" i="20"/>
  <c r="N83" i="20"/>
  <c r="L83" i="20"/>
  <c r="K83" i="20"/>
  <c r="H83" i="20"/>
  <c r="X83" i="20"/>
  <c r="Q83" i="20"/>
  <c r="M83" i="20"/>
  <c r="I83" i="20"/>
  <c r="Y83" i="20"/>
  <c r="W83" i="20"/>
  <c r="U83" i="20"/>
  <c r="R83" i="20"/>
  <c r="O83" i="20"/>
  <c r="J83" i="20"/>
  <c r="D57" i="16"/>
  <c r="AH57" i="16"/>
  <c r="Z84" i="20"/>
  <c r="X84" i="20"/>
  <c r="W84" i="20"/>
  <c r="U84" i="20"/>
  <c r="T84" i="20"/>
  <c r="S84" i="20"/>
  <c r="M84" i="20"/>
  <c r="L84" i="20"/>
  <c r="J84" i="20"/>
  <c r="I84" i="20"/>
  <c r="Y84" i="20"/>
  <c r="V84" i="20"/>
  <c r="R84" i="20"/>
  <c r="Q84" i="20"/>
  <c r="P84" i="20"/>
  <c r="O84" i="20"/>
  <c r="N84" i="20"/>
  <c r="K84" i="20"/>
  <c r="H84" i="20"/>
  <c r="D58" i="16"/>
  <c r="AH58" i="16"/>
  <c r="Y85" i="20"/>
  <c r="W85" i="20"/>
  <c r="T85" i="20"/>
  <c r="R85" i="20"/>
  <c r="P85" i="20"/>
  <c r="O85" i="20"/>
  <c r="L85" i="20"/>
  <c r="J85" i="20"/>
  <c r="H85" i="20"/>
  <c r="V85" i="20"/>
  <c r="M85" i="20"/>
  <c r="K85" i="20"/>
  <c r="I85" i="20"/>
  <c r="Z85" i="20"/>
  <c r="X85" i="20"/>
  <c r="U85" i="20"/>
  <c r="S85" i="20"/>
  <c r="Q85" i="20"/>
  <c r="N85" i="20"/>
  <c r="D59" i="16"/>
  <c r="AH59" i="16"/>
  <c r="Y86" i="20"/>
  <c r="W86" i="20"/>
  <c r="U86" i="20"/>
  <c r="R86" i="20"/>
  <c r="P86" i="20"/>
  <c r="N86" i="20"/>
  <c r="M86" i="20"/>
  <c r="J86" i="20"/>
  <c r="H86" i="20"/>
  <c r="X86" i="20"/>
  <c r="S86" i="20"/>
  <c r="K86" i="20"/>
  <c r="Z86" i="20"/>
  <c r="V86" i="20"/>
  <c r="T86" i="20"/>
  <c r="Q86" i="20"/>
  <c r="O86" i="20"/>
  <c r="L86" i="20"/>
  <c r="I86" i="20"/>
  <c r="D60" i="16"/>
  <c r="AH60" i="16"/>
  <c r="D61" i="16"/>
  <c r="AH61" i="16"/>
  <c r="Z87" i="20"/>
  <c r="W87" i="20"/>
  <c r="T87" i="20"/>
  <c r="R87" i="20"/>
  <c r="O87" i="20"/>
  <c r="M87" i="20"/>
  <c r="K87" i="20"/>
  <c r="H87" i="20"/>
  <c r="X87" i="20"/>
  <c r="U87" i="20"/>
  <c r="P87" i="20"/>
  <c r="I87" i="20"/>
  <c r="Y87" i="20"/>
  <c r="V87" i="20"/>
  <c r="S87" i="20"/>
  <c r="Q87" i="20"/>
  <c r="N87" i="20"/>
  <c r="L87" i="20"/>
  <c r="J87" i="20"/>
  <c r="Z88" i="20"/>
  <c r="X88" i="20"/>
  <c r="V88" i="20"/>
  <c r="S88" i="20"/>
  <c r="Q88" i="20"/>
  <c r="N88" i="20"/>
  <c r="M88" i="20"/>
  <c r="K88" i="20"/>
  <c r="I88" i="20"/>
  <c r="Y88" i="20"/>
  <c r="T88" i="20"/>
  <c r="P88" i="20"/>
  <c r="J88" i="20"/>
  <c r="W88" i="20"/>
  <c r="U88" i="20"/>
  <c r="R88" i="20"/>
  <c r="O88" i="20"/>
  <c r="L88" i="20"/>
  <c r="H88" i="20"/>
  <c r="D62" i="16"/>
  <c r="AH62" i="16"/>
  <c r="D63" i="16"/>
  <c r="AH63" i="16"/>
  <c r="Z89" i="20"/>
  <c r="X89" i="20"/>
  <c r="V89" i="20"/>
  <c r="T89" i="20"/>
  <c r="R89" i="20"/>
  <c r="P89" i="20"/>
  <c r="O89" i="20"/>
  <c r="M89" i="20"/>
  <c r="K89" i="20"/>
  <c r="I89" i="20"/>
  <c r="S89" i="20"/>
  <c r="J89" i="20"/>
  <c r="Y89" i="20"/>
  <c r="W89" i="20"/>
  <c r="U89" i="20"/>
  <c r="Q89" i="20"/>
  <c r="N89" i="20"/>
  <c r="L89" i="20"/>
  <c r="H89" i="20"/>
  <c r="Z90" i="20"/>
  <c r="X90" i="20"/>
  <c r="U90" i="20"/>
  <c r="S90" i="20"/>
  <c r="Q90" i="20"/>
  <c r="O90" i="20"/>
  <c r="N90" i="20"/>
  <c r="K90" i="20"/>
  <c r="J90" i="20"/>
  <c r="V90" i="20"/>
  <c r="R90" i="20"/>
  <c r="L90" i="20"/>
  <c r="H90" i="20"/>
  <c r="Y90" i="20"/>
  <c r="W90" i="20"/>
  <c r="T90" i="20"/>
  <c r="P90" i="20"/>
  <c r="M90" i="20"/>
  <c r="I90" i="20"/>
  <c r="AH64" i="16"/>
  <c r="D64" i="16"/>
  <c r="D65" i="16"/>
  <c r="AH65" i="16"/>
  <c r="Z91" i="20"/>
  <c r="X91" i="20"/>
  <c r="V91" i="20"/>
  <c r="S91" i="20"/>
  <c r="Q91" i="20"/>
  <c r="N91" i="20"/>
  <c r="L91" i="20"/>
  <c r="I91" i="20"/>
  <c r="Y91" i="20"/>
  <c r="T91" i="20"/>
  <c r="O91" i="20"/>
  <c r="J91" i="20"/>
  <c r="W91" i="20"/>
  <c r="U91" i="20"/>
  <c r="R91" i="20"/>
  <c r="P91" i="20"/>
  <c r="M91" i="20"/>
  <c r="K91" i="20"/>
  <c r="H91" i="20"/>
  <c r="D66" i="16"/>
  <c r="AH66" i="16"/>
  <c r="Z92" i="20"/>
  <c r="W92" i="20"/>
  <c r="U92" i="20"/>
  <c r="T92" i="20"/>
  <c r="R92" i="20"/>
  <c r="O92" i="20"/>
  <c r="M92" i="20"/>
  <c r="K92" i="20"/>
  <c r="I92" i="20"/>
  <c r="Y92" i="20"/>
  <c r="Q92" i="20"/>
  <c r="L92" i="20"/>
  <c r="X92" i="20"/>
  <c r="V92" i="20"/>
  <c r="S92" i="20"/>
  <c r="P92" i="20"/>
  <c r="N92" i="20"/>
  <c r="J92" i="20"/>
  <c r="H92" i="20"/>
  <c r="AH67" i="16"/>
  <c r="D67" i="16"/>
  <c r="Y93" i="20"/>
  <c r="W93" i="20"/>
  <c r="U93" i="20"/>
  <c r="T93" i="20"/>
  <c r="R93" i="20"/>
  <c r="P93" i="20"/>
  <c r="N93" i="20"/>
  <c r="L93" i="20"/>
  <c r="K93" i="20"/>
  <c r="H93" i="20"/>
  <c r="Z93" i="20"/>
  <c r="Q93" i="20"/>
  <c r="J93" i="20"/>
  <c r="X93" i="20"/>
  <c r="V93" i="20"/>
  <c r="S93" i="20"/>
  <c r="O93" i="20"/>
  <c r="M93" i="20"/>
  <c r="I93" i="20"/>
  <c r="Z94" i="20"/>
  <c r="Y94" i="20"/>
  <c r="W94" i="20"/>
  <c r="U94" i="20"/>
  <c r="Q94" i="20"/>
  <c r="P94" i="20"/>
  <c r="M94" i="20"/>
  <c r="K94" i="20"/>
  <c r="I94" i="20"/>
  <c r="X94" i="20"/>
  <c r="S94" i="20"/>
  <c r="N94" i="20"/>
  <c r="J94" i="20"/>
  <c r="V94" i="20"/>
  <c r="T94" i="20"/>
  <c r="R94" i="20"/>
  <c r="O94" i="20"/>
  <c r="L94" i="20"/>
  <c r="H94" i="20"/>
  <c r="D68" i="16"/>
  <c r="AH68" i="16"/>
  <c r="Z95" i="20"/>
  <c r="X95" i="20"/>
  <c r="V95" i="20"/>
  <c r="T95" i="20"/>
  <c r="S95" i="20"/>
  <c r="R95" i="20"/>
  <c r="P95" i="20"/>
  <c r="N95" i="20"/>
  <c r="L95" i="20"/>
  <c r="J95" i="20"/>
  <c r="O95" i="20"/>
  <c r="I95" i="20"/>
  <c r="Y95" i="20"/>
  <c r="W95" i="20"/>
  <c r="U95" i="20"/>
  <c r="Q95" i="20"/>
  <c r="M95" i="20"/>
  <c r="K95" i="20"/>
  <c r="H95" i="20"/>
  <c r="D69" i="16"/>
  <c r="AH69" i="16"/>
  <c r="Y96" i="20"/>
  <c r="W96" i="20"/>
  <c r="V96" i="20"/>
  <c r="R96" i="20"/>
  <c r="P96" i="20"/>
  <c r="N96" i="20"/>
  <c r="K96" i="20"/>
  <c r="I96" i="20"/>
  <c r="T96" i="20"/>
  <c r="O96" i="20"/>
  <c r="H96" i="20"/>
  <c r="Z96" i="20"/>
  <c r="X96" i="20"/>
  <c r="U96" i="20"/>
  <c r="S96" i="20"/>
  <c r="Q96" i="20"/>
  <c r="M96" i="20"/>
  <c r="L96" i="20"/>
  <c r="J96" i="20"/>
  <c r="D70" i="16"/>
  <c r="AH70" i="16"/>
  <c r="O63" i="7"/>
  <c r="O85" i="7" s="1"/>
  <c r="O79" i="7"/>
  <c r="N63" i="7"/>
  <c r="N85" i="7" s="1"/>
  <c r="N79" i="7"/>
  <c r="M63" i="7"/>
  <c r="M85" i="7" s="1"/>
  <c r="M79" i="7"/>
  <c r="L63" i="7"/>
  <c r="L85" i="7" s="1"/>
  <c r="L79" i="7"/>
  <c r="K63" i="7"/>
  <c r="K85" i="7" s="1"/>
  <c r="K79" i="7"/>
  <c r="K80" i="7" s="1"/>
  <c r="J63" i="7"/>
  <c r="J85" i="7" s="1"/>
  <c r="J79" i="7"/>
  <c r="I63" i="7"/>
  <c r="I85" i="7" s="1"/>
  <c r="I79" i="7"/>
  <c r="H63" i="7"/>
  <c r="H85" i="7" s="1"/>
  <c r="H79" i="7"/>
  <c r="G63" i="7"/>
  <c r="G85" i="7" s="1"/>
  <c r="G79" i="7"/>
  <c r="F63" i="7"/>
  <c r="F85" i="7" s="1"/>
  <c r="F79" i="7"/>
  <c r="H31" i="27"/>
  <c r="G31" i="27"/>
  <c r="I31" i="27"/>
  <c r="J31" i="27"/>
  <c r="K31" i="27"/>
  <c r="Y66" i="7"/>
  <c r="Y79" i="7" s="1"/>
  <c r="Y46" i="7"/>
  <c r="Y48" i="7"/>
  <c r="Q66" i="7"/>
  <c r="Q46" i="7"/>
  <c r="Q48" i="7"/>
  <c r="R66" i="7"/>
  <c r="R46" i="7"/>
  <c r="R48" i="7"/>
  <c r="S66" i="7"/>
  <c r="S46" i="7"/>
  <c r="S48" i="7"/>
  <c r="T66" i="7"/>
  <c r="T46" i="7"/>
  <c r="T48" i="7"/>
  <c r="U66" i="7"/>
  <c r="U46" i="7"/>
  <c r="U48" i="7"/>
  <c r="V66" i="7"/>
  <c r="V46" i="7"/>
  <c r="V48" i="7"/>
  <c r="W66" i="7"/>
  <c r="W46" i="7"/>
  <c r="W48" i="7"/>
  <c r="X66" i="7"/>
  <c r="X48" i="7"/>
  <c r="X46" i="7"/>
  <c r="P66" i="7"/>
  <c r="P48" i="7"/>
  <c r="P46" i="7"/>
  <c r="AH16" i="28"/>
  <c r="AF48" i="28" s="1"/>
  <c r="AH23" i="28"/>
  <c r="AF55" i="28" s="1"/>
  <c r="AH20" i="28"/>
  <c r="AF52" i="28" s="1"/>
  <c r="AH19" i="28"/>
  <c r="AF51" i="28" s="1"/>
  <c r="AH9" i="28"/>
  <c r="AF41" i="28" s="1"/>
  <c r="AH21" i="28"/>
  <c r="AF53" i="28" s="1"/>
  <c r="AH12" i="28"/>
  <c r="AF44" i="28" s="1"/>
  <c r="AH22" i="28"/>
  <c r="AF54" i="28" s="1"/>
  <c r="AH18" i="28"/>
  <c r="AF50" i="28" s="1"/>
  <c r="AH7" i="28"/>
  <c r="AF39" i="28" s="1"/>
  <c r="AH11" i="28"/>
  <c r="AF43" i="28" s="1"/>
  <c r="AH17" i="28"/>
  <c r="AF49" i="28" s="1"/>
  <c r="AF35" i="28"/>
  <c r="AH13" i="28"/>
  <c r="AF45" i="28" s="1"/>
  <c r="AH15" i="28"/>
  <c r="AF47" i="28" s="1"/>
  <c r="AH10" i="28"/>
  <c r="AF42" i="28" s="1"/>
  <c r="AH6" i="28"/>
  <c r="AF38" i="28" s="1"/>
  <c r="AH8" i="28"/>
  <c r="AF40" i="28" s="1"/>
  <c r="AH5" i="28"/>
  <c r="AF37" i="28" s="1"/>
  <c r="AH14" i="28"/>
  <c r="AF46" i="28" s="1"/>
  <c r="AG7" i="28"/>
  <c r="AE39" i="28" s="1"/>
  <c r="AG6" i="28"/>
  <c r="AE38" i="28" s="1"/>
  <c r="AG22" i="28"/>
  <c r="AE54" i="28" s="1"/>
  <c r="AG15" i="28"/>
  <c r="AE47" i="28" s="1"/>
  <c r="AG9" i="28"/>
  <c r="AE41" i="28" s="1"/>
  <c r="AG19" i="28"/>
  <c r="AE51" i="28" s="1"/>
  <c r="AG18" i="28"/>
  <c r="AE50" i="28" s="1"/>
  <c r="AG20" i="28"/>
  <c r="AE52" i="28" s="1"/>
  <c r="AG8" i="28"/>
  <c r="AE40" i="28" s="1"/>
  <c r="AG16" i="28"/>
  <c r="AE48" i="28" s="1"/>
  <c r="AG23" i="28"/>
  <c r="AE55" i="28" s="1"/>
  <c r="AG17" i="28"/>
  <c r="AE49" i="28" s="1"/>
  <c r="AG14" i="28"/>
  <c r="AE46" i="28" s="1"/>
  <c r="AG5" i="28"/>
  <c r="AE37" i="28" s="1"/>
  <c r="AG12" i="28"/>
  <c r="AE44" i="28" s="1"/>
  <c r="AE35" i="28"/>
  <c r="AG11" i="28"/>
  <c r="AE43" i="28" s="1"/>
  <c r="AG21" i="28"/>
  <c r="AE53" i="28" s="1"/>
  <c r="AG13" i="28"/>
  <c r="AE45" i="28" s="1"/>
  <c r="AG10" i="28"/>
  <c r="AE42" i="28" s="1"/>
  <c r="AF14" i="28"/>
  <c r="AD46" i="28" s="1"/>
  <c r="AF18" i="28"/>
  <c r="AD50" i="28" s="1"/>
  <c r="AF10" i="28"/>
  <c r="AD42" i="28" s="1"/>
  <c r="AF5" i="28"/>
  <c r="AD37" i="28" s="1"/>
  <c r="AF21" i="28"/>
  <c r="AD53" i="28" s="1"/>
  <c r="AF13" i="28"/>
  <c r="AD45" i="28" s="1"/>
  <c r="AF8" i="28"/>
  <c r="AD40" i="28" s="1"/>
  <c r="AD35" i="28"/>
  <c r="AF20" i="28"/>
  <c r="AD52" i="28" s="1"/>
  <c r="AF9" i="28"/>
  <c r="AD41" i="28" s="1"/>
  <c r="AF11" i="28"/>
  <c r="AD43" i="28" s="1"/>
  <c r="AF6" i="28"/>
  <c r="AD38" i="28" s="1"/>
  <c r="AF7" i="28"/>
  <c r="AD39" i="28" s="1"/>
  <c r="AF15" i="28"/>
  <c r="AD47" i="28" s="1"/>
  <c r="AF17" i="28"/>
  <c r="AD49" i="28" s="1"/>
  <c r="AF23" i="28"/>
  <c r="AD55" i="28" s="1"/>
  <c r="AF16" i="28"/>
  <c r="AD48" i="28" s="1"/>
  <c r="AF12" i="28"/>
  <c r="AD44" i="28" s="1"/>
  <c r="AF22" i="28"/>
  <c r="AD54" i="28" s="1"/>
  <c r="AF19" i="28"/>
  <c r="AD51" i="28" s="1"/>
  <c r="AE18" i="28"/>
  <c r="AC50" i="28" s="1"/>
  <c r="AE23" i="28"/>
  <c r="AC55" i="28" s="1"/>
  <c r="AE22" i="28"/>
  <c r="AC54" i="28" s="1"/>
  <c r="AE8" i="28"/>
  <c r="AC40" i="28" s="1"/>
  <c r="AE20" i="28"/>
  <c r="AC52" i="28" s="1"/>
  <c r="AE5" i="28"/>
  <c r="AC37" i="28" s="1"/>
  <c r="AE7" i="28"/>
  <c r="AC39" i="28" s="1"/>
  <c r="AE9" i="28"/>
  <c r="AC41" i="28" s="1"/>
  <c r="AE16" i="28"/>
  <c r="AC48" i="28" s="1"/>
  <c r="AC35" i="28"/>
  <c r="AE11" i="28"/>
  <c r="AC43" i="28" s="1"/>
  <c r="AE17" i="28"/>
  <c r="AC49" i="28" s="1"/>
  <c r="AE12" i="28"/>
  <c r="AC44" i="28" s="1"/>
  <c r="AE15" i="28"/>
  <c r="AC47" i="28" s="1"/>
  <c r="AE21" i="28"/>
  <c r="AC53" i="28" s="1"/>
  <c r="AE13" i="28"/>
  <c r="AC45" i="28" s="1"/>
  <c r="AE10" i="28"/>
  <c r="AC42" i="28" s="1"/>
  <c r="AE14" i="28"/>
  <c r="AC46" i="28" s="1"/>
  <c r="AE6" i="28"/>
  <c r="AC38" i="28" s="1"/>
  <c r="AE19" i="28"/>
  <c r="AC51" i="28" s="1"/>
  <c r="AD12" i="28"/>
  <c r="AB44" i="28" s="1"/>
  <c r="AD10" i="28"/>
  <c r="AB42" i="28" s="1"/>
  <c r="AD19" i="28"/>
  <c r="AB51" i="28" s="1"/>
  <c r="AD8" i="28"/>
  <c r="AB40" i="28" s="1"/>
  <c r="AD7" i="28"/>
  <c r="AB39" i="28" s="1"/>
  <c r="AD21" i="28"/>
  <c r="AB53" i="28" s="1"/>
  <c r="AD9" i="28"/>
  <c r="AB41" i="28" s="1"/>
  <c r="AD11" i="28"/>
  <c r="AB43" i="28" s="1"/>
  <c r="AD15" i="28"/>
  <c r="AB47" i="28" s="1"/>
  <c r="AD5" i="28"/>
  <c r="AB37" i="28" s="1"/>
  <c r="AD13" i="28"/>
  <c r="AB45" i="28" s="1"/>
  <c r="AD17" i="28"/>
  <c r="AB49" i="28" s="1"/>
  <c r="AD18" i="28"/>
  <c r="AB50" i="28" s="1"/>
  <c r="AD23" i="28"/>
  <c r="AB55" i="28" s="1"/>
  <c r="AD16" i="28"/>
  <c r="AB48" i="28" s="1"/>
  <c r="AD20" i="28"/>
  <c r="AB52" i="28" s="1"/>
  <c r="AD14" i="28"/>
  <c r="AB46" i="28" s="1"/>
  <c r="AD6" i="28"/>
  <c r="AB38" i="28" s="1"/>
  <c r="AD22" i="28"/>
  <c r="AB54" i="28" s="1"/>
  <c r="AB35" i="28"/>
  <c r="AC10" i="28"/>
  <c r="AA42" i="28" s="1"/>
  <c r="AC21" i="28"/>
  <c r="AA53" i="28" s="1"/>
  <c r="AC7" i="28"/>
  <c r="AA39" i="28" s="1"/>
  <c r="AC6" i="28"/>
  <c r="AA38" i="28" s="1"/>
  <c r="AC20" i="28"/>
  <c r="AA52" i="28" s="1"/>
  <c r="AC14" i="28"/>
  <c r="AA46" i="28" s="1"/>
  <c r="AC12" i="28"/>
  <c r="AA44" i="28" s="1"/>
  <c r="AC13" i="28"/>
  <c r="AA45" i="28" s="1"/>
  <c r="AC22" i="28"/>
  <c r="AA54" i="28" s="1"/>
  <c r="AC17" i="28"/>
  <c r="AA49" i="28" s="1"/>
  <c r="AC8" i="28"/>
  <c r="AA40" i="28" s="1"/>
  <c r="AC16" i="28"/>
  <c r="AA48" i="28" s="1"/>
  <c r="AC5" i="28"/>
  <c r="AA37" i="28" s="1"/>
  <c r="AC18" i="28"/>
  <c r="AA50" i="28" s="1"/>
  <c r="AC11" i="28"/>
  <c r="AA43" i="28" s="1"/>
  <c r="AC9" i="28"/>
  <c r="AA41" i="28" s="1"/>
  <c r="AC19" i="28"/>
  <c r="AA51" i="28" s="1"/>
  <c r="AC23" i="28"/>
  <c r="AA55" i="28" s="1"/>
  <c r="AC15" i="28"/>
  <c r="AA47" i="28" s="1"/>
  <c r="AA35" i="28"/>
  <c r="AB19" i="28"/>
  <c r="Z51" i="28" s="1"/>
  <c r="AB15" i="28"/>
  <c r="Z47" i="28" s="1"/>
  <c r="AB14" i="28"/>
  <c r="Z46" i="28" s="1"/>
  <c r="AB23" i="28"/>
  <c r="Z55" i="28" s="1"/>
  <c r="AB9" i="28"/>
  <c r="Z41" i="28" s="1"/>
  <c r="AB21" i="28"/>
  <c r="Z53" i="28" s="1"/>
  <c r="AB7" i="28"/>
  <c r="Z39" i="28" s="1"/>
  <c r="AB8" i="28"/>
  <c r="Z40" i="28" s="1"/>
  <c r="AB13" i="28"/>
  <c r="Z45" i="28" s="1"/>
  <c r="AB22" i="28"/>
  <c r="Z54" i="28" s="1"/>
  <c r="AB10" i="28"/>
  <c r="Z42" i="28" s="1"/>
  <c r="AB16" i="28"/>
  <c r="Z48" i="28" s="1"/>
  <c r="AB20" i="28"/>
  <c r="Z52" i="28" s="1"/>
  <c r="AB12" i="28"/>
  <c r="Z44" i="28" s="1"/>
  <c r="AB17" i="28"/>
  <c r="Z49" i="28" s="1"/>
  <c r="AB18" i="28"/>
  <c r="Z50" i="28" s="1"/>
  <c r="AB11" i="28"/>
  <c r="Z43" i="28" s="1"/>
  <c r="AB5" i="28"/>
  <c r="Z37" i="28" s="1"/>
  <c r="AB6" i="28"/>
  <c r="Z38" i="28" s="1"/>
  <c r="Z35" i="28"/>
  <c r="AA9" i="28"/>
  <c r="Y41" i="28" s="1"/>
  <c r="AA23" i="28"/>
  <c r="Y55" i="28" s="1"/>
  <c r="AA14" i="28"/>
  <c r="Y46" i="28" s="1"/>
  <c r="AA13" i="28"/>
  <c r="Y45" i="28" s="1"/>
  <c r="AA12" i="28"/>
  <c r="Y44" i="28" s="1"/>
  <c r="AA19" i="28"/>
  <c r="Y51" i="28" s="1"/>
  <c r="AA16" i="28"/>
  <c r="Y48" i="28" s="1"/>
  <c r="AA11" i="28"/>
  <c r="Y43" i="28" s="1"/>
  <c r="AA6" i="28"/>
  <c r="Y38" i="28" s="1"/>
  <c r="AA7" i="28"/>
  <c r="Y39" i="28" s="1"/>
  <c r="AA18" i="28"/>
  <c r="Y50" i="28" s="1"/>
  <c r="AA5" i="28"/>
  <c r="Y37" i="28" s="1"/>
  <c r="AA22" i="28"/>
  <c r="Y54" i="28" s="1"/>
  <c r="AA8" i="28"/>
  <c r="Y40" i="28" s="1"/>
  <c r="AA21" i="28"/>
  <c r="Y53" i="28" s="1"/>
  <c r="AA20" i="28"/>
  <c r="Y52" i="28" s="1"/>
  <c r="AA17" i="28"/>
  <c r="Y49" i="28" s="1"/>
  <c r="AA10" i="28"/>
  <c r="Y42" i="28" s="1"/>
  <c r="AA15" i="28"/>
  <c r="Y47" i="28" s="1"/>
  <c r="Y35" i="28"/>
  <c r="Z21" i="28"/>
  <c r="X53" i="28" s="1"/>
  <c r="Z20" i="28"/>
  <c r="X52" i="28" s="1"/>
  <c r="Z5" i="28"/>
  <c r="X37" i="28" s="1"/>
  <c r="Z7" i="28"/>
  <c r="X39" i="28" s="1"/>
  <c r="Z14" i="28"/>
  <c r="X46" i="28" s="1"/>
  <c r="Z6" i="28"/>
  <c r="X38" i="28" s="1"/>
  <c r="Z18" i="28"/>
  <c r="X50" i="28" s="1"/>
  <c r="Z8" i="28"/>
  <c r="X40" i="28" s="1"/>
  <c r="Z15" i="28"/>
  <c r="X47" i="28" s="1"/>
  <c r="Z16" i="28"/>
  <c r="X48" i="28" s="1"/>
  <c r="Z10" i="28"/>
  <c r="X42" i="28" s="1"/>
  <c r="Z22" i="28"/>
  <c r="X54" i="28" s="1"/>
  <c r="Z23" i="28"/>
  <c r="X55" i="28" s="1"/>
  <c r="Z19" i="28"/>
  <c r="X51" i="28" s="1"/>
  <c r="Z13" i="28"/>
  <c r="X45" i="28" s="1"/>
  <c r="Z11" i="28"/>
  <c r="X43" i="28" s="1"/>
  <c r="Z17" i="28"/>
  <c r="X49" i="28" s="1"/>
  <c r="Z12" i="28"/>
  <c r="X44" i="28" s="1"/>
  <c r="Z9" i="28"/>
  <c r="X41" i="28" s="1"/>
  <c r="X35" i="28"/>
  <c r="Y7" i="28"/>
  <c r="W39" i="28" s="1"/>
  <c r="Y21" i="28"/>
  <c r="W53" i="28" s="1"/>
  <c r="Y11" i="28"/>
  <c r="W43" i="28" s="1"/>
  <c r="Y5" i="28"/>
  <c r="W37" i="28" s="1"/>
  <c r="Y17" i="28"/>
  <c r="W49" i="28" s="1"/>
  <c r="Y15" i="28"/>
  <c r="W47" i="28" s="1"/>
  <c r="Y19" i="28"/>
  <c r="W51" i="28" s="1"/>
  <c r="Y23" i="28"/>
  <c r="W55" i="28" s="1"/>
  <c r="Y14" i="28"/>
  <c r="W46" i="28" s="1"/>
  <c r="Y6" i="28"/>
  <c r="W38" i="28" s="1"/>
  <c r="Y22" i="28"/>
  <c r="W54" i="28" s="1"/>
  <c r="Y13" i="28"/>
  <c r="W45" i="28" s="1"/>
  <c r="Y12" i="28"/>
  <c r="W44" i="28" s="1"/>
  <c r="Y10" i="28"/>
  <c r="W42" i="28" s="1"/>
  <c r="Y9" i="28"/>
  <c r="W41" i="28" s="1"/>
  <c r="Y16" i="28"/>
  <c r="W48" i="28" s="1"/>
  <c r="Y8" i="28"/>
  <c r="W40" i="28" s="1"/>
  <c r="Y20" i="28"/>
  <c r="W52" i="28" s="1"/>
  <c r="Y18" i="28"/>
  <c r="W50" i="28" s="1"/>
  <c r="W35" i="28"/>
  <c r="X18" i="28"/>
  <c r="V50" i="28" s="1"/>
  <c r="X10" i="28"/>
  <c r="V42" i="28" s="1"/>
  <c r="X16" i="28"/>
  <c r="V48" i="28" s="1"/>
  <c r="X9" i="28"/>
  <c r="V41" i="28" s="1"/>
  <c r="X13" i="28"/>
  <c r="V45" i="28" s="1"/>
  <c r="X12" i="28"/>
  <c r="V44" i="28" s="1"/>
  <c r="X11" i="28"/>
  <c r="V43" i="28" s="1"/>
  <c r="X17" i="28"/>
  <c r="V49" i="28" s="1"/>
  <c r="X21" i="28"/>
  <c r="V53" i="28" s="1"/>
  <c r="X14" i="28"/>
  <c r="V46" i="28" s="1"/>
  <c r="X7" i="28"/>
  <c r="V39" i="28" s="1"/>
  <c r="X19" i="28"/>
  <c r="V51" i="28" s="1"/>
  <c r="X6" i="28"/>
  <c r="V38" i="28" s="1"/>
  <c r="X15" i="28"/>
  <c r="V47" i="28" s="1"/>
  <c r="X8" i="28"/>
  <c r="V40" i="28" s="1"/>
  <c r="X23" i="28"/>
  <c r="V55" i="28" s="1"/>
  <c r="X22" i="28"/>
  <c r="V54" i="28" s="1"/>
  <c r="X5" i="28"/>
  <c r="V37" i="28" s="1"/>
  <c r="X20" i="28"/>
  <c r="V52" i="28" s="1"/>
  <c r="V35" i="28"/>
  <c r="W5" i="28"/>
  <c r="U37" i="28" s="1"/>
  <c r="W9" i="28"/>
  <c r="U41" i="28" s="1"/>
  <c r="W12" i="28"/>
  <c r="U44" i="28" s="1"/>
  <c r="W7" i="28"/>
  <c r="U39" i="28" s="1"/>
  <c r="W18" i="28"/>
  <c r="U50" i="28" s="1"/>
  <c r="W8" i="28"/>
  <c r="U40" i="28" s="1"/>
  <c r="W13" i="28"/>
  <c r="U45" i="28" s="1"/>
  <c r="W21" i="28"/>
  <c r="U53" i="28" s="1"/>
  <c r="W17" i="28"/>
  <c r="U49" i="28" s="1"/>
  <c r="W20" i="28"/>
  <c r="U52" i="28" s="1"/>
  <c r="W14" i="28"/>
  <c r="U46" i="28" s="1"/>
  <c r="W16" i="28"/>
  <c r="U48" i="28" s="1"/>
  <c r="W22" i="28"/>
  <c r="U54" i="28" s="1"/>
  <c r="W10" i="28"/>
  <c r="U42" i="28" s="1"/>
  <c r="W6" i="28"/>
  <c r="U38" i="28" s="1"/>
  <c r="W11" i="28"/>
  <c r="U43" i="28" s="1"/>
  <c r="W15" i="28"/>
  <c r="U47" i="28" s="1"/>
  <c r="W23" i="28"/>
  <c r="U55" i="28" s="1"/>
  <c r="W19" i="28"/>
  <c r="U51" i="28" s="1"/>
  <c r="U35" i="28"/>
  <c r="V21" i="28"/>
  <c r="T53" i="28" s="1"/>
  <c r="V14" i="28"/>
  <c r="T46" i="28" s="1"/>
  <c r="V23" i="28"/>
  <c r="T55" i="28" s="1"/>
  <c r="V17" i="28"/>
  <c r="T49" i="28" s="1"/>
  <c r="V11" i="28"/>
  <c r="T43" i="28" s="1"/>
  <c r="V9" i="28"/>
  <c r="T41" i="28" s="1"/>
  <c r="V5" i="28"/>
  <c r="T37" i="28" s="1"/>
  <c r="V16" i="28"/>
  <c r="T48" i="28" s="1"/>
  <c r="V10" i="28"/>
  <c r="T42" i="28" s="1"/>
  <c r="V13" i="28"/>
  <c r="T45" i="28" s="1"/>
  <c r="V12" i="28"/>
  <c r="T44" i="28" s="1"/>
  <c r="V7" i="28"/>
  <c r="T39" i="28" s="1"/>
  <c r="V6" i="28"/>
  <c r="T38" i="28" s="1"/>
  <c r="V20" i="28"/>
  <c r="T52" i="28" s="1"/>
  <c r="V22" i="28"/>
  <c r="T54" i="28" s="1"/>
  <c r="V15" i="28"/>
  <c r="T47" i="28" s="1"/>
  <c r="V8" i="28"/>
  <c r="T40" i="28" s="1"/>
  <c r="V19" i="28"/>
  <c r="T51" i="28" s="1"/>
  <c r="V18" i="28"/>
  <c r="T50" i="28" s="1"/>
  <c r="T35" i="28"/>
  <c r="U18" i="28"/>
  <c r="S50" i="28" s="1"/>
  <c r="U8" i="28"/>
  <c r="S40" i="28" s="1"/>
  <c r="U6" i="28"/>
  <c r="S38" i="28" s="1"/>
  <c r="U22" i="28"/>
  <c r="S54" i="28" s="1"/>
  <c r="U20" i="28"/>
  <c r="S52" i="28" s="1"/>
  <c r="U7" i="28"/>
  <c r="S39" i="28" s="1"/>
  <c r="U14" i="28"/>
  <c r="S46" i="28" s="1"/>
  <c r="U10" i="28"/>
  <c r="S42" i="28" s="1"/>
  <c r="U12" i="28"/>
  <c r="S44" i="28" s="1"/>
  <c r="U9" i="28"/>
  <c r="S41" i="28" s="1"/>
  <c r="U17" i="28"/>
  <c r="S49" i="28" s="1"/>
  <c r="U23" i="28"/>
  <c r="S55" i="28" s="1"/>
  <c r="U15" i="28"/>
  <c r="S47" i="28" s="1"/>
  <c r="U21" i="28"/>
  <c r="S53" i="28" s="1"/>
  <c r="U19" i="28"/>
  <c r="S51" i="28" s="1"/>
  <c r="U5" i="28"/>
  <c r="S37" i="28" s="1"/>
  <c r="U16" i="28"/>
  <c r="S48" i="28" s="1"/>
  <c r="U13" i="28"/>
  <c r="S45" i="28" s="1"/>
  <c r="U11" i="28"/>
  <c r="S43" i="28" s="1"/>
  <c r="S35" i="28"/>
  <c r="T11" i="28"/>
  <c r="R43" i="28" s="1"/>
  <c r="T12" i="28"/>
  <c r="R44" i="28" s="1"/>
  <c r="T16" i="28"/>
  <c r="R48" i="28" s="1"/>
  <c r="T18" i="28"/>
  <c r="R50" i="28" s="1"/>
  <c r="T22" i="28"/>
  <c r="R54" i="28" s="1"/>
  <c r="T19" i="28"/>
  <c r="R51" i="28" s="1"/>
  <c r="T8" i="28"/>
  <c r="R40" i="28" s="1"/>
  <c r="T10" i="28"/>
  <c r="R42" i="28" s="1"/>
  <c r="T13" i="28"/>
  <c r="R45" i="28" s="1"/>
  <c r="T6" i="28"/>
  <c r="R38" i="28" s="1"/>
  <c r="T17" i="28"/>
  <c r="R49" i="28" s="1"/>
  <c r="T5" i="28"/>
  <c r="R37" i="28" s="1"/>
  <c r="T21" i="28"/>
  <c r="R53" i="28" s="1"/>
  <c r="T14" i="28"/>
  <c r="R46" i="28" s="1"/>
  <c r="T23" i="28"/>
  <c r="R55" i="28" s="1"/>
  <c r="T15" i="28"/>
  <c r="R47" i="28" s="1"/>
  <c r="T9" i="28"/>
  <c r="R41" i="28" s="1"/>
  <c r="T7" i="28"/>
  <c r="R39" i="28" s="1"/>
  <c r="T20" i="28"/>
  <c r="R52" i="28" s="1"/>
  <c r="R35" i="28"/>
  <c r="S5" i="28"/>
  <c r="S23" i="28"/>
  <c r="Q55" i="28" s="1"/>
  <c r="S19" i="28"/>
  <c r="Q51" i="28" s="1"/>
  <c r="S6" i="28"/>
  <c r="S11" i="28"/>
  <c r="Q43" i="28" s="1"/>
  <c r="S18" i="28"/>
  <c r="Q50" i="28" s="1"/>
  <c r="S17" i="28"/>
  <c r="Q49" i="28" s="1"/>
  <c r="S15" i="28"/>
  <c r="Q47" i="28" s="1"/>
  <c r="S16" i="28"/>
  <c r="Q48" i="28" s="1"/>
  <c r="S10" i="28"/>
  <c r="Q42" i="28" s="1"/>
  <c r="S20" i="28"/>
  <c r="Q52" i="28" s="1"/>
  <c r="S7" i="28"/>
  <c r="S9" i="28"/>
  <c r="Q41" i="28" s="1"/>
  <c r="S14" i="28"/>
  <c r="Q46" i="28" s="1"/>
  <c r="S21" i="28"/>
  <c r="Q53" i="28" s="1"/>
  <c r="S13" i="28"/>
  <c r="Q45" i="28" s="1"/>
  <c r="S12" i="28"/>
  <c r="Q44" i="28" s="1"/>
  <c r="S8" i="28"/>
  <c r="Q40" i="28" s="1"/>
  <c r="S22" i="28"/>
  <c r="Q54" i="28" s="1"/>
  <c r="Q35" i="28"/>
  <c r="R18" i="28"/>
  <c r="P50" i="28" s="1"/>
  <c r="R21" i="28"/>
  <c r="P53" i="28" s="1"/>
  <c r="R8" i="28"/>
  <c r="P40" i="28" s="1"/>
  <c r="R16" i="28"/>
  <c r="P48" i="28" s="1"/>
  <c r="R19" i="28"/>
  <c r="P51" i="28" s="1"/>
  <c r="R14" i="28"/>
  <c r="P46" i="28" s="1"/>
  <c r="R22" i="28"/>
  <c r="P54" i="28" s="1"/>
  <c r="R15" i="28"/>
  <c r="P47" i="28" s="1"/>
  <c r="R11" i="28"/>
  <c r="P43" i="28" s="1"/>
  <c r="R17" i="28"/>
  <c r="P49" i="28" s="1"/>
  <c r="R10" i="28"/>
  <c r="P42" i="28" s="1"/>
  <c r="P35" i="28"/>
  <c r="P36" i="28" s="1"/>
  <c r="R12" i="28"/>
  <c r="P44" i="28" s="1"/>
  <c r="R5" i="28"/>
  <c r="P37" i="28" s="1"/>
  <c r="R23" i="28"/>
  <c r="P55" i="28" s="1"/>
  <c r="R20" i="28"/>
  <c r="P52" i="28" s="1"/>
  <c r="R6" i="28"/>
  <c r="P38" i="28" s="1"/>
  <c r="R13" i="28"/>
  <c r="P45" i="28" s="1"/>
  <c r="R9" i="28"/>
  <c r="P41" i="28" s="1"/>
  <c r="R7" i="28"/>
  <c r="P39" i="28" s="1"/>
  <c r="P8" i="28"/>
  <c r="N40" i="28" s="1"/>
  <c r="P11" i="28"/>
  <c r="N43" i="28" s="1"/>
  <c r="P22" i="28"/>
  <c r="N54" i="28" s="1"/>
  <c r="P5" i="28"/>
  <c r="P12" i="28"/>
  <c r="N44" i="28" s="1"/>
  <c r="P9" i="28"/>
  <c r="N41" i="28" s="1"/>
  <c r="P20" i="28"/>
  <c r="N52" i="28" s="1"/>
  <c r="P6" i="28"/>
  <c r="N35" i="28"/>
  <c r="P16" i="28"/>
  <c r="N48" i="28" s="1"/>
  <c r="P23" i="28"/>
  <c r="N55" i="28" s="1"/>
  <c r="P10" i="28"/>
  <c r="N42" i="28" s="1"/>
  <c r="P13" i="28"/>
  <c r="N45" i="28" s="1"/>
  <c r="P21" i="28"/>
  <c r="N53" i="28" s="1"/>
  <c r="P7" i="28"/>
  <c r="N39" i="28" s="1"/>
  <c r="P14" i="28"/>
  <c r="N46" i="28" s="1"/>
  <c r="P15" i="28"/>
  <c r="N47" i="28" s="1"/>
  <c r="P17" i="28"/>
  <c r="N49" i="28" s="1"/>
  <c r="P18" i="28"/>
  <c r="N50" i="28" s="1"/>
  <c r="P19" i="28"/>
  <c r="N51" i="28" s="1"/>
  <c r="K39" i="28"/>
  <c r="L38" i="28"/>
  <c r="N7" i="28"/>
  <c r="L39" i="28" s="1"/>
  <c r="L7" i="28"/>
  <c r="J39" i="28" s="1"/>
  <c r="J38" i="28"/>
  <c r="M35" i="28"/>
  <c r="O21" i="28"/>
  <c r="M53" i="28" s="1"/>
  <c r="O9" i="28"/>
  <c r="M41" i="28" s="1"/>
  <c r="O13" i="28"/>
  <c r="M45" i="28" s="1"/>
  <c r="O14" i="28"/>
  <c r="M46" i="28" s="1"/>
  <c r="O17" i="28"/>
  <c r="M49" i="28" s="1"/>
  <c r="O5" i="28"/>
  <c r="M37" i="28" s="1"/>
  <c r="O15" i="28"/>
  <c r="M47" i="28" s="1"/>
  <c r="O16" i="28"/>
  <c r="M48" i="28" s="1"/>
  <c r="O12" i="28"/>
  <c r="M44" i="28" s="1"/>
  <c r="O18" i="28"/>
  <c r="M50" i="28" s="1"/>
  <c r="O19" i="28"/>
  <c r="M51" i="28" s="1"/>
  <c r="O11" i="28"/>
  <c r="M43" i="28" s="1"/>
  <c r="O23" i="28"/>
  <c r="M55" i="28" s="1"/>
  <c r="O10" i="28"/>
  <c r="M42" i="28" s="1"/>
  <c r="O22" i="28"/>
  <c r="M54" i="28" s="1"/>
  <c r="O20" i="28"/>
  <c r="M52" i="28" s="1"/>
  <c r="O8" i="28"/>
  <c r="M40" i="28" s="1"/>
  <c r="O6" i="28"/>
  <c r="I35" i="28"/>
  <c r="K19" i="28"/>
  <c r="I51" i="28" s="1"/>
  <c r="K15" i="28"/>
  <c r="I47" i="28" s="1"/>
  <c r="K16" i="28"/>
  <c r="I48" i="28" s="1"/>
  <c r="K20" i="28"/>
  <c r="I52" i="28" s="1"/>
  <c r="K21" i="28"/>
  <c r="I53" i="28" s="1"/>
  <c r="K22" i="28"/>
  <c r="I54" i="28" s="1"/>
  <c r="K23" i="28"/>
  <c r="I55" i="28" s="1"/>
  <c r="K8" i="28"/>
  <c r="I40" i="28" s="1"/>
  <c r="K9" i="28"/>
  <c r="I41" i="28" s="1"/>
  <c r="K10" i="28"/>
  <c r="I42" i="28" s="1"/>
  <c r="K11" i="28"/>
  <c r="I43" i="28" s="1"/>
  <c r="K5" i="28"/>
  <c r="K12" i="28"/>
  <c r="I44" i="28" s="1"/>
  <c r="K13" i="28"/>
  <c r="I45" i="28" s="1"/>
  <c r="K14" i="28"/>
  <c r="I46" i="28" s="1"/>
  <c r="K17" i="28"/>
  <c r="I49" i="28" s="1"/>
  <c r="K18" i="28"/>
  <c r="I50" i="28" s="1"/>
  <c r="H35" i="28"/>
  <c r="J8" i="28"/>
  <c r="H40" i="28" s="1"/>
  <c r="J5" i="28"/>
  <c r="J9" i="28"/>
  <c r="H41" i="28" s="1"/>
  <c r="J22" i="28"/>
  <c r="H54" i="28" s="1"/>
  <c r="J17" i="28"/>
  <c r="H49" i="28" s="1"/>
  <c r="J13" i="28"/>
  <c r="H45" i="28" s="1"/>
  <c r="J10" i="28"/>
  <c r="H42" i="28" s="1"/>
  <c r="J14" i="28"/>
  <c r="H46" i="28" s="1"/>
  <c r="J23" i="28"/>
  <c r="H55" i="28" s="1"/>
  <c r="J12" i="28"/>
  <c r="H44" i="28" s="1"/>
  <c r="J20" i="28"/>
  <c r="H52" i="28" s="1"/>
  <c r="J15" i="28"/>
  <c r="H47" i="28" s="1"/>
  <c r="J18" i="28"/>
  <c r="H50" i="28" s="1"/>
  <c r="J11" i="28"/>
  <c r="H43" i="28" s="1"/>
  <c r="J19" i="28"/>
  <c r="H51" i="28" s="1"/>
  <c r="J21" i="28"/>
  <c r="H53" i="28" s="1"/>
  <c r="J16" i="28"/>
  <c r="H48" i="28" s="1"/>
  <c r="E1" i="21"/>
  <c r="F1" i="21" s="1"/>
  <c r="G1" i="21" s="1"/>
  <c r="H1" i="21" s="1"/>
  <c r="I1" i="21" s="1"/>
  <c r="I36" i="28"/>
  <c r="H36" i="28"/>
  <c r="O28" i="20"/>
  <c r="V28" i="20"/>
  <c r="T28" i="20"/>
  <c r="I32" i="27"/>
  <c r="I34" i="27"/>
  <c r="I33" i="27"/>
  <c r="B46" i="7"/>
  <c r="O46" i="7"/>
  <c r="F46" i="7"/>
  <c r="Y28" i="20"/>
  <c r="Q28" i="20"/>
  <c r="I28" i="20"/>
  <c r="X28" i="20"/>
  <c r="D50" i="24"/>
  <c r="F50" i="24" s="1"/>
  <c r="C50" i="24"/>
  <c r="P28" i="20"/>
  <c r="H67" i="20"/>
  <c r="P67" i="20"/>
  <c r="X67" i="20"/>
  <c r="V67" i="20"/>
  <c r="I67" i="20"/>
  <c r="Q67" i="20"/>
  <c r="Y67" i="20"/>
  <c r="J67" i="20"/>
  <c r="R67" i="20"/>
  <c r="Z67" i="20"/>
  <c r="N67" i="20"/>
  <c r="W67" i="20"/>
  <c r="K67" i="20"/>
  <c r="S67" i="20"/>
  <c r="L67" i="20"/>
  <c r="T67" i="20"/>
  <c r="O67" i="20"/>
  <c r="M67" i="20"/>
  <c r="U67" i="20"/>
  <c r="N65" i="20"/>
  <c r="V65" i="20"/>
  <c r="T65" i="20"/>
  <c r="U65" i="20"/>
  <c r="O65" i="20"/>
  <c r="W65" i="20"/>
  <c r="H65" i="20"/>
  <c r="P65" i="20"/>
  <c r="X65" i="20"/>
  <c r="I65" i="20"/>
  <c r="Q65" i="20"/>
  <c r="Y65" i="20"/>
  <c r="J65" i="20"/>
  <c r="R65" i="20"/>
  <c r="Z65" i="20"/>
  <c r="L65" i="20"/>
  <c r="M65" i="20"/>
  <c r="K65" i="20"/>
  <c r="S65" i="20"/>
  <c r="L37" i="18" a="1"/>
  <c r="L37" i="18" s="1"/>
  <c r="M37" i="18" s="1"/>
  <c r="K37" i="18" a="1"/>
  <c r="K37" i="18" s="1"/>
  <c r="L38" i="18" a="1"/>
  <c r="L38" i="18" s="1"/>
  <c r="M38" i="18" s="1"/>
  <c r="K38" i="18" a="1"/>
  <c r="K38" i="18" s="1"/>
  <c r="D40" i="16"/>
  <c r="AH40" i="16"/>
  <c r="D41" i="16"/>
  <c r="AH41" i="16"/>
  <c r="AH42" i="16"/>
  <c r="D42" i="16"/>
  <c r="L71" i="20"/>
  <c r="T71" i="20"/>
  <c r="R71" i="20"/>
  <c r="M71" i="20"/>
  <c r="U71" i="20"/>
  <c r="Z71" i="20"/>
  <c r="N71" i="20"/>
  <c r="V71" i="20"/>
  <c r="O71" i="20"/>
  <c r="W71" i="20"/>
  <c r="J71" i="20"/>
  <c r="K71" i="20"/>
  <c r="H71" i="20"/>
  <c r="P71" i="20"/>
  <c r="X71" i="20"/>
  <c r="S71" i="20"/>
  <c r="I71" i="20"/>
  <c r="Q71" i="20"/>
  <c r="Y71" i="20"/>
  <c r="D39" i="16"/>
  <c r="AH39" i="16"/>
  <c r="AH38" i="16"/>
  <c r="D38" i="16"/>
  <c r="S28" i="20"/>
  <c r="M28" i="20"/>
  <c r="M68" i="20"/>
  <c r="U68" i="20"/>
  <c r="T68" i="20"/>
  <c r="N68" i="20"/>
  <c r="V68" i="20"/>
  <c r="O68" i="20"/>
  <c r="W68" i="20"/>
  <c r="S68" i="20"/>
  <c r="H68" i="20"/>
  <c r="P68" i="20"/>
  <c r="X68" i="20"/>
  <c r="K68" i="20"/>
  <c r="I68" i="20"/>
  <c r="Q68" i="20"/>
  <c r="Y68" i="20"/>
  <c r="J68" i="20"/>
  <c r="R68" i="20"/>
  <c r="Z68" i="20"/>
  <c r="L68" i="20"/>
  <c r="J69" i="20"/>
  <c r="R69" i="20"/>
  <c r="Z69" i="20"/>
  <c r="P69" i="20"/>
  <c r="K69" i="20"/>
  <c r="S69" i="20"/>
  <c r="H69" i="20"/>
  <c r="Y69" i="20"/>
  <c r="L69" i="20"/>
  <c r="T69" i="20"/>
  <c r="M69" i="20"/>
  <c r="U69" i="20"/>
  <c r="X69" i="20"/>
  <c r="I69" i="20"/>
  <c r="N69" i="20"/>
  <c r="V69" i="20"/>
  <c r="Q69" i="20"/>
  <c r="O69" i="20"/>
  <c r="W69" i="20"/>
  <c r="AH45" i="16"/>
  <c r="D45" i="16"/>
  <c r="AH46" i="16"/>
  <c r="D46" i="16"/>
  <c r="AH44" i="16"/>
  <c r="D44" i="16"/>
  <c r="AH43" i="16"/>
  <c r="D43" i="16"/>
  <c r="U28" i="20"/>
  <c r="L54" i="20"/>
  <c r="T54" i="20"/>
  <c r="S54" i="20"/>
  <c r="M54" i="20"/>
  <c r="U54" i="20"/>
  <c r="N54" i="20"/>
  <c r="V54" i="20"/>
  <c r="O54" i="20"/>
  <c r="W54" i="20"/>
  <c r="H54" i="20"/>
  <c r="P54" i="20"/>
  <c r="X54" i="20"/>
  <c r="I54" i="20"/>
  <c r="Q54" i="20"/>
  <c r="Y54" i="20"/>
  <c r="K54" i="20"/>
  <c r="J54" i="20"/>
  <c r="R54" i="20"/>
  <c r="Z54" i="20"/>
  <c r="H58" i="20"/>
  <c r="P58" i="20"/>
  <c r="X58" i="20"/>
  <c r="W58" i="20"/>
  <c r="I58" i="20"/>
  <c r="Q58" i="20"/>
  <c r="Y58" i="20"/>
  <c r="J58" i="20"/>
  <c r="R58" i="20"/>
  <c r="Z58" i="20"/>
  <c r="O58" i="20"/>
  <c r="K58" i="20"/>
  <c r="S58" i="20"/>
  <c r="L58" i="20"/>
  <c r="T58" i="20"/>
  <c r="M58" i="20"/>
  <c r="U58" i="20"/>
  <c r="N58" i="20"/>
  <c r="V58" i="20"/>
  <c r="J63" i="20"/>
  <c r="R63" i="20"/>
  <c r="Z63" i="20"/>
  <c r="I63" i="20"/>
  <c r="Y63" i="20"/>
  <c r="K63" i="20"/>
  <c r="S63" i="20"/>
  <c r="L63" i="20"/>
  <c r="T63" i="20"/>
  <c r="M63" i="20"/>
  <c r="U63" i="20"/>
  <c r="N63" i="20"/>
  <c r="V63" i="20"/>
  <c r="O63" i="20"/>
  <c r="W63" i="20"/>
  <c r="Q63" i="20"/>
  <c r="H63" i="20"/>
  <c r="P63" i="20"/>
  <c r="X63" i="20"/>
  <c r="I55" i="20"/>
  <c r="Q55" i="20"/>
  <c r="Y55" i="20"/>
  <c r="P55" i="20"/>
  <c r="J55" i="20"/>
  <c r="R55" i="20"/>
  <c r="Z55" i="20"/>
  <c r="K55" i="20"/>
  <c r="S55" i="20"/>
  <c r="L55" i="20"/>
  <c r="T55" i="20"/>
  <c r="M55" i="20"/>
  <c r="U55" i="20"/>
  <c r="X55" i="20"/>
  <c r="N55" i="20"/>
  <c r="V55" i="20"/>
  <c r="H55" i="20"/>
  <c r="O55" i="20"/>
  <c r="W55" i="20"/>
  <c r="D37" i="16"/>
  <c r="K57" i="20"/>
  <c r="S57" i="20"/>
  <c r="Z57" i="20"/>
  <c r="L57" i="20"/>
  <c r="T57" i="20"/>
  <c r="M57" i="20"/>
  <c r="U57" i="20"/>
  <c r="N57" i="20"/>
  <c r="V57" i="20"/>
  <c r="J57" i="20"/>
  <c r="O57" i="20"/>
  <c r="W57" i="20"/>
  <c r="H57" i="20"/>
  <c r="P57" i="20"/>
  <c r="X57" i="20"/>
  <c r="R57" i="20"/>
  <c r="I57" i="20"/>
  <c r="Q57" i="20"/>
  <c r="Y57" i="20"/>
  <c r="M59" i="20"/>
  <c r="U59" i="20"/>
  <c r="N59" i="20"/>
  <c r="V59" i="20"/>
  <c r="T59" i="20"/>
  <c r="O59" i="20"/>
  <c r="W59" i="20"/>
  <c r="H59" i="20"/>
  <c r="P59" i="20"/>
  <c r="X59" i="20"/>
  <c r="I59" i="20"/>
  <c r="Q59" i="20"/>
  <c r="Y59" i="20"/>
  <c r="J59" i="20"/>
  <c r="R59" i="20"/>
  <c r="Z59" i="20"/>
  <c r="L59" i="20"/>
  <c r="K59" i="20"/>
  <c r="S59" i="20"/>
  <c r="N56" i="20"/>
  <c r="V56" i="20"/>
  <c r="U56" i="20"/>
  <c r="O56" i="20"/>
  <c r="W56" i="20"/>
  <c r="H56" i="20"/>
  <c r="P56" i="20"/>
  <c r="X56" i="20"/>
  <c r="I56" i="20"/>
  <c r="Q56" i="20"/>
  <c r="Y56" i="20"/>
  <c r="J56" i="20"/>
  <c r="R56" i="20"/>
  <c r="Z56" i="20"/>
  <c r="K56" i="20"/>
  <c r="S56" i="20"/>
  <c r="M56" i="20"/>
  <c r="L56" i="20"/>
  <c r="T56" i="20"/>
  <c r="K82" i="21"/>
  <c r="K81" i="21"/>
  <c r="D36" i="16"/>
  <c r="J62" i="20"/>
  <c r="R62" i="20"/>
  <c r="Z62" i="20"/>
  <c r="K62" i="20"/>
  <c r="S62" i="20"/>
  <c r="L62" i="20"/>
  <c r="T62" i="20"/>
  <c r="M62" i="20"/>
  <c r="U62" i="20"/>
  <c r="N62" i="20"/>
  <c r="V62" i="20"/>
  <c r="O62" i="20"/>
  <c r="W62" i="20"/>
  <c r="H62" i="20"/>
  <c r="P62" i="20"/>
  <c r="X62" i="20"/>
  <c r="I62" i="20"/>
  <c r="Q62" i="20"/>
  <c r="Y62" i="20"/>
  <c r="N48" i="20"/>
  <c r="V48" i="20"/>
  <c r="O48" i="20"/>
  <c r="W48" i="20"/>
  <c r="H48" i="20"/>
  <c r="P48" i="20"/>
  <c r="X48" i="20"/>
  <c r="M48" i="20"/>
  <c r="I48" i="20"/>
  <c r="Q48" i="20"/>
  <c r="Y48" i="20"/>
  <c r="J48" i="20"/>
  <c r="R48" i="20"/>
  <c r="Z48" i="20"/>
  <c r="K48" i="20"/>
  <c r="S48" i="20"/>
  <c r="L48" i="20"/>
  <c r="T48" i="20"/>
  <c r="U48" i="20"/>
  <c r="K8" i="21"/>
  <c r="K9" i="21"/>
  <c r="O37" i="20"/>
  <c r="W37" i="20"/>
  <c r="H37" i="20"/>
  <c r="P37" i="20"/>
  <c r="X37" i="20"/>
  <c r="N37" i="20"/>
  <c r="I37" i="20"/>
  <c r="Q37" i="20"/>
  <c r="Y37" i="20"/>
  <c r="V37" i="20"/>
  <c r="J37" i="20"/>
  <c r="R37" i="20"/>
  <c r="Z37" i="20"/>
  <c r="K37" i="20"/>
  <c r="S37" i="20"/>
  <c r="L37" i="20"/>
  <c r="T37" i="20"/>
  <c r="M37" i="20"/>
  <c r="U37" i="20"/>
  <c r="I31" i="20"/>
  <c r="Q31" i="20"/>
  <c r="Y31" i="20"/>
  <c r="J31" i="20"/>
  <c r="R31" i="20"/>
  <c r="Z31" i="20"/>
  <c r="P31" i="20"/>
  <c r="K31" i="20"/>
  <c r="S31" i="20"/>
  <c r="L31" i="20"/>
  <c r="T31" i="20"/>
  <c r="M31" i="20"/>
  <c r="U31" i="20"/>
  <c r="N31" i="20"/>
  <c r="V31" i="20"/>
  <c r="X31" i="20"/>
  <c r="O31" i="20"/>
  <c r="W31" i="20"/>
  <c r="H31" i="20"/>
  <c r="K33" i="20"/>
  <c r="S33" i="20"/>
  <c r="L33" i="20"/>
  <c r="T33" i="20"/>
  <c r="Z33" i="20"/>
  <c r="M33" i="20"/>
  <c r="U33" i="20"/>
  <c r="N33" i="20"/>
  <c r="V33" i="20"/>
  <c r="O33" i="20"/>
  <c r="W33" i="20"/>
  <c r="R33" i="20"/>
  <c r="H33" i="20"/>
  <c r="P33" i="20"/>
  <c r="X33" i="20"/>
  <c r="J33" i="20"/>
  <c r="I33" i="20"/>
  <c r="Q33" i="20"/>
  <c r="Y33" i="20"/>
  <c r="O45" i="20"/>
  <c r="W45" i="20"/>
  <c r="H45" i="20"/>
  <c r="P45" i="20"/>
  <c r="X45" i="20"/>
  <c r="N45" i="20"/>
  <c r="I45" i="20"/>
  <c r="Q45" i="20"/>
  <c r="Y45" i="20"/>
  <c r="V45" i="20"/>
  <c r="J45" i="20"/>
  <c r="R45" i="20"/>
  <c r="Z45" i="20"/>
  <c r="K45" i="20"/>
  <c r="S45" i="20"/>
  <c r="L45" i="20"/>
  <c r="T45" i="20"/>
  <c r="M45" i="20"/>
  <c r="U45" i="20"/>
  <c r="L30" i="20"/>
  <c r="T30" i="20"/>
  <c r="M30" i="20"/>
  <c r="U30" i="20"/>
  <c r="N30" i="20"/>
  <c r="V30" i="20"/>
  <c r="S30" i="20"/>
  <c r="O30" i="20"/>
  <c r="W30" i="20"/>
  <c r="H30" i="20"/>
  <c r="P30" i="20"/>
  <c r="X30" i="20"/>
  <c r="K30" i="20"/>
  <c r="I30" i="20"/>
  <c r="Q30" i="20"/>
  <c r="Y30" i="20"/>
  <c r="J30" i="20"/>
  <c r="R30" i="20"/>
  <c r="Z30" i="20"/>
  <c r="I39" i="20"/>
  <c r="Q39" i="20"/>
  <c r="Y39" i="20"/>
  <c r="J39" i="20"/>
  <c r="R39" i="20"/>
  <c r="Z39" i="20"/>
  <c r="P39" i="20"/>
  <c r="K39" i="20"/>
  <c r="S39" i="20"/>
  <c r="L39" i="20"/>
  <c r="T39" i="20"/>
  <c r="M39" i="20"/>
  <c r="U39" i="20"/>
  <c r="H39" i="20"/>
  <c r="N39" i="20"/>
  <c r="V39" i="20"/>
  <c r="X39" i="20"/>
  <c r="O39" i="20"/>
  <c r="W39" i="20"/>
  <c r="K41" i="20"/>
  <c r="S41" i="20"/>
  <c r="Z41" i="20"/>
  <c r="L41" i="20"/>
  <c r="T41" i="20"/>
  <c r="R41" i="20"/>
  <c r="M41" i="20"/>
  <c r="U41" i="20"/>
  <c r="J41" i="20"/>
  <c r="N41" i="20"/>
  <c r="V41" i="20"/>
  <c r="O41" i="20"/>
  <c r="W41" i="20"/>
  <c r="H41" i="20"/>
  <c r="P41" i="20"/>
  <c r="X41" i="20"/>
  <c r="I41" i="20"/>
  <c r="Q41" i="20"/>
  <c r="Y41" i="20"/>
  <c r="L38" i="20"/>
  <c r="T38" i="20"/>
  <c r="M38" i="20"/>
  <c r="U38" i="20"/>
  <c r="N38" i="20"/>
  <c r="V38" i="20"/>
  <c r="O38" i="20"/>
  <c r="W38" i="20"/>
  <c r="H38" i="20"/>
  <c r="P38" i="20"/>
  <c r="X38" i="20"/>
  <c r="I38" i="20"/>
  <c r="Q38" i="20"/>
  <c r="Y38" i="20"/>
  <c r="K38" i="20"/>
  <c r="J38" i="20"/>
  <c r="R38" i="20"/>
  <c r="Z38" i="20"/>
  <c r="S38" i="20"/>
  <c r="I47" i="20"/>
  <c r="Q47" i="20"/>
  <c r="Y47" i="20"/>
  <c r="J47" i="20"/>
  <c r="R47" i="20"/>
  <c r="Z47" i="20"/>
  <c r="X47" i="20"/>
  <c r="K47" i="20"/>
  <c r="S47" i="20"/>
  <c r="L47" i="20"/>
  <c r="T47" i="20"/>
  <c r="M47" i="20"/>
  <c r="U47" i="20"/>
  <c r="P47" i="20"/>
  <c r="N47" i="20"/>
  <c r="V47" i="20"/>
  <c r="H47" i="20"/>
  <c r="O47" i="20"/>
  <c r="W47" i="20"/>
  <c r="K49" i="20"/>
  <c r="S49" i="20"/>
  <c r="L49" i="20"/>
  <c r="T49" i="20"/>
  <c r="Z49" i="20"/>
  <c r="M49" i="20"/>
  <c r="U49" i="20"/>
  <c r="N49" i="20"/>
  <c r="V49" i="20"/>
  <c r="J49" i="20"/>
  <c r="O49" i="20"/>
  <c r="W49" i="20"/>
  <c r="H49" i="20"/>
  <c r="P49" i="20"/>
  <c r="X49" i="20"/>
  <c r="R49" i="20"/>
  <c r="I49" i="20"/>
  <c r="Q49" i="20"/>
  <c r="Y49" i="20"/>
  <c r="H34" i="20"/>
  <c r="P34" i="20"/>
  <c r="X34" i="20"/>
  <c r="I34" i="20"/>
  <c r="Q34" i="20"/>
  <c r="Y34" i="20"/>
  <c r="J34" i="20"/>
  <c r="R34" i="20"/>
  <c r="Z34" i="20"/>
  <c r="K34" i="20"/>
  <c r="S34" i="20"/>
  <c r="L34" i="20"/>
  <c r="T34" i="20"/>
  <c r="M34" i="20"/>
  <c r="U34" i="20"/>
  <c r="W34" i="20"/>
  <c r="N34" i="20"/>
  <c r="V34" i="20"/>
  <c r="O34" i="20"/>
  <c r="J36" i="20"/>
  <c r="R36" i="20"/>
  <c r="Z36" i="20"/>
  <c r="K36" i="20"/>
  <c r="S36" i="20"/>
  <c r="L36" i="20"/>
  <c r="T36" i="20"/>
  <c r="M36" i="20"/>
  <c r="U36" i="20"/>
  <c r="N36" i="20"/>
  <c r="V36" i="20"/>
  <c r="Y36" i="20"/>
  <c r="O36" i="20"/>
  <c r="W36" i="20"/>
  <c r="I36" i="20"/>
  <c r="H36" i="20"/>
  <c r="P36" i="20"/>
  <c r="X36" i="20"/>
  <c r="Q36" i="20"/>
  <c r="L46" i="20"/>
  <c r="T46" i="20"/>
  <c r="S46" i="20"/>
  <c r="M46" i="20"/>
  <c r="U46" i="20"/>
  <c r="N46" i="20"/>
  <c r="V46" i="20"/>
  <c r="O46" i="20"/>
  <c r="W46" i="20"/>
  <c r="H46" i="20"/>
  <c r="P46" i="20"/>
  <c r="X46" i="20"/>
  <c r="I46" i="20"/>
  <c r="Q46" i="20"/>
  <c r="Y46" i="20"/>
  <c r="J46" i="20"/>
  <c r="R46" i="20"/>
  <c r="Z46" i="20"/>
  <c r="K46" i="20"/>
  <c r="H42" i="20"/>
  <c r="P42" i="20"/>
  <c r="X42" i="20"/>
  <c r="I42" i="20"/>
  <c r="Q42" i="20"/>
  <c r="Y42" i="20"/>
  <c r="J42" i="20"/>
  <c r="R42" i="20"/>
  <c r="Z42" i="20"/>
  <c r="K42" i="20"/>
  <c r="S42" i="20"/>
  <c r="L42" i="20"/>
  <c r="T42" i="20"/>
  <c r="W42" i="20"/>
  <c r="M42" i="20"/>
  <c r="U42" i="20"/>
  <c r="O42" i="20"/>
  <c r="N42" i="20"/>
  <c r="V42" i="20"/>
  <c r="J44" i="20"/>
  <c r="R44" i="20"/>
  <c r="Z44" i="20"/>
  <c r="K44" i="20"/>
  <c r="S44" i="20"/>
  <c r="L44" i="20"/>
  <c r="T44" i="20"/>
  <c r="I44" i="20"/>
  <c r="M44" i="20"/>
  <c r="U44" i="20"/>
  <c r="N44" i="20"/>
  <c r="V44" i="20"/>
  <c r="Y44" i="20"/>
  <c r="O44" i="20"/>
  <c r="W44" i="20"/>
  <c r="Q44" i="20"/>
  <c r="H44" i="20"/>
  <c r="P44" i="20"/>
  <c r="X44" i="20"/>
  <c r="H50" i="20"/>
  <c r="P50" i="20"/>
  <c r="X50" i="20"/>
  <c r="O50" i="20"/>
  <c r="I50" i="20"/>
  <c r="Q50" i="20"/>
  <c r="Y50" i="20"/>
  <c r="J50" i="20"/>
  <c r="R50" i="20"/>
  <c r="Z50" i="20"/>
  <c r="W50" i="20"/>
  <c r="K50" i="20"/>
  <c r="S50" i="20"/>
  <c r="L50" i="20"/>
  <c r="T50" i="20"/>
  <c r="M50" i="20"/>
  <c r="U50" i="20"/>
  <c r="N50" i="20"/>
  <c r="V50" i="20"/>
  <c r="N32" i="20"/>
  <c r="V32" i="20"/>
  <c r="U32" i="20"/>
  <c r="O32" i="20"/>
  <c r="W32" i="20"/>
  <c r="M32" i="20"/>
  <c r="H32" i="20"/>
  <c r="P32" i="20"/>
  <c r="X32" i="20"/>
  <c r="I32" i="20"/>
  <c r="Q32" i="20"/>
  <c r="Y32" i="20"/>
  <c r="J32" i="20"/>
  <c r="R32" i="20"/>
  <c r="Z32" i="20"/>
  <c r="K32" i="20"/>
  <c r="S32" i="20"/>
  <c r="L32" i="20"/>
  <c r="T32" i="20"/>
  <c r="M35" i="20"/>
  <c r="U35" i="20"/>
  <c r="N35" i="20"/>
  <c r="V35" i="20"/>
  <c r="T35" i="20"/>
  <c r="O35" i="20"/>
  <c r="W35" i="20"/>
  <c r="H35" i="20"/>
  <c r="P35" i="20"/>
  <c r="X35" i="20"/>
  <c r="I35" i="20"/>
  <c r="Q35" i="20"/>
  <c r="Y35" i="20"/>
  <c r="L35" i="20"/>
  <c r="J35" i="20"/>
  <c r="R35" i="20"/>
  <c r="Z35" i="20"/>
  <c r="K35" i="20"/>
  <c r="S35" i="20"/>
  <c r="N40" i="20"/>
  <c r="V40" i="20"/>
  <c r="O40" i="20"/>
  <c r="W40" i="20"/>
  <c r="H40" i="20"/>
  <c r="P40" i="20"/>
  <c r="X40" i="20"/>
  <c r="I40" i="20"/>
  <c r="Q40" i="20"/>
  <c r="Y40" i="20"/>
  <c r="M40" i="20"/>
  <c r="J40" i="20"/>
  <c r="R40" i="20"/>
  <c r="Z40" i="20"/>
  <c r="K40" i="20"/>
  <c r="S40" i="20"/>
  <c r="L40" i="20"/>
  <c r="T40" i="20"/>
  <c r="U40" i="20"/>
  <c r="M43" i="20"/>
  <c r="U43" i="20"/>
  <c r="N43" i="20"/>
  <c r="V43" i="20"/>
  <c r="T43" i="20"/>
  <c r="O43" i="20"/>
  <c r="W43" i="20"/>
  <c r="H43" i="20"/>
  <c r="P43" i="20"/>
  <c r="X43" i="20"/>
  <c r="I43" i="20"/>
  <c r="Q43" i="20"/>
  <c r="Y43" i="20"/>
  <c r="J43" i="20"/>
  <c r="R43" i="20"/>
  <c r="Z43" i="20"/>
  <c r="K43" i="20"/>
  <c r="S43" i="20"/>
  <c r="L43" i="20"/>
  <c r="O29" i="20"/>
  <c r="W29" i="20"/>
  <c r="H29" i="20"/>
  <c r="P29" i="20"/>
  <c r="X29" i="20"/>
  <c r="N29" i="20"/>
  <c r="I29" i="20"/>
  <c r="Q29" i="20"/>
  <c r="Y29" i="20"/>
  <c r="J29" i="20"/>
  <c r="R29" i="20"/>
  <c r="Z29" i="20"/>
  <c r="K29" i="20"/>
  <c r="S29" i="20"/>
  <c r="L29" i="20"/>
  <c r="T29" i="20"/>
  <c r="V29" i="20"/>
  <c r="M29" i="20"/>
  <c r="U29" i="20"/>
  <c r="M46" i="7"/>
  <c r="J46" i="7"/>
  <c r="E66" i="7"/>
  <c r="E27" i="15"/>
  <c r="B13" i="15"/>
  <c r="D28" i="15"/>
  <c r="B28" i="15"/>
  <c r="B18" i="15"/>
  <c r="B17" i="15"/>
  <c r="C25" i="15"/>
  <c r="C27" i="15"/>
  <c r="D26" i="15"/>
  <c r="F22" i="15"/>
  <c r="G22" i="15" s="1"/>
  <c r="H22" i="15" s="1"/>
  <c r="F31" i="15"/>
  <c r="G31" i="15" s="1"/>
  <c r="H31" i="15" s="1"/>
  <c r="B22" i="15"/>
  <c r="B30" i="15"/>
  <c r="B11" i="15"/>
  <c r="C46" i="7"/>
  <c r="B20" i="15"/>
  <c r="E22" i="15"/>
  <c r="E29" i="15"/>
  <c r="B9" i="15"/>
  <c r="B29" i="15"/>
  <c r="B21" i="15"/>
  <c r="C22" i="15"/>
  <c r="C29" i="15"/>
  <c r="E24" i="15"/>
  <c r="E25" i="15"/>
  <c r="F29" i="15"/>
  <c r="G29" i="15" s="1"/>
  <c r="H29" i="15" s="1"/>
  <c r="B26" i="15"/>
  <c r="C24" i="15"/>
  <c r="D31" i="15"/>
  <c r="F26" i="15"/>
  <c r="G26" i="15" s="1"/>
  <c r="H26" i="15" s="1"/>
  <c r="B31" i="15"/>
  <c r="D23" i="15"/>
  <c r="F30" i="15"/>
  <c r="G30" i="15" s="1"/>
  <c r="H30" i="15" s="1"/>
  <c r="B23" i="15"/>
  <c r="D30" i="15"/>
  <c r="B14" i="15"/>
  <c r="E28" i="15"/>
  <c r="F23" i="15"/>
  <c r="G23" i="15" s="1"/>
  <c r="H23" i="15" s="1"/>
  <c r="C28" i="15"/>
  <c r="F27" i="15"/>
  <c r="G27" i="15" s="1"/>
  <c r="H27" i="15" s="1"/>
  <c r="D27" i="15"/>
  <c r="E31" i="15"/>
  <c r="B27" i="15"/>
  <c r="B15" i="15"/>
  <c r="D22" i="15"/>
  <c r="E26" i="15"/>
  <c r="B19" i="15"/>
  <c r="C26" i="15"/>
  <c r="F25" i="15"/>
  <c r="G25" i="15" s="1"/>
  <c r="H25" i="15" s="1"/>
  <c r="C30" i="15"/>
  <c r="D25" i="15"/>
  <c r="B12" i="15"/>
  <c r="B25" i="15"/>
  <c r="B10" i="15"/>
  <c r="F24" i="15"/>
  <c r="G24" i="15" s="1"/>
  <c r="H24" i="15" s="1"/>
  <c r="B8" i="15"/>
  <c r="E30" i="15"/>
  <c r="D24" i="15"/>
  <c r="F28" i="15"/>
  <c r="G28" i="15" s="1"/>
  <c r="H28" i="15" s="1"/>
  <c r="B24" i="15"/>
  <c r="C31" i="15"/>
  <c r="E23" i="15"/>
  <c r="D29" i="15"/>
  <c r="B16" i="15"/>
  <c r="C23" i="15"/>
  <c r="K46" i="7"/>
  <c r="I46" i="7"/>
  <c r="H46" i="7"/>
  <c r="N46" i="7"/>
  <c r="L46" i="7"/>
  <c r="G46" i="7"/>
  <c r="H60" i="20"/>
  <c r="P60" i="20"/>
  <c r="X60" i="20"/>
  <c r="I60" i="20"/>
  <c r="Q60" i="20"/>
  <c r="Y60" i="20"/>
  <c r="M60" i="20"/>
  <c r="J60" i="20"/>
  <c r="R60" i="20"/>
  <c r="Z60" i="20"/>
  <c r="U60" i="20"/>
  <c r="W60" i="20"/>
  <c r="K60" i="20"/>
  <c r="S60" i="20"/>
  <c r="O60" i="20"/>
  <c r="L60" i="20"/>
  <c r="T60" i="20"/>
  <c r="N60" i="20"/>
  <c r="V60" i="20"/>
  <c r="L61" i="20"/>
  <c r="T61" i="20"/>
  <c r="K61" i="20"/>
  <c r="M61" i="20"/>
  <c r="U61" i="20"/>
  <c r="N61" i="20"/>
  <c r="V61" i="20"/>
  <c r="Y61" i="20"/>
  <c r="O61" i="20"/>
  <c r="W61" i="20"/>
  <c r="Q61" i="20"/>
  <c r="H61" i="20"/>
  <c r="P61" i="20"/>
  <c r="X61" i="20"/>
  <c r="I61" i="20"/>
  <c r="J61" i="20"/>
  <c r="R61" i="20"/>
  <c r="Z61" i="20"/>
  <c r="S61" i="20"/>
  <c r="D63" i="7"/>
  <c r="D85" i="7" s="1"/>
  <c r="B63" i="7"/>
  <c r="B85" i="7" s="1"/>
  <c r="C63" i="7"/>
  <c r="C85" i="7" s="1"/>
  <c r="A46" i="7"/>
  <c r="K27" i="18" a="1"/>
  <c r="K27" i="18" s="1"/>
  <c r="K36" i="18" a="1"/>
  <c r="K36" i="18" s="1"/>
  <c r="L36" i="18" a="1"/>
  <c r="L36" i="18" s="1"/>
  <c r="M36" i="18" s="1"/>
  <c r="L35" i="18" a="1"/>
  <c r="L35" i="18" s="1"/>
  <c r="M35" i="18" s="1"/>
  <c r="L11" i="18" a="1"/>
  <c r="L11" i="18" s="1"/>
  <c r="M11" i="18" s="1"/>
  <c r="J2" i="18"/>
  <c r="L2" i="18" s="1" a="1"/>
  <c r="L2" i="18" s="1"/>
  <c r="L9" i="18" a="1"/>
  <c r="L9" i="18" s="1"/>
  <c r="M9" i="18" s="1"/>
  <c r="K35" i="18" a="1"/>
  <c r="K35" i="18" s="1"/>
  <c r="K3" i="18" a="1"/>
  <c r="K3" i="18" s="1"/>
  <c r="L6" i="18" a="1"/>
  <c r="L6" i="18" s="1"/>
  <c r="M6" i="18" s="1"/>
  <c r="L3" i="18" a="1"/>
  <c r="L3" i="18" s="1"/>
  <c r="M3" i="18" s="1"/>
  <c r="L14" i="18" a="1"/>
  <c r="L14" i="18" s="1"/>
  <c r="M14" i="18" s="1"/>
  <c r="L7" i="18" a="1"/>
  <c r="L7" i="18" s="1"/>
  <c r="M7" i="18" s="1"/>
  <c r="K15" i="18" a="1"/>
  <c r="K15" i="18" s="1"/>
  <c r="L4" i="18" a="1"/>
  <c r="L4" i="18" s="1"/>
  <c r="M4" i="18" s="1"/>
  <c r="K17" i="18" a="1"/>
  <c r="K17" i="18" s="1"/>
  <c r="L5" i="18" a="1"/>
  <c r="L5" i="18" s="1"/>
  <c r="M5" i="18" s="1"/>
  <c r="K9" i="18" a="1"/>
  <c r="K9" i="18" s="1"/>
  <c r="K16" i="18" a="1"/>
  <c r="K16" i="18" s="1"/>
  <c r="K31" i="18" a="1"/>
  <c r="K31" i="18" s="1"/>
  <c r="L29" i="18" a="1"/>
  <c r="L29" i="18" s="1"/>
  <c r="M29" i="18" s="1"/>
  <c r="K29" i="18" a="1"/>
  <c r="K29" i="18" s="1"/>
  <c r="L31" i="18" a="1"/>
  <c r="L31" i="18" s="1"/>
  <c r="M31" i="18" s="1"/>
  <c r="K34" i="18" a="1"/>
  <c r="K34" i="18" s="1"/>
  <c r="K24" i="18" a="1"/>
  <c r="K24" i="18" s="1"/>
  <c r="L21" i="18" a="1"/>
  <c r="L21" i="18" s="1"/>
  <c r="M21" i="18" s="1"/>
  <c r="L23" i="18" a="1"/>
  <c r="L23" i="18" s="1"/>
  <c r="M23" i="18" s="1"/>
  <c r="K7" i="18" a="1"/>
  <c r="K7" i="18" s="1"/>
  <c r="K5" i="18" a="1"/>
  <c r="K5" i="18" s="1"/>
  <c r="L27" i="18" a="1"/>
  <c r="L27" i="18" s="1"/>
  <c r="M27" i="18" s="1"/>
  <c r="L33" i="18" a="1"/>
  <c r="L33" i="18" s="1"/>
  <c r="M33" i="18" s="1"/>
  <c r="L20" i="18" a="1"/>
  <c r="L20" i="18" s="1"/>
  <c r="M20" i="18" s="1"/>
  <c r="K19" i="18" a="1"/>
  <c r="K19" i="18" s="1"/>
  <c r="L13" i="18" a="1"/>
  <c r="L13" i="18" s="1"/>
  <c r="M13" i="18" s="1"/>
  <c r="L19" i="18" a="1"/>
  <c r="L19" i="18" s="1"/>
  <c r="M19" i="18" s="1"/>
  <c r="K33" i="18" a="1"/>
  <c r="K33" i="18" s="1"/>
  <c r="L10" i="18" a="1"/>
  <c r="L10" i="18" s="1"/>
  <c r="M10" i="18" s="1"/>
  <c r="L8" i="18" a="1"/>
  <c r="L8" i="18" s="1"/>
  <c r="M8" i="18" s="1"/>
  <c r="L12" i="18" a="1"/>
  <c r="L12" i="18" s="1"/>
  <c r="M12" i="18" s="1"/>
  <c r="K22" i="18" a="1"/>
  <c r="K22" i="18" s="1"/>
  <c r="L22" i="18" a="1"/>
  <c r="L22" i="18" s="1"/>
  <c r="M22" i="18" s="1"/>
  <c r="K30" i="18" a="1"/>
  <c r="K30" i="18" s="1"/>
  <c r="L15" i="18" a="1"/>
  <c r="L15" i="18" s="1"/>
  <c r="M15" i="18" s="1"/>
  <c r="K21" i="18" a="1"/>
  <c r="K21" i="18" s="1"/>
  <c r="L24" i="18" a="1"/>
  <c r="L24" i="18" s="1"/>
  <c r="M24" i="18" s="1"/>
  <c r="K32" i="18" a="1"/>
  <c r="K32" i="18" s="1"/>
  <c r="L17" i="18" a="1"/>
  <c r="L17" i="18" s="1"/>
  <c r="M17" i="18" s="1"/>
  <c r="K23" i="18" a="1"/>
  <c r="K23" i="18" s="1"/>
  <c r="K6" i="18" a="1"/>
  <c r="K6" i="18" s="1"/>
  <c r="K4" i="18" a="1"/>
  <c r="K4" i="18" s="1"/>
  <c r="K11" i="18" a="1"/>
  <c r="K11" i="18" s="1"/>
  <c r="L16" i="18" a="1"/>
  <c r="L16" i="18" s="1"/>
  <c r="M16" i="18" s="1"/>
  <c r="K26" i="18" a="1"/>
  <c r="K26" i="18" s="1"/>
  <c r="L26" i="18" a="1"/>
  <c r="L26" i="18" s="1"/>
  <c r="M26" i="18" s="1"/>
  <c r="L25" i="18" a="1"/>
  <c r="L25" i="18" s="1"/>
  <c r="M25" i="18" s="1"/>
  <c r="L28" i="18" a="1"/>
  <c r="L28" i="18" s="1"/>
  <c r="M28" i="18" s="1"/>
  <c r="K25" i="18" a="1"/>
  <c r="K25" i="18" s="1"/>
  <c r="K28" i="18" a="1"/>
  <c r="K28" i="18" s="1"/>
  <c r="K12" i="18" a="1"/>
  <c r="K12" i="18" s="1"/>
  <c r="L30" i="18" a="1"/>
  <c r="L30" i="18" s="1"/>
  <c r="M30" i="18" s="1"/>
  <c r="D34" i="16"/>
  <c r="L18" i="18" a="1"/>
  <c r="L18" i="18" s="1"/>
  <c r="M18" i="18" s="1"/>
  <c r="K10" i="18" a="1"/>
  <c r="K10" i="18" s="1"/>
  <c r="K8" i="18" a="1"/>
  <c r="K8" i="18" s="1"/>
  <c r="K20" i="18" a="1"/>
  <c r="K20" i="18" s="1"/>
  <c r="K14" i="18" a="1"/>
  <c r="K14" i="18" s="1"/>
  <c r="K13" i="18" a="1"/>
  <c r="K13" i="18" s="1"/>
  <c r="K18" i="18" a="1"/>
  <c r="K18" i="18" s="1"/>
  <c r="L32" i="18" a="1"/>
  <c r="L32" i="18" s="1"/>
  <c r="M32" i="18" s="1"/>
  <c r="L34" i="18" a="1"/>
  <c r="L34" i="18" s="1"/>
  <c r="M34" i="18" s="1"/>
  <c r="A2" i="19" a="1"/>
  <c r="A2" i="19" s="1"/>
  <c r="A66" i="7"/>
  <c r="A79" i="7" s="1"/>
  <c r="B2" i="20" a="1"/>
  <c r="B2" i="20" s="1"/>
  <c r="B3" i="20" s="1" a="1"/>
  <c r="J45" i="16"/>
  <c r="J41" i="16"/>
  <c r="J2" i="16"/>
  <c r="J17" i="16"/>
  <c r="J49" i="16"/>
  <c r="J59" i="16"/>
  <c r="J22" i="16"/>
  <c r="J56" i="16"/>
  <c r="J16" i="16"/>
  <c r="J71" i="16"/>
  <c r="J25" i="16"/>
  <c r="J54" i="16"/>
  <c r="J36" i="16"/>
  <c r="J35" i="16"/>
  <c r="J26" i="16"/>
  <c r="U15" i="16"/>
  <c r="W15" i="16"/>
  <c r="J21" i="16"/>
  <c r="J52" i="16"/>
  <c r="J3" i="16"/>
  <c r="J70" i="16"/>
  <c r="J43" i="16"/>
  <c r="J32" i="16"/>
  <c r="J5" i="16"/>
  <c r="R15" i="16"/>
  <c r="S15" i="16"/>
  <c r="G15" i="16"/>
  <c r="Q15" i="16"/>
  <c r="X15" i="16"/>
  <c r="AC15" i="16"/>
  <c r="AB15" i="16"/>
  <c r="AA15" i="16"/>
  <c r="J23" i="16"/>
  <c r="J10" i="16"/>
  <c r="J50" i="16"/>
  <c r="J19" i="16"/>
  <c r="J4" i="16"/>
  <c r="J33" i="16"/>
  <c r="J7" i="16"/>
  <c r="J44" i="16"/>
  <c r="I15" i="16"/>
  <c r="H15" i="16"/>
  <c r="Y15" i="16"/>
  <c r="J46" i="16"/>
  <c r="J34" i="16"/>
  <c r="J15" i="16"/>
  <c r="J29" i="16"/>
  <c r="J24" i="16"/>
  <c r="J8" i="16"/>
  <c r="J66" i="16"/>
  <c r="J28" i="16"/>
  <c r="J55" i="16"/>
  <c r="J61" i="16"/>
  <c r="J9" i="16"/>
  <c r="J57" i="16"/>
  <c r="Z15" i="16"/>
  <c r="J53" i="16"/>
  <c r="K15" i="16"/>
  <c r="J58" i="16"/>
  <c r="J38" i="16"/>
  <c r="J39" i="16"/>
  <c r="O15" i="16"/>
  <c r="E15" i="16"/>
  <c r="J37" i="16"/>
  <c r="J30" i="16"/>
  <c r="J27" i="16"/>
  <c r="J63" i="16"/>
  <c r="J42" i="16"/>
  <c r="J13" i="16"/>
  <c r="J67" i="16"/>
  <c r="J18" i="16"/>
  <c r="J14" i="16"/>
  <c r="M15" i="16"/>
  <c r="F15" i="16"/>
  <c r="V15" i="16"/>
  <c r="J20" i="16"/>
  <c r="J31" i="16"/>
  <c r="J69" i="16"/>
  <c r="J40" i="16"/>
  <c r="J62" i="16"/>
  <c r="J60" i="16"/>
  <c r="J68" i="16"/>
  <c r="J48" i="16"/>
  <c r="J12" i="16"/>
  <c r="J51" i="16"/>
  <c r="J11" i="16"/>
  <c r="J47" i="16"/>
  <c r="J65" i="16"/>
  <c r="J64" i="16"/>
  <c r="L15" i="16"/>
  <c r="N15" i="16"/>
  <c r="P15" i="16"/>
  <c r="T15" i="16"/>
  <c r="O27" i="20"/>
  <c r="W27" i="20"/>
  <c r="I27" i="20"/>
  <c r="Q27" i="20"/>
  <c r="M27" i="20"/>
  <c r="Y27" i="20"/>
  <c r="K27" i="20"/>
  <c r="L27" i="20"/>
  <c r="U27" i="20"/>
  <c r="S27" i="20"/>
  <c r="T27" i="20"/>
  <c r="C57" i="14"/>
  <c r="C31" i="14"/>
  <c r="C2" i="14"/>
  <c r="C24" i="14"/>
  <c r="C14" i="14"/>
  <c r="C3" i="14"/>
  <c r="C37" i="14"/>
  <c r="C64" i="14"/>
  <c r="C6" i="14"/>
  <c r="C9" i="14"/>
  <c r="C42" i="14"/>
  <c r="C27" i="14"/>
  <c r="C26" i="14"/>
  <c r="C11" i="14"/>
  <c r="C45" i="14"/>
  <c r="C29" i="14"/>
  <c r="C15" i="14"/>
  <c r="C23" i="14"/>
  <c r="C68" i="14"/>
  <c r="C58" i="14"/>
  <c r="C7" i="14"/>
  <c r="C25" i="14"/>
  <c r="C33" i="14"/>
  <c r="C46" i="14"/>
  <c r="C12" i="14"/>
  <c r="C52" i="14"/>
  <c r="C35" i="14"/>
  <c r="C16" i="14"/>
  <c r="C30" i="14"/>
  <c r="C71" i="14"/>
  <c r="C50" i="14"/>
  <c r="C66" i="14"/>
  <c r="C22" i="14"/>
  <c r="C36" i="14"/>
  <c r="C54" i="14"/>
  <c r="C19" i="14"/>
  <c r="C55" i="14"/>
  <c r="C38" i="14"/>
  <c r="C32" i="14"/>
  <c r="C40" i="14"/>
  <c r="C39" i="14"/>
  <c r="C59" i="14"/>
  <c r="C20" i="14"/>
  <c r="C62" i="14"/>
  <c r="C44" i="14"/>
  <c r="C53" i="14"/>
  <c r="C51" i="14"/>
  <c r="C69" i="14"/>
  <c r="C17" i="14"/>
  <c r="C41" i="14"/>
  <c r="C4" i="14"/>
  <c r="C48" i="14"/>
  <c r="C10" i="14"/>
  <c r="C28" i="14"/>
  <c r="C47" i="14"/>
  <c r="C63" i="14"/>
  <c r="C56" i="14"/>
  <c r="C70" i="14"/>
  <c r="C61" i="14"/>
  <c r="C21" i="14"/>
  <c r="C67" i="14"/>
  <c r="C8" i="14"/>
  <c r="C49" i="14"/>
  <c r="C18" i="14"/>
  <c r="C34" i="14"/>
  <c r="C13" i="14"/>
  <c r="C60" i="14"/>
  <c r="C5" i="14"/>
  <c r="C65" i="14"/>
  <c r="C43" i="14"/>
  <c r="G14" i="12"/>
  <c r="G15" i="12" s="1"/>
  <c r="G16" i="12" s="1"/>
  <c r="F21" i="12" s="1"/>
  <c r="H1" i="11"/>
  <c r="C4" i="11" s="1"/>
  <c r="B5" i="5" a="1"/>
  <c r="A9" i="5" s="1"/>
  <c r="P21" i="3"/>
  <c r="Q21" i="3"/>
  <c r="R21" i="3"/>
  <c r="S21" i="3"/>
  <c r="T21" i="3"/>
  <c r="U21" i="3"/>
  <c r="V21" i="3"/>
  <c r="W21" i="3"/>
  <c r="X21" i="3"/>
  <c r="P22" i="3"/>
  <c r="Q22" i="3"/>
  <c r="R22" i="3"/>
  <c r="S22" i="3"/>
  <c r="T22" i="3"/>
  <c r="U22" i="3"/>
  <c r="V22" i="3"/>
  <c r="W22" i="3"/>
  <c r="X22" i="3"/>
  <c r="P23" i="3"/>
  <c r="Q23" i="3"/>
  <c r="R23" i="3"/>
  <c r="S23" i="3"/>
  <c r="T23" i="3"/>
  <c r="U23" i="3"/>
  <c r="V23" i="3"/>
  <c r="W23" i="3"/>
  <c r="X23" i="3"/>
  <c r="A24" i="3"/>
  <c r="B24" i="3"/>
  <c r="C24" i="3"/>
  <c r="D24" i="3"/>
  <c r="E24" i="3"/>
  <c r="F24" i="3"/>
  <c r="G24" i="3"/>
  <c r="H24" i="3"/>
  <c r="I24" i="3"/>
  <c r="J24" i="3"/>
  <c r="K24" i="3"/>
  <c r="L24" i="3"/>
  <c r="M24" i="3"/>
  <c r="N24" i="3"/>
  <c r="O24" i="3"/>
  <c r="P24" i="3"/>
  <c r="Q24" i="3"/>
  <c r="R24" i="3"/>
  <c r="S24" i="3"/>
  <c r="T24" i="3"/>
  <c r="U24" i="3"/>
  <c r="V24" i="3"/>
  <c r="W24" i="3"/>
  <c r="X24" i="3"/>
  <c r="A25" i="3"/>
  <c r="B25" i="3"/>
  <c r="C25" i="3"/>
  <c r="D25" i="3"/>
  <c r="E25" i="3"/>
  <c r="F25" i="3"/>
  <c r="G25" i="3"/>
  <c r="H25" i="3"/>
  <c r="I25" i="3"/>
  <c r="J25" i="3"/>
  <c r="K25" i="3"/>
  <c r="L25" i="3"/>
  <c r="M25" i="3"/>
  <c r="N25" i="3"/>
  <c r="O25" i="3"/>
  <c r="P25" i="3"/>
  <c r="Q25" i="3"/>
  <c r="R25" i="3"/>
  <c r="S25" i="3"/>
  <c r="T25" i="3"/>
  <c r="U25" i="3"/>
  <c r="V25" i="3"/>
  <c r="W25" i="3"/>
  <c r="X25" i="3"/>
  <c r="A26" i="3"/>
  <c r="B26" i="3"/>
  <c r="C26" i="3"/>
  <c r="D26" i="3"/>
  <c r="E26" i="3"/>
  <c r="F26" i="3"/>
  <c r="G26" i="3"/>
  <c r="H26" i="3"/>
  <c r="I26" i="3"/>
  <c r="J26" i="3"/>
  <c r="K26" i="3"/>
  <c r="L26" i="3"/>
  <c r="M26" i="3"/>
  <c r="N26" i="3"/>
  <c r="O26" i="3"/>
  <c r="P26" i="3"/>
  <c r="Q26" i="3"/>
  <c r="R26" i="3"/>
  <c r="S26" i="3"/>
  <c r="T26" i="3"/>
  <c r="U26" i="3"/>
  <c r="V26" i="3"/>
  <c r="W26" i="3"/>
  <c r="X26" i="3"/>
  <c r="A27" i="3"/>
  <c r="B27" i="3"/>
  <c r="C27" i="3"/>
  <c r="D27" i="3"/>
  <c r="E27" i="3"/>
  <c r="F27" i="3"/>
  <c r="G27" i="3"/>
  <c r="H27" i="3"/>
  <c r="I27" i="3"/>
  <c r="J27" i="3"/>
  <c r="K27" i="3"/>
  <c r="L27" i="3"/>
  <c r="M27" i="3"/>
  <c r="N27" i="3"/>
  <c r="O27" i="3"/>
  <c r="P27" i="3"/>
  <c r="Q27" i="3"/>
  <c r="R27" i="3"/>
  <c r="S27" i="3"/>
  <c r="T27" i="3"/>
  <c r="U27" i="3"/>
  <c r="V27" i="3"/>
  <c r="W27" i="3"/>
  <c r="X27" i="3"/>
  <c r="A28" i="3"/>
  <c r="B28" i="3"/>
  <c r="C28" i="3"/>
  <c r="D28" i="3"/>
  <c r="E28" i="3"/>
  <c r="F28" i="3"/>
  <c r="G28" i="3"/>
  <c r="H28" i="3"/>
  <c r="I28" i="3"/>
  <c r="J28" i="3"/>
  <c r="K28" i="3"/>
  <c r="L28" i="3"/>
  <c r="M28" i="3"/>
  <c r="N28" i="3"/>
  <c r="O28" i="3"/>
  <c r="P28" i="3"/>
  <c r="Q28" i="3"/>
  <c r="R28" i="3"/>
  <c r="S28" i="3"/>
  <c r="T28" i="3"/>
  <c r="U28" i="3"/>
  <c r="V28" i="3"/>
  <c r="W28" i="3"/>
  <c r="X28" i="3"/>
  <c r="B7" i="3" a="1"/>
  <c r="B23" i="3" s="1"/>
  <c r="C7" i="3" a="1"/>
  <c r="C7" i="3" s="1"/>
  <c r="D7" i="3" a="1"/>
  <c r="D23" i="3" s="1"/>
  <c r="E7" i="3" a="1"/>
  <c r="E23" i="3" s="1"/>
  <c r="F7" i="3" a="1"/>
  <c r="F23" i="3" s="1"/>
  <c r="G7" i="3" a="1"/>
  <c r="H7" i="3" a="1"/>
  <c r="I7" i="3" a="1"/>
  <c r="J7" i="3" a="1"/>
  <c r="J23" i="3" s="1"/>
  <c r="K7" i="3" a="1"/>
  <c r="K23" i="3" s="1"/>
  <c r="L7" i="3" a="1"/>
  <c r="L23" i="3" s="1"/>
  <c r="M7" i="3" a="1"/>
  <c r="M23" i="3" s="1"/>
  <c r="N7" i="3" a="1"/>
  <c r="N23" i="3" s="1"/>
  <c r="O7" i="3" a="1"/>
  <c r="O7" i="3" s="1"/>
  <c r="P7" i="3" a="1"/>
  <c r="P7" i="3" s="1"/>
  <c r="P5" i="3" s="1"/>
  <c r="Q7" i="3" a="1"/>
  <c r="Q7" i="3" s="1"/>
  <c r="Q5" i="3" s="1"/>
  <c r="R7" i="3" a="1"/>
  <c r="R7" i="3" s="1"/>
  <c r="R20" i="3" s="1"/>
  <c r="S7" i="3" a="1"/>
  <c r="S7" i="3" s="1"/>
  <c r="S20" i="3" s="1"/>
  <c r="T7" i="3" a="1"/>
  <c r="T7" i="3" s="1"/>
  <c r="T20" i="3" s="1"/>
  <c r="U7" i="3" a="1"/>
  <c r="U7" i="3" s="1"/>
  <c r="U20" i="3" s="1"/>
  <c r="V7" i="3" a="1"/>
  <c r="V7" i="3" s="1"/>
  <c r="V5" i="3" s="1"/>
  <c r="W7" i="3" a="1"/>
  <c r="W7" i="3" s="1"/>
  <c r="W5" i="3" s="1"/>
  <c r="X7" i="3" a="1"/>
  <c r="X7" i="3" s="1"/>
  <c r="X5" i="3" s="1"/>
  <c r="A7" i="3" a="1"/>
  <c r="A7" i="3" s="1"/>
  <c r="E2" i="3"/>
  <c r="E1" i="3"/>
  <c r="H2" i="11" s="1"/>
  <c r="R6" i="3"/>
  <c r="Q6" i="3"/>
  <c r="P6" i="3"/>
  <c r="O6" i="3"/>
  <c r="N6" i="3"/>
  <c r="M6" i="3"/>
  <c r="L6" i="3"/>
  <c r="K6" i="3"/>
  <c r="J6" i="3"/>
  <c r="I6" i="3"/>
  <c r="H6" i="3"/>
  <c r="G6" i="3"/>
  <c r="F6" i="3"/>
  <c r="E6" i="3"/>
  <c r="D6" i="3"/>
  <c r="C6" i="3"/>
  <c r="B6" i="3"/>
  <c r="A6" i="3"/>
  <c r="C3" i="5"/>
  <c r="A16" i="7" l="1"/>
  <c r="M9" i="5"/>
  <c r="K9" i="5"/>
  <c r="Y9" i="5"/>
  <c r="O9" i="5"/>
  <c r="D9" i="5"/>
  <c r="P9" i="5"/>
  <c r="R9" i="5"/>
  <c r="AA9" i="5"/>
  <c r="U9" i="5"/>
  <c r="V9" i="5"/>
  <c r="F9" i="5"/>
  <c r="C9" i="5"/>
  <c r="E9" i="5"/>
  <c r="Z9" i="5"/>
  <c r="T9" i="5"/>
  <c r="X9" i="5"/>
  <c r="G9" i="5"/>
  <c r="Q9" i="5"/>
  <c r="W9" i="5"/>
  <c r="S9" i="5"/>
  <c r="I9" i="5"/>
  <c r="J9" i="5"/>
  <c r="H9" i="5"/>
  <c r="L9" i="5"/>
  <c r="N9" i="5"/>
  <c r="K6" i="28"/>
  <c r="I37" i="28"/>
  <c r="J6" i="28"/>
  <c r="H37" i="28"/>
  <c r="Q37" i="28"/>
  <c r="Q38" i="28"/>
  <c r="Q39" i="28"/>
  <c r="N37" i="28"/>
  <c r="N38" i="28"/>
  <c r="M38" i="28"/>
  <c r="O7" i="28"/>
  <c r="M39" i="28" s="1"/>
  <c r="D38" i="7"/>
  <c r="D71" i="7"/>
  <c r="G7" i="3"/>
  <c r="I7" i="3"/>
  <c r="H7" i="3"/>
  <c r="AJ48" i="16"/>
  <c r="A51" i="24"/>
  <c r="AK48" i="16"/>
  <c r="AL48" i="16"/>
  <c r="AK49" i="16"/>
  <c r="AJ49" i="16"/>
  <c r="A52" i="24"/>
  <c r="AL49" i="16"/>
  <c r="AK50" i="16"/>
  <c r="AL50" i="16"/>
  <c r="AJ50" i="16"/>
  <c r="A53" i="24"/>
  <c r="AL51" i="16"/>
  <c r="AJ51" i="16"/>
  <c r="A54" i="24"/>
  <c r="AK51" i="16"/>
  <c r="AK52" i="16"/>
  <c r="AL52" i="16"/>
  <c r="AJ52" i="16"/>
  <c r="A55" i="24"/>
  <c r="AL53" i="16"/>
  <c r="AK53" i="16"/>
  <c r="A56" i="24"/>
  <c r="AJ53" i="16"/>
  <c r="AJ54" i="16"/>
  <c r="AL54" i="16"/>
  <c r="AK54" i="16"/>
  <c r="A57" i="24"/>
  <c r="AJ55" i="16"/>
  <c r="A58" i="24"/>
  <c r="AK55" i="16"/>
  <c r="AL55" i="16"/>
  <c r="AJ56" i="16"/>
  <c r="A59" i="24"/>
  <c r="AL56" i="16"/>
  <c r="AK56" i="16"/>
  <c r="AK57" i="16"/>
  <c r="AL57" i="16"/>
  <c r="AJ57" i="16"/>
  <c r="A60" i="24"/>
  <c r="AL58" i="16"/>
  <c r="A61" i="24"/>
  <c r="AK58" i="16"/>
  <c r="AJ58" i="16"/>
  <c r="AK59" i="16"/>
  <c r="AJ59" i="16"/>
  <c r="A62" i="24"/>
  <c r="AL59" i="16"/>
  <c r="AJ60" i="16"/>
  <c r="A63" i="24"/>
  <c r="AL60" i="16"/>
  <c r="AK60" i="16"/>
  <c r="AK61" i="16"/>
  <c r="AL61" i="16"/>
  <c r="AJ61" i="16"/>
  <c r="A64" i="24"/>
  <c r="AL62" i="16"/>
  <c r="A65" i="24"/>
  <c r="AJ62" i="16"/>
  <c r="AK62" i="16"/>
  <c r="A66" i="24"/>
  <c r="AL63" i="16"/>
  <c r="AK63" i="16"/>
  <c r="AJ63" i="16"/>
  <c r="A67" i="24"/>
  <c r="AL64" i="16"/>
  <c r="AK64" i="16"/>
  <c r="AJ64" i="16"/>
  <c r="AL65" i="16"/>
  <c r="AJ65" i="16"/>
  <c r="AK65" i="16"/>
  <c r="A68" i="24"/>
  <c r="AK66" i="16"/>
  <c r="AL66" i="16"/>
  <c r="AJ66" i="16"/>
  <c r="A69" i="24"/>
  <c r="AL67" i="16"/>
  <c r="A70" i="24"/>
  <c r="AJ67" i="16"/>
  <c r="AK67" i="16"/>
  <c r="AK68" i="16"/>
  <c r="AL68" i="16"/>
  <c r="AJ68" i="16"/>
  <c r="A71" i="24"/>
  <c r="AL69" i="16"/>
  <c r="AK69" i="16"/>
  <c r="A72" i="24"/>
  <c r="AJ69" i="16"/>
  <c r="AJ70" i="16"/>
  <c r="A73" i="24"/>
  <c r="AL70" i="16"/>
  <c r="AK70" i="16"/>
  <c r="Q63" i="7"/>
  <c r="Q85" i="7" s="1"/>
  <c r="Q79" i="7"/>
  <c r="R63" i="7"/>
  <c r="R85" i="7" s="1"/>
  <c r="R79" i="7"/>
  <c r="S63" i="7"/>
  <c r="S85" i="7" s="1"/>
  <c r="S79" i="7"/>
  <c r="T63" i="7"/>
  <c r="T85" i="7" s="1"/>
  <c r="T79" i="7"/>
  <c r="U63" i="7"/>
  <c r="U85" i="7" s="1"/>
  <c r="U79" i="7"/>
  <c r="V63" i="7"/>
  <c r="V85" i="7" s="1"/>
  <c r="V79" i="7"/>
  <c r="W63" i="7"/>
  <c r="W85" i="7" s="1"/>
  <c r="W79" i="7"/>
  <c r="X63" i="7"/>
  <c r="X85" i="7" s="1"/>
  <c r="X79" i="7"/>
  <c r="P63" i="7"/>
  <c r="P85" i="7" s="1"/>
  <c r="P79" i="7"/>
  <c r="E63" i="7"/>
  <c r="E85" i="7" s="1"/>
  <c r="E79" i="7"/>
  <c r="Y65" i="7"/>
  <c r="Y64" i="7"/>
  <c r="Y63" i="7"/>
  <c r="Y85" i="7" s="1"/>
  <c r="W86" i="7"/>
  <c r="W87" i="7"/>
  <c r="X87" i="7"/>
  <c r="X86" i="7"/>
  <c r="I38" i="28"/>
  <c r="K7" i="28"/>
  <c r="AN29" i="28"/>
  <c r="AN25" i="28"/>
  <c r="AN22" i="28"/>
  <c r="AN20" i="28"/>
  <c r="AN18" i="28"/>
  <c r="AN16" i="28"/>
  <c r="AG29" i="27"/>
  <c r="AP28" i="28"/>
  <c r="AP24" i="28"/>
  <c r="AH29" i="27"/>
  <c r="AO28" i="28"/>
  <c r="AO24" i="28"/>
  <c r="AI29" i="27"/>
  <c r="AN28" i="28"/>
  <c r="AN24" i="28"/>
  <c r="AP26" i="28"/>
  <c r="AO26" i="28"/>
  <c r="AN26" i="28"/>
  <c r="AP29" i="28"/>
  <c r="AP25" i="28"/>
  <c r="AP22" i="28"/>
  <c r="AP20" i="28"/>
  <c r="AP16" i="28"/>
  <c r="AO25" i="28"/>
  <c r="AO20" i="28"/>
  <c r="AO16" i="28"/>
  <c r="AP27" i="28"/>
  <c r="AP23" i="28"/>
  <c r="AP21" i="28"/>
  <c r="AP19" i="28"/>
  <c r="AP17" i="28"/>
  <c r="AP15" i="28"/>
  <c r="AO27" i="28"/>
  <c r="AO23" i="28"/>
  <c r="AO21" i="28"/>
  <c r="AO19" i="28"/>
  <c r="AO17" i="28"/>
  <c r="AO15" i="28"/>
  <c r="AN27" i="28"/>
  <c r="AN23" i="28"/>
  <c r="AN21" i="28"/>
  <c r="AN19" i="28"/>
  <c r="AN17" i="28"/>
  <c r="AN15" i="28"/>
  <c r="AP18" i="28"/>
  <c r="AO29" i="28"/>
  <c r="AO22" i="28"/>
  <c r="AO18" i="28"/>
  <c r="B2" i="15"/>
  <c r="AJ7" i="27"/>
  <c r="AQ7" i="28"/>
  <c r="D15" i="18"/>
  <c r="E15" i="18" s="1"/>
  <c r="D32" i="18"/>
  <c r="E32" i="18" s="1"/>
  <c r="D29" i="18"/>
  <c r="E29" i="18" s="1"/>
  <c r="AI17" i="27"/>
  <c r="AI21" i="27"/>
  <c r="AI25" i="27"/>
  <c r="AG18" i="27"/>
  <c r="AG22" i="27"/>
  <c r="AG26" i="27"/>
  <c r="AH18" i="27"/>
  <c r="AH22" i="27"/>
  <c r="AH26" i="27"/>
  <c r="AI18" i="27"/>
  <c r="AI22" i="27"/>
  <c r="AI26" i="27"/>
  <c r="AG16" i="27"/>
  <c r="AH20" i="27"/>
  <c r="AH24" i="27"/>
  <c r="AH28" i="27"/>
  <c r="AI20" i="27"/>
  <c r="AI24" i="27"/>
  <c r="AI28" i="27"/>
  <c r="AG21" i="27"/>
  <c r="AG25" i="27"/>
  <c r="AH21" i="27"/>
  <c r="AH25" i="27"/>
  <c r="AG15" i="27"/>
  <c r="AG19" i="27"/>
  <c r="AG23" i="27"/>
  <c r="AG27" i="27"/>
  <c r="AH15" i="27"/>
  <c r="AH19" i="27"/>
  <c r="AH23" i="27"/>
  <c r="AH27" i="27"/>
  <c r="AI15" i="27"/>
  <c r="AI19" i="27"/>
  <c r="AI23" i="27"/>
  <c r="AI27" i="27"/>
  <c r="AG20" i="27"/>
  <c r="AG24" i="27"/>
  <c r="AG28" i="27"/>
  <c r="AH16" i="27"/>
  <c r="AI16" i="27"/>
  <c r="AG17" i="27"/>
  <c r="AH17" i="27"/>
  <c r="N70" i="7"/>
  <c r="N37" i="7"/>
  <c r="L37" i="7"/>
  <c r="L70" i="7"/>
  <c r="O70" i="7"/>
  <c r="O37" i="7"/>
  <c r="A48" i="24"/>
  <c r="AJ45" i="16"/>
  <c r="AK45" i="16"/>
  <c r="AL45" i="16"/>
  <c r="A45" i="24"/>
  <c r="AJ42" i="16"/>
  <c r="AK42" i="16"/>
  <c r="AL42" i="16"/>
  <c r="A46" i="24"/>
  <c r="AJ43" i="16"/>
  <c r="AK43" i="16"/>
  <c r="AL43" i="16"/>
  <c r="A41" i="24"/>
  <c r="AL38" i="16"/>
  <c r="AJ38" i="16"/>
  <c r="AK38" i="16"/>
  <c r="A44" i="24"/>
  <c r="AK41" i="16"/>
  <c r="AL41" i="16"/>
  <c r="AJ41" i="16"/>
  <c r="A42" i="24"/>
  <c r="AJ39" i="16"/>
  <c r="AK39" i="16"/>
  <c r="AL39" i="16"/>
  <c r="A47" i="24"/>
  <c r="AJ44" i="16"/>
  <c r="AK44" i="16"/>
  <c r="AL44" i="16"/>
  <c r="A43" i="24"/>
  <c r="AJ40" i="16"/>
  <c r="AK40" i="16"/>
  <c r="AL40" i="16"/>
  <c r="J70" i="7"/>
  <c r="J37" i="7"/>
  <c r="K37" i="7"/>
  <c r="K70" i="7"/>
  <c r="A49" i="24"/>
  <c r="AL46" i="16"/>
  <c r="AJ46" i="16"/>
  <c r="AK46" i="16"/>
  <c r="J1" i="21"/>
  <c r="K1" i="21" s="1"/>
  <c r="D18" i="18"/>
  <c r="E18" i="18" s="1"/>
  <c r="D26" i="18"/>
  <c r="E26" i="18" s="1"/>
  <c r="D8" i="18"/>
  <c r="E8" i="18" s="1"/>
  <c r="G37" i="7"/>
  <c r="G70" i="7"/>
  <c r="I70" i="7"/>
  <c r="I37" i="7"/>
  <c r="H37" i="7"/>
  <c r="H70" i="7"/>
  <c r="D61" i="18"/>
  <c r="B6" i="15"/>
  <c r="G5" i="20"/>
  <c r="G16" i="20" s="1"/>
  <c r="G27" i="20" s="1"/>
  <c r="F37" i="7"/>
  <c r="F70" i="7"/>
  <c r="D30" i="18"/>
  <c r="E30" i="18" s="1"/>
  <c r="D14" i="18"/>
  <c r="E14" i="18" s="1"/>
  <c r="D12" i="18"/>
  <c r="E12" i="18" s="1"/>
  <c r="D11" i="18"/>
  <c r="E11" i="18" s="1"/>
  <c r="D21" i="18"/>
  <c r="E21" i="18" s="1"/>
  <c r="D33" i="18"/>
  <c r="E33" i="18" s="1"/>
  <c r="D31" i="18"/>
  <c r="E31" i="18" s="1"/>
  <c r="D20" i="18"/>
  <c r="E20" i="18" s="1"/>
  <c r="D28" i="18"/>
  <c r="E28" i="18" s="1"/>
  <c r="D16" i="18"/>
  <c r="E16" i="18" s="1"/>
  <c r="D3" i="18"/>
  <c r="E3" i="18" s="1"/>
  <c r="D25" i="18"/>
  <c r="E25" i="18" s="1"/>
  <c r="K2" i="18" a="1"/>
  <c r="K2" i="18" s="1"/>
  <c r="D2" i="18" s="1"/>
  <c r="E2" i="18" s="1"/>
  <c r="D10" i="18"/>
  <c r="E10" i="18" s="1"/>
  <c r="D27" i="18"/>
  <c r="E27" i="18" s="1"/>
  <c r="D19" i="18"/>
  <c r="E19" i="18" s="1"/>
  <c r="D4" i="18"/>
  <c r="E4" i="18" s="1"/>
  <c r="D23" i="18"/>
  <c r="E23" i="18" s="1"/>
  <c r="D22" i="18"/>
  <c r="E22" i="18" s="1"/>
  <c r="D51" i="18"/>
  <c r="D17" i="18"/>
  <c r="E17" i="18" s="1"/>
  <c r="F5" i="20"/>
  <c r="F16" i="20" s="1"/>
  <c r="F27" i="20" s="1"/>
  <c r="C5" i="20"/>
  <c r="C16" i="20" s="1"/>
  <c r="C27" i="20" s="1"/>
  <c r="A63" i="7"/>
  <c r="A85" i="7" s="1"/>
  <c r="D9" i="18"/>
  <c r="E9" i="18" s="1"/>
  <c r="D69" i="18"/>
  <c r="D42" i="18"/>
  <c r="D39" i="18"/>
  <c r="D41" i="18"/>
  <c r="D50" i="18"/>
  <c r="D47" i="18"/>
  <c r="D49" i="18"/>
  <c r="D58" i="18"/>
  <c r="D55" i="18"/>
  <c r="D57" i="18"/>
  <c r="D66" i="18"/>
  <c r="D34" i="18"/>
  <c r="E34" i="18" s="1"/>
  <c r="D37" i="18"/>
  <c r="E37" i="18" s="1"/>
  <c r="D63" i="18"/>
  <c r="D65" i="18"/>
  <c r="D45" i="18"/>
  <c r="D53" i="18"/>
  <c r="D71" i="18"/>
  <c r="D38" i="18"/>
  <c r="D62" i="18"/>
  <c r="D54" i="18"/>
  <c r="D43" i="18"/>
  <c r="D40" i="18"/>
  <c r="D64" i="18"/>
  <c r="D56" i="18"/>
  <c r="D44" i="18"/>
  <c r="D59" i="18"/>
  <c r="D67" i="18"/>
  <c r="D70" i="18"/>
  <c r="D46" i="18"/>
  <c r="D52" i="18"/>
  <c r="D60" i="18"/>
  <c r="D48" i="18"/>
  <c r="D68" i="18"/>
  <c r="D35" i="18"/>
  <c r="E35" i="18" s="1"/>
  <c r="D36" i="18"/>
  <c r="E36" i="18" s="1"/>
  <c r="D7" i="18"/>
  <c r="E7" i="18" s="1"/>
  <c r="D6" i="18"/>
  <c r="E6" i="18" s="1"/>
  <c r="E37" i="7"/>
  <c r="D37" i="7"/>
  <c r="D24" i="18"/>
  <c r="E24" i="18" s="1"/>
  <c r="B2" i="11"/>
  <c r="M2" i="18"/>
  <c r="G5" i="18" s="1"/>
  <c r="G8" i="18"/>
  <c r="Q17" i="3" s="1"/>
  <c r="B3" i="20"/>
  <c r="D5" i="20"/>
  <c r="E5" i="20"/>
  <c r="AF19" i="16"/>
  <c r="AF23" i="16"/>
  <c r="AF27" i="16"/>
  <c r="AF31" i="16"/>
  <c r="AF35" i="16"/>
  <c r="AF39" i="16"/>
  <c r="AF43" i="16"/>
  <c r="AF47" i="16"/>
  <c r="AF51" i="16"/>
  <c r="AF55" i="16"/>
  <c r="AF59" i="16"/>
  <c r="AF63" i="16"/>
  <c r="AF67" i="16"/>
  <c r="AF71" i="16"/>
  <c r="AE20" i="16"/>
  <c r="AE24" i="16"/>
  <c r="AE28" i="16"/>
  <c r="AE32" i="16"/>
  <c r="AE36" i="16"/>
  <c r="AE40" i="16"/>
  <c r="AE44" i="16"/>
  <c r="AE48" i="16"/>
  <c r="AE52" i="16"/>
  <c r="AE56" i="16"/>
  <c r="AE60" i="16"/>
  <c r="AE64" i="16"/>
  <c r="AE68" i="16"/>
  <c r="AF20" i="16"/>
  <c r="AF24" i="16"/>
  <c r="AF28" i="16"/>
  <c r="AF32" i="16"/>
  <c r="AF36" i="16"/>
  <c r="AF40" i="16"/>
  <c r="AF44" i="16"/>
  <c r="AF48" i="16"/>
  <c r="AF52" i="16"/>
  <c r="AF56" i="16"/>
  <c r="AF60" i="16"/>
  <c r="AF64" i="16"/>
  <c r="AF68" i="16"/>
  <c r="AE21" i="16"/>
  <c r="AE25" i="16"/>
  <c r="AE29" i="16"/>
  <c r="AE33" i="16"/>
  <c r="AE37" i="16"/>
  <c r="AE41" i="16"/>
  <c r="AE45" i="16"/>
  <c r="AE49" i="16"/>
  <c r="AE53" i="16"/>
  <c r="AE57" i="16"/>
  <c r="AE61" i="16"/>
  <c r="AE65" i="16"/>
  <c r="AE69" i="16"/>
  <c r="AF21" i="16"/>
  <c r="AF25" i="16"/>
  <c r="AF29" i="16"/>
  <c r="AF33" i="16"/>
  <c r="AF37" i="16"/>
  <c r="AF41" i="16"/>
  <c r="AF45" i="16"/>
  <c r="AF49" i="16"/>
  <c r="AF53" i="16"/>
  <c r="AF57" i="16"/>
  <c r="AF61" i="16"/>
  <c r="AF65" i="16"/>
  <c r="AF69" i="16"/>
  <c r="AE18" i="16"/>
  <c r="AE22" i="16"/>
  <c r="AE26" i="16"/>
  <c r="AE30" i="16"/>
  <c r="AE34" i="16"/>
  <c r="AE38" i="16"/>
  <c r="AE42" i="16"/>
  <c r="AE46" i="16"/>
  <c r="AE50" i="16"/>
  <c r="AE54" i="16"/>
  <c r="AE58" i="16"/>
  <c r="AE62" i="16"/>
  <c r="AE66" i="16"/>
  <c r="AE70" i="16"/>
  <c r="AF18" i="16"/>
  <c r="AF22" i="16"/>
  <c r="AF26" i="16"/>
  <c r="AF30" i="16"/>
  <c r="AF34" i="16"/>
  <c r="AF38" i="16"/>
  <c r="AF42" i="16"/>
  <c r="AF46" i="16"/>
  <c r="AF50" i="16"/>
  <c r="AF54" i="16"/>
  <c r="AF58" i="16"/>
  <c r="AF62" i="16"/>
  <c r="AF66" i="16"/>
  <c r="AF70" i="16"/>
  <c r="AE35" i="16"/>
  <c r="AE67" i="16"/>
  <c r="AE39" i="16"/>
  <c r="AE71" i="16"/>
  <c r="AE43" i="16"/>
  <c r="AE47" i="16"/>
  <c r="AE19" i="16"/>
  <c r="AE51" i="16"/>
  <c r="AE23" i="16"/>
  <c r="AE55" i="16"/>
  <c r="AE27" i="16"/>
  <c r="AE59" i="16"/>
  <c r="AE31" i="16"/>
  <c r="AE63" i="16"/>
  <c r="D13" i="18"/>
  <c r="E13" i="18" s="1"/>
  <c r="D5" i="18"/>
  <c r="E5" i="18" s="1"/>
  <c r="J2" i="14" a="1"/>
  <c r="A37" i="7"/>
  <c r="C37" i="7"/>
  <c r="B37" i="7"/>
  <c r="B1" i="11"/>
  <c r="X36" i="7"/>
  <c r="X35" i="7"/>
  <c r="O36" i="7"/>
  <c r="O35" i="7"/>
  <c r="S35" i="7"/>
  <c r="S36" i="7"/>
  <c r="U35" i="7"/>
  <c r="U36" i="7"/>
  <c r="L35" i="7"/>
  <c r="L36" i="7"/>
  <c r="T35" i="7"/>
  <c r="T36" i="7"/>
  <c r="J35" i="7"/>
  <c r="J36" i="7"/>
  <c r="K35" i="7"/>
  <c r="K36" i="7"/>
  <c r="M35" i="7"/>
  <c r="M36" i="7"/>
  <c r="G36" i="7"/>
  <c r="G35" i="7"/>
  <c r="V36" i="7"/>
  <c r="V35" i="7"/>
  <c r="W36" i="7"/>
  <c r="W35" i="7"/>
  <c r="I36" i="7"/>
  <c r="I35" i="7"/>
  <c r="N36" i="7"/>
  <c r="N35" i="7"/>
  <c r="P36" i="7"/>
  <c r="P35" i="7"/>
  <c r="F36" i="7"/>
  <c r="F35" i="7"/>
  <c r="Q36" i="7"/>
  <c r="Q35" i="7"/>
  <c r="H36" i="7"/>
  <c r="H35" i="7"/>
  <c r="R35" i="7"/>
  <c r="R36" i="7"/>
  <c r="G21" i="12"/>
  <c r="F22" i="12"/>
  <c r="A35" i="7"/>
  <c r="A36" i="7"/>
  <c r="C35" i="7"/>
  <c r="C36" i="7"/>
  <c r="D36" i="7"/>
  <c r="D35" i="7"/>
  <c r="E35" i="7"/>
  <c r="E36" i="7"/>
  <c r="B35" i="7"/>
  <c r="B36" i="7"/>
  <c r="Z4" i="11"/>
  <c r="AA4" i="11"/>
  <c r="A29" i="5"/>
  <c r="Q14" i="7"/>
  <c r="X14" i="7"/>
  <c r="Q19" i="3"/>
  <c r="S4" i="2" s="1"/>
  <c r="Q18" i="3"/>
  <c r="V19" i="3"/>
  <c r="X4" i="2" s="1"/>
  <c r="V18" i="3"/>
  <c r="P19" i="3"/>
  <c r="R4" i="2" s="1"/>
  <c r="R3" i="2" s="1"/>
  <c r="P18" i="3"/>
  <c r="X19" i="3"/>
  <c r="Z4" i="2" s="1"/>
  <c r="Z3" i="2" s="1"/>
  <c r="X18" i="3"/>
  <c r="W18" i="3"/>
  <c r="W19" i="3"/>
  <c r="Y4" i="2" s="1"/>
  <c r="U5" i="3"/>
  <c r="Q20" i="3"/>
  <c r="T5" i="3"/>
  <c r="X20" i="3"/>
  <c r="P20" i="3"/>
  <c r="S5" i="3"/>
  <c r="W20" i="3"/>
  <c r="R5" i="3"/>
  <c r="V20" i="3"/>
  <c r="B5" i="5"/>
  <c r="A5" i="5" s="1"/>
  <c r="O23" i="3"/>
  <c r="I23" i="3"/>
  <c r="H23" i="3"/>
  <c r="G23" i="3"/>
  <c r="C23" i="3"/>
  <c r="A23" i="3"/>
  <c r="O5" i="3"/>
  <c r="O20" i="3"/>
  <c r="O22" i="3"/>
  <c r="O21" i="3"/>
  <c r="N7" i="3"/>
  <c r="N21" i="3"/>
  <c r="N22" i="3"/>
  <c r="M7" i="3"/>
  <c r="M22" i="3"/>
  <c r="M21" i="3"/>
  <c r="L7" i="3"/>
  <c r="L22" i="3"/>
  <c r="L21" i="3"/>
  <c r="K7" i="3"/>
  <c r="K22" i="3"/>
  <c r="K21" i="3"/>
  <c r="J7" i="3"/>
  <c r="J22" i="3"/>
  <c r="J21" i="3"/>
  <c r="I20" i="3"/>
  <c r="I5" i="3"/>
  <c r="I22" i="3"/>
  <c r="I21" i="3"/>
  <c r="H5" i="3"/>
  <c r="H20" i="3"/>
  <c r="H22" i="3"/>
  <c r="H21" i="3"/>
  <c r="G5" i="3"/>
  <c r="G20" i="3"/>
  <c r="G21" i="3"/>
  <c r="G22" i="3"/>
  <c r="F7" i="3"/>
  <c r="F21" i="3"/>
  <c r="F22" i="3"/>
  <c r="E7" i="3"/>
  <c r="E22" i="3"/>
  <c r="E21" i="3"/>
  <c r="D7" i="3"/>
  <c r="D22" i="3"/>
  <c r="D21" i="3"/>
  <c r="C5" i="3"/>
  <c r="C20" i="3"/>
  <c r="C21" i="3"/>
  <c r="C22" i="3"/>
  <c r="B7" i="3"/>
  <c r="B22" i="3"/>
  <c r="B21" i="3"/>
  <c r="A20" i="3"/>
  <c r="A5" i="3"/>
  <c r="A22" i="3"/>
  <c r="A21" i="3"/>
  <c r="A28" i="5"/>
  <c r="Y4" i="11"/>
  <c r="X4" i="11"/>
  <c r="A27" i="5"/>
  <c r="A26" i="5"/>
  <c r="W4" i="11"/>
  <c r="A25" i="5"/>
  <c r="V4" i="11"/>
  <c r="U4" i="11"/>
  <c r="A24" i="5"/>
  <c r="A23" i="5"/>
  <c r="T4" i="11"/>
  <c r="A22" i="5"/>
  <c r="S4" i="11"/>
  <c r="R4" i="11"/>
  <c r="A21" i="5"/>
  <c r="Q4" i="11"/>
  <c r="A20" i="5"/>
  <c r="N4" i="11"/>
  <c r="A13" i="5"/>
  <c r="K4" i="11"/>
  <c r="P4" i="11"/>
  <c r="O4" i="11"/>
  <c r="M4" i="11"/>
  <c r="A12" i="5"/>
  <c r="A18" i="5"/>
  <c r="A16" i="5"/>
  <c r="L4" i="11"/>
  <c r="A14" i="5"/>
  <c r="A19" i="5"/>
  <c r="J4" i="11"/>
  <c r="I4" i="11"/>
  <c r="A15" i="5"/>
  <c r="A17" i="5"/>
  <c r="A11" i="5"/>
  <c r="H4" i="11"/>
  <c r="A10" i="5"/>
  <c r="G4" i="11"/>
  <c r="E4" i="11"/>
  <c r="A7" i="5"/>
  <c r="F4" i="11"/>
  <c r="D4" i="11"/>
  <c r="B4" i="11"/>
  <c r="A6" i="5"/>
  <c r="A8" i="5"/>
  <c r="H38" i="28" l="1"/>
  <c r="J7" i="28"/>
  <c r="H39" i="28" s="1"/>
  <c r="C51" i="24"/>
  <c r="D51" i="24"/>
  <c r="F51" i="24" s="1"/>
  <c r="C52" i="24"/>
  <c r="D52" i="24"/>
  <c r="F52" i="24" s="1"/>
  <c r="D53" i="24"/>
  <c r="F53" i="24" s="1"/>
  <c r="C53" i="24"/>
  <c r="D54" i="24"/>
  <c r="F54" i="24" s="1"/>
  <c r="C54" i="24"/>
  <c r="C55" i="24"/>
  <c r="D55" i="24"/>
  <c r="F55" i="24" s="1"/>
  <c r="C56" i="24"/>
  <c r="D56" i="24"/>
  <c r="F56" i="24" s="1"/>
  <c r="C57" i="24"/>
  <c r="D57" i="24"/>
  <c r="F57" i="24" s="1"/>
  <c r="C58" i="24"/>
  <c r="D58" i="24"/>
  <c r="F58" i="24" s="1"/>
  <c r="C59" i="24"/>
  <c r="D59" i="24"/>
  <c r="F59" i="24" s="1"/>
  <c r="C60" i="24"/>
  <c r="D60" i="24"/>
  <c r="F60" i="24" s="1"/>
  <c r="D61" i="24"/>
  <c r="F61" i="24" s="1"/>
  <c r="C61" i="24"/>
  <c r="C62" i="24"/>
  <c r="D62" i="24"/>
  <c r="F62" i="24" s="1"/>
  <c r="C63" i="24"/>
  <c r="D63" i="24"/>
  <c r="F63" i="24" s="1"/>
  <c r="C64" i="24"/>
  <c r="D64" i="24"/>
  <c r="F64" i="24" s="1"/>
  <c r="C65" i="24"/>
  <c r="D65" i="24"/>
  <c r="F65" i="24" s="1"/>
  <c r="C66" i="24"/>
  <c r="D66" i="24"/>
  <c r="F66" i="24" s="1"/>
  <c r="C67" i="24"/>
  <c r="D67" i="24"/>
  <c r="F67" i="24" s="1"/>
  <c r="C68" i="24"/>
  <c r="D68" i="24"/>
  <c r="F68" i="24" s="1"/>
  <c r="D69" i="24"/>
  <c r="F69" i="24" s="1"/>
  <c r="C69" i="24"/>
  <c r="D70" i="24"/>
  <c r="F70" i="24" s="1"/>
  <c r="C70" i="24"/>
  <c r="C71" i="24"/>
  <c r="D71" i="24"/>
  <c r="F71" i="24" s="1"/>
  <c r="C72" i="24"/>
  <c r="D72" i="24"/>
  <c r="F72" i="24" s="1"/>
  <c r="C73" i="24"/>
  <c r="D73" i="24"/>
  <c r="F73" i="24" s="1"/>
  <c r="Q87" i="7"/>
  <c r="Q86" i="7"/>
  <c r="R87" i="7"/>
  <c r="R86" i="7"/>
  <c r="S87" i="7"/>
  <c r="S86" i="7"/>
  <c r="T86" i="7"/>
  <c r="T87" i="7"/>
  <c r="U86" i="7"/>
  <c r="U87" i="7"/>
  <c r="V87" i="7"/>
  <c r="V86" i="7"/>
  <c r="P86" i="7"/>
  <c r="P87" i="7"/>
  <c r="Y87" i="7"/>
  <c r="Y86" i="7"/>
  <c r="I39" i="28"/>
  <c r="G58" i="28" a="1"/>
  <c r="B3" i="15"/>
  <c r="D47" i="24"/>
  <c r="F47" i="24" s="1"/>
  <c r="C47" i="24"/>
  <c r="D44" i="24"/>
  <c r="F44" i="24" s="1"/>
  <c r="C44" i="24"/>
  <c r="C46" i="24"/>
  <c r="D46" i="24"/>
  <c r="F46" i="24" s="1"/>
  <c r="D48" i="24"/>
  <c r="F48" i="24" s="1"/>
  <c r="C48" i="24"/>
  <c r="K37" i="14" a="1"/>
  <c r="K37" i="14" s="1"/>
  <c r="L38" i="14" a="1"/>
  <c r="L38" i="14" s="1"/>
  <c r="M38" i="14" s="1"/>
  <c r="L36" i="14" a="1"/>
  <c r="L36" i="14" s="1"/>
  <c r="M36" i="14" s="1"/>
  <c r="K38" i="14" a="1"/>
  <c r="K38" i="14" s="1"/>
  <c r="K36" i="14" a="1"/>
  <c r="K36" i="14" s="1"/>
  <c r="L37" i="14" a="1"/>
  <c r="L37" i="14" s="1"/>
  <c r="M37" i="14" s="1"/>
  <c r="C49" i="24"/>
  <c r="D49" i="24"/>
  <c r="F49" i="24" s="1"/>
  <c r="D43" i="24"/>
  <c r="F43" i="24" s="1"/>
  <c r="C43" i="24"/>
  <c r="D42" i="24"/>
  <c r="F42" i="24" s="1"/>
  <c r="C42" i="24"/>
  <c r="C41" i="24"/>
  <c r="D41" i="24"/>
  <c r="F41" i="24" s="1"/>
  <c r="C45" i="24"/>
  <c r="D45" i="24"/>
  <c r="F45" i="24" s="1"/>
  <c r="L1" i="21"/>
  <c r="M1" i="21" s="1"/>
  <c r="N1" i="21" s="1"/>
  <c r="G29" i="20"/>
  <c r="G31" i="20"/>
  <c r="G33" i="20"/>
  <c r="G35" i="20"/>
  <c r="G37" i="20"/>
  <c r="G39" i="20"/>
  <c r="G41" i="20"/>
  <c r="G43" i="20"/>
  <c r="G45" i="20"/>
  <c r="G47" i="20"/>
  <c r="G49" i="20"/>
  <c r="G51" i="20"/>
  <c r="G53" i="20"/>
  <c r="G55" i="20"/>
  <c r="G57" i="20"/>
  <c r="G59" i="20"/>
  <c r="G63" i="20"/>
  <c r="G65" i="20"/>
  <c r="G67" i="20"/>
  <c r="G69" i="20"/>
  <c r="G71" i="20"/>
  <c r="G73" i="20"/>
  <c r="G75" i="20"/>
  <c r="G77" i="20"/>
  <c r="G79" i="20"/>
  <c r="G81" i="20"/>
  <c r="G83" i="20"/>
  <c r="G85" i="20"/>
  <c r="G87" i="20"/>
  <c r="G89" i="20"/>
  <c r="G91" i="20"/>
  <c r="G93" i="20"/>
  <c r="G95" i="20"/>
  <c r="G97" i="20"/>
  <c r="G56" i="20"/>
  <c r="G76" i="20"/>
  <c r="G80" i="20"/>
  <c r="G86" i="20"/>
  <c r="G88" i="20"/>
  <c r="G92" i="20"/>
  <c r="G96" i="20"/>
  <c r="G28" i="20"/>
  <c r="G30" i="20"/>
  <c r="G32" i="20"/>
  <c r="G34" i="20"/>
  <c r="G36" i="20"/>
  <c r="G38" i="20"/>
  <c r="G40" i="20"/>
  <c r="G42" i="20"/>
  <c r="G44" i="20"/>
  <c r="G46" i="20"/>
  <c r="G48" i="20"/>
  <c r="G50" i="20"/>
  <c r="G52" i="20"/>
  <c r="G54" i="20"/>
  <c r="G58" i="20"/>
  <c r="G62" i="20"/>
  <c r="G64" i="20"/>
  <c r="G66" i="20"/>
  <c r="G68" i="20"/>
  <c r="G70" i="20"/>
  <c r="G72" i="20"/>
  <c r="G74" i="20"/>
  <c r="G78" i="20"/>
  <c r="G82" i="20"/>
  <c r="G84" i="20"/>
  <c r="G90" i="20"/>
  <c r="G94" i="20"/>
  <c r="G61" i="20"/>
  <c r="G60" i="20"/>
  <c r="F31" i="20"/>
  <c r="F39" i="20"/>
  <c r="F47" i="20"/>
  <c r="F55" i="20"/>
  <c r="F63" i="20"/>
  <c r="F71" i="20"/>
  <c r="F79" i="20"/>
  <c r="F87" i="20"/>
  <c r="F95" i="20"/>
  <c r="F89" i="20"/>
  <c r="F36" i="20"/>
  <c r="F44" i="20"/>
  <c r="F52" i="20"/>
  <c r="F60" i="20"/>
  <c r="F68" i="20"/>
  <c r="F76" i="20"/>
  <c r="F84" i="20"/>
  <c r="F92" i="20"/>
  <c r="F33" i="20"/>
  <c r="F41" i="20"/>
  <c r="F49" i="20"/>
  <c r="F57" i="20"/>
  <c r="F65" i="20"/>
  <c r="F73" i="20"/>
  <c r="F81" i="20"/>
  <c r="F97" i="20"/>
  <c r="F30" i="20"/>
  <c r="F38" i="20"/>
  <c r="F46" i="20"/>
  <c r="F54" i="20"/>
  <c r="F62" i="20"/>
  <c r="F70" i="20"/>
  <c r="F78" i="20"/>
  <c r="F86" i="20"/>
  <c r="F94" i="20"/>
  <c r="F35" i="20"/>
  <c r="F43" i="20"/>
  <c r="F51" i="20"/>
  <c r="F59" i="20"/>
  <c r="F67" i="20"/>
  <c r="F75" i="20"/>
  <c r="F83" i="20"/>
  <c r="F91" i="20"/>
  <c r="F32" i="20"/>
  <c r="F40" i="20"/>
  <c r="F48" i="20"/>
  <c r="F56" i="20"/>
  <c r="F64" i="20"/>
  <c r="F72" i="20"/>
  <c r="F80" i="20"/>
  <c r="F88" i="20"/>
  <c r="F96" i="20"/>
  <c r="F85" i="20"/>
  <c r="F93" i="20"/>
  <c r="F29" i="20"/>
  <c r="F37" i="20"/>
  <c r="F45" i="20"/>
  <c r="F53" i="20"/>
  <c r="F61" i="20"/>
  <c r="F69" i="20"/>
  <c r="F77" i="20"/>
  <c r="F34" i="20"/>
  <c r="F42" i="20"/>
  <c r="F50" i="20"/>
  <c r="F58" i="20"/>
  <c r="F66" i="20"/>
  <c r="F74" i="20"/>
  <c r="F82" i="20"/>
  <c r="F90" i="20"/>
  <c r="F28" i="20"/>
  <c r="C28" i="20"/>
  <c r="C36" i="20"/>
  <c r="C44" i="20"/>
  <c r="C52" i="20"/>
  <c r="C60" i="20"/>
  <c r="C68" i="20"/>
  <c r="C76" i="20"/>
  <c r="C84" i="20"/>
  <c r="C92" i="20"/>
  <c r="C50" i="20"/>
  <c r="C29" i="20"/>
  <c r="C37" i="20"/>
  <c r="C45" i="20"/>
  <c r="C53" i="20"/>
  <c r="C61" i="20"/>
  <c r="C69" i="20"/>
  <c r="C77" i="20"/>
  <c r="C85" i="20"/>
  <c r="C93" i="20"/>
  <c r="C30" i="20"/>
  <c r="C38" i="20"/>
  <c r="C46" i="20"/>
  <c r="C54" i="20"/>
  <c r="C62" i="20"/>
  <c r="C70" i="20"/>
  <c r="C78" i="20"/>
  <c r="C86" i="20"/>
  <c r="C94" i="20"/>
  <c r="C59" i="20"/>
  <c r="C83" i="20"/>
  <c r="C31" i="20"/>
  <c r="C39" i="20"/>
  <c r="C47" i="20"/>
  <c r="C55" i="20"/>
  <c r="C63" i="20"/>
  <c r="C71" i="20"/>
  <c r="C79" i="20"/>
  <c r="C87" i="20"/>
  <c r="C95" i="20"/>
  <c r="C90" i="20"/>
  <c r="C35" i="20"/>
  <c r="C75" i="20"/>
  <c r="C32" i="20"/>
  <c r="C40" i="20"/>
  <c r="C48" i="20"/>
  <c r="C56" i="20"/>
  <c r="C64" i="20"/>
  <c r="C72" i="20"/>
  <c r="C80" i="20"/>
  <c r="C88" i="20"/>
  <c r="C96" i="20"/>
  <c r="C34" i="20"/>
  <c r="C66" i="20"/>
  <c r="C82" i="20"/>
  <c r="C33" i="20"/>
  <c r="C41" i="20"/>
  <c r="C49" i="20"/>
  <c r="C57" i="20"/>
  <c r="C65" i="20"/>
  <c r="C73" i="20"/>
  <c r="C81" i="20"/>
  <c r="C89" i="20"/>
  <c r="C97" i="20"/>
  <c r="C42" i="20"/>
  <c r="C58" i="20"/>
  <c r="C74" i="20"/>
  <c r="C43" i="20"/>
  <c r="C51" i="20"/>
  <c r="C67" i="20"/>
  <c r="C91" i="20"/>
  <c r="B5" i="20"/>
  <c r="B16" i="20" s="1"/>
  <c r="H69" i="7"/>
  <c r="W69" i="7"/>
  <c r="T68" i="7"/>
  <c r="O69" i="7"/>
  <c r="C68" i="7"/>
  <c r="Q68" i="7"/>
  <c r="I68" i="7"/>
  <c r="M69" i="7"/>
  <c r="C70" i="7"/>
  <c r="N69" i="7"/>
  <c r="K69" i="7"/>
  <c r="E68" i="7"/>
  <c r="C69" i="7"/>
  <c r="R69" i="7"/>
  <c r="P68" i="7"/>
  <c r="V68" i="7"/>
  <c r="J69" i="7"/>
  <c r="L69" i="7"/>
  <c r="S69" i="7"/>
  <c r="X68" i="7"/>
  <c r="F69" i="7"/>
  <c r="G69" i="7"/>
  <c r="U68" i="7"/>
  <c r="B69" i="7"/>
  <c r="A70" i="7"/>
  <c r="D70" i="7"/>
  <c r="D68" i="7"/>
  <c r="R68" i="7"/>
  <c r="Q69" i="7"/>
  <c r="P69" i="7"/>
  <c r="I69" i="7"/>
  <c r="V69" i="7"/>
  <c r="M68" i="7"/>
  <c r="J68" i="7"/>
  <c r="L68" i="7"/>
  <c r="S68" i="7"/>
  <c r="X69" i="7"/>
  <c r="A69" i="7"/>
  <c r="W68" i="7"/>
  <c r="G68" i="7"/>
  <c r="U69" i="7"/>
  <c r="O68" i="7"/>
  <c r="E70" i="7"/>
  <c r="A68" i="7"/>
  <c r="H68" i="7"/>
  <c r="N68" i="7"/>
  <c r="T69" i="7"/>
  <c r="B68" i="7"/>
  <c r="D69" i="7"/>
  <c r="F68" i="7"/>
  <c r="E69" i="7"/>
  <c r="K68" i="7"/>
  <c r="B70" i="7"/>
  <c r="D16" i="20"/>
  <c r="D27" i="20" s="1"/>
  <c r="L35" i="14" a="1"/>
  <c r="L35" i="14" s="1"/>
  <c r="M35" i="14" s="1"/>
  <c r="K35" i="14" a="1"/>
  <c r="K35" i="14" s="1"/>
  <c r="E16" i="20"/>
  <c r="E27" i="20" s="1"/>
  <c r="W14" i="7"/>
  <c r="K14" i="7"/>
  <c r="Y14" i="7"/>
  <c r="G2" i="18"/>
  <c r="L20" i="14" a="1"/>
  <c r="L20" i="14" s="1"/>
  <c r="M20" i="14" s="1"/>
  <c r="L19" i="14" a="1"/>
  <c r="L19" i="14" s="1"/>
  <c r="M19" i="14" s="1"/>
  <c r="K19" i="14" a="1"/>
  <c r="K19" i="14" s="1"/>
  <c r="L21" i="14" a="1"/>
  <c r="L21" i="14" s="1"/>
  <c r="M21" i="14" s="1"/>
  <c r="K33" i="14" a="1"/>
  <c r="K33" i="14" s="1"/>
  <c r="K32" i="14" a="1"/>
  <c r="K32" i="14" s="1"/>
  <c r="L34" i="14" a="1"/>
  <c r="L34" i="14" s="1"/>
  <c r="M34" i="14" s="1"/>
  <c r="K34" i="14" a="1"/>
  <c r="K34" i="14" s="1"/>
  <c r="L32" i="14" a="1"/>
  <c r="L32" i="14" s="1"/>
  <c r="M32" i="14" s="1"/>
  <c r="L31" i="14" a="1"/>
  <c r="L31" i="14" s="1"/>
  <c r="M31" i="14" s="1"/>
  <c r="K31" i="14" a="1"/>
  <c r="K31" i="14" s="1"/>
  <c r="L33" i="14" a="1"/>
  <c r="L33" i="14" s="1"/>
  <c r="M33" i="14" s="1"/>
  <c r="K29" i="14" a="1"/>
  <c r="K29" i="14" s="1"/>
  <c r="K28" i="14" a="1"/>
  <c r="K28" i="14" s="1"/>
  <c r="L30" i="14" a="1"/>
  <c r="L30" i="14" s="1"/>
  <c r="M30" i="14" s="1"/>
  <c r="K30" i="14" a="1"/>
  <c r="K30" i="14" s="1"/>
  <c r="K20" i="14" a="1"/>
  <c r="K20" i="14" s="1"/>
  <c r="L28" i="14" a="1"/>
  <c r="L28" i="14" s="1"/>
  <c r="M28" i="14" s="1"/>
  <c r="L27" i="14" a="1"/>
  <c r="L27" i="14" s="1"/>
  <c r="M27" i="14" s="1"/>
  <c r="K27" i="14" a="1"/>
  <c r="K27" i="14" s="1"/>
  <c r="L29" i="14" a="1"/>
  <c r="L29" i="14" s="1"/>
  <c r="M29" i="14" s="1"/>
  <c r="L22" i="14" a="1"/>
  <c r="L22" i="14" s="1"/>
  <c r="M22" i="14" s="1"/>
  <c r="K25" i="14" a="1"/>
  <c r="K25" i="14" s="1"/>
  <c r="K24" i="14" a="1"/>
  <c r="K24" i="14" s="1"/>
  <c r="L26" i="14" a="1"/>
  <c r="L26" i="14" s="1"/>
  <c r="M26" i="14" s="1"/>
  <c r="K26" i="14" a="1"/>
  <c r="K26" i="14" s="1"/>
  <c r="K21" i="14" a="1"/>
  <c r="K21" i="14" s="1"/>
  <c r="L24" i="14" a="1"/>
  <c r="L24" i="14" s="1"/>
  <c r="M24" i="14" s="1"/>
  <c r="L23" i="14" a="1"/>
  <c r="L23" i="14" s="1"/>
  <c r="M23" i="14" s="1"/>
  <c r="K23" i="14" a="1"/>
  <c r="K23" i="14" s="1"/>
  <c r="L25" i="14" a="1"/>
  <c r="L25" i="14" s="1"/>
  <c r="M25" i="14" s="1"/>
  <c r="K22" i="14" a="1"/>
  <c r="K22" i="14" s="1"/>
  <c r="L11" i="14" a="1"/>
  <c r="L11" i="14" s="1"/>
  <c r="M11" i="14" s="1"/>
  <c r="L13" i="14" a="1"/>
  <c r="L13" i="14" s="1"/>
  <c r="M13" i="14" s="1"/>
  <c r="K17" i="14" a="1"/>
  <c r="K17" i="14" s="1"/>
  <c r="L18" i="14" a="1"/>
  <c r="L18" i="14" s="1"/>
  <c r="M18" i="14" s="1"/>
  <c r="L16" i="14" a="1"/>
  <c r="L16" i="14" s="1"/>
  <c r="M16" i="14" s="1"/>
  <c r="K15" i="14" a="1"/>
  <c r="K15" i="14" s="1"/>
  <c r="K13" i="14" a="1"/>
  <c r="K13" i="14" s="1"/>
  <c r="L14" i="14" a="1"/>
  <c r="L14" i="14" s="1"/>
  <c r="M14" i="14" s="1"/>
  <c r="K14" i="14" a="1"/>
  <c r="K14" i="14" s="1"/>
  <c r="L12" i="14" a="1"/>
  <c r="L12" i="14" s="1"/>
  <c r="M12" i="14" s="1"/>
  <c r="K11" i="14" a="1"/>
  <c r="K11" i="14" s="1"/>
  <c r="K12" i="14" a="1"/>
  <c r="K12" i="14" s="1"/>
  <c r="K16" i="14" a="1"/>
  <c r="K16" i="14" s="1"/>
  <c r="K18" i="14" a="1"/>
  <c r="K18" i="14" s="1"/>
  <c r="L15" i="14" a="1"/>
  <c r="L15" i="14" s="1"/>
  <c r="M15" i="14" s="1"/>
  <c r="L17" i="14" a="1"/>
  <c r="L17" i="14" s="1"/>
  <c r="M17" i="14" s="1"/>
  <c r="J2" i="14"/>
  <c r="K4" i="14" a="1"/>
  <c r="K4" i="14" s="1"/>
  <c r="L6" i="14" a="1"/>
  <c r="L6" i="14" s="1"/>
  <c r="M6" i="14" s="1"/>
  <c r="K6" i="14" a="1"/>
  <c r="K6" i="14" s="1"/>
  <c r="L4" i="14" a="1"/>
  <c r="L4" i="14" s="1"/>
  <c r="M4" i="14" s="1"/>
  <c r="L3" i="14" a="1"/>
  <c r="L3" i="14" s="1"/>
  <c r="M3" i="14" s="1"/>
  <c r="K3" i="14" a="1"/>
  <c r="K3" i="14" s="1"/>
  <c r="L5" i="14" a="1"/>
  <c r="L5" i="14" s="1"/>
  <c r="M5" i="14" s="1"/>
  <c r="K9" i="14" a="1"/>
  <c r="K9" i="14" s="1"/>
  <c r="L8" i="14" a="1"/>
  <c r="L8" i="14" s="1"/>
  <c r="M8" i="14" s="1"/>
  <c r="K8" i="14" a="1"/>
  <c r="K8" i="14" s="1"/>
  <c r="L10" i="14" a="1"/>
  <c r="L10" i="14" s="1"/>
  <c r="M10" i="14" s="1"/>
  <c r="K10" i="14" a="1"/>
  <c r="K10" i="14" s="1"/>
  <c r="K5" i="14" a="1"/>
  <c r="K5" i="14" s="1"/>
  <c r="L7" i="14" a="1"/>
  <c r="L7" i="14" s="1"/>
  <c r="M7" i="14" s="1"/>
  <c r="K7" i="14" a="1"/>
  <c r="K7" i="14" s="1"/>
  <c r="L9" i="14" a="1"/>
  <c r="L9" i="14" s="1"/>
  <c r="M9" i="14" s="1"/>
  <c r="F23" i="12"/>
  <c r="G22" i="12"/>
  <c r="Y34" i="7"/>
  <c r="J48" i="7"/>
  <c r="J34" i="7"/>
  <c r="J14" i="7"/>
  <c r="E34" i="7"/>
  <c r="P34" i="7"/>
  <c r="U34" i="7"/>
  <c r="N34" i="7"/>
  <c r="N48" i="7"/>
  <c r="S34" i="7"/>
  <c r="C34" i="7"/>
  <c r="D34" i="7"/>
  <c r="R34" i="7"/>
  <c r="F34" i="7"/>
  <c r="F48" i="7"/>
  <c r="I14" i="7"/>
  <c r="I48" i="7"/>
  <c r="I34" i="7"/>
  <c r="W34" i="7"/>
  <c r="H48" i="7"/>
  <c r="H34" i="7"/>
  <c r="R14" i="7"/>
  <c r="G34" i="7"/>
  <c r="G48" i="7"/>
  <c r="T34" i="7"/>
  <c r="L34" i="7"/>
  <c r="L48" i="7"/>
  <c r="M48" i="7"/>
  <c r="M34" i="7"/>
  <c r="Q34" i="7"/>
  <c r="B34" i="7"/>
  <c r="X34" i="7"/>
  <c r="K48" i="7"/>
  <c r="K34" i="7"/>
  <c r="O34" i="7"/>
  <c r="O48" i="7"/>
  <c r="F14" i="7"/>
  <c r="A34" i="7"/>
  <c r="V34" i="7"/>
  <c r="V14" i="7"/>
  <c r="H14" i="7"/>
  <c r="L14" i="7"/>
  <c r="O14" i="7"/>
  <c r="P14" i="7"/>
  <c r="N14" i="7"/>
  <c r="M14" i="7"/>
  <c r="E14" i="7"/>
  <c r="G4" i="20" s="1"/>
  <c r="G12" i="20" s="1"/>
  <c r="T14" i="7"/>
  <c r="A14" i="7"/>
  <c r="S14" i="7"/>
  <c r="U14" i="7"/>
  <c r="G14" i="7"/>
  <c r="B14" i="7"/>
  <c r="D14" i="7"/>
  <c r="C14" i="7"/>
  <c r="T19" i="3"/>
  <c r="V4" i="2" s="1"/>
  <c r="T18" i="3"/>
  <c r="R19" i="3"/>
  <c r="T4" i="2" s="1"/>
  <c r="R18" i="3"/>
  <c r="U19" i="3"/>
  <c r="W4" i="2" s="1"/>
  <c r="U18" i="3"/>
  <c r="S19" i="3"/>
  <c r="U4" i="2" s="1"/>
  <c r="S18" i="3"/>
  <c r="O18" i="3"/>
  <c r="O19" i="3"/>
  <c r="Q4" i="2" s="1"/>
  <c r="Q3" i="2" s="1"/>
  <c r="N20" i="3"/>
  <c r="N5" i="3"/>
  <c r="M20" i="3"/>
  <c r="M5" i="3"/>
  <c r="L5" i="3"/>
  <c r="L20" i="3"/>
  <c r="K5" i="3"/>
  <c r="K20" i="3"/>
  <c r="J20" i="3"/>
  <c r="J5" i="3"/>
  <c r="I18" i="3"/>
  <c r="I19" i="3"/>
  <c r="K4" i="2" s="1"/>
  <c r="H18" i="3"/>
  <c r="H19" i="3"/>
  <c r="J4" i="2" s="1"/>
  <c r="G18" i="3"/>
  <c r="G19" i="3"/>
  <c r="I4" i="2" s="1"/>
  <c r="F20" i="3"/>
  <c r="F5" i="3"/>
  <c r="E20" i="3"/>
  <c r="E5" i="3"/>
  <c r="D5" i="3"/>
  <c r="D20" i="3"/>
  <c r="C18" i="3"/>
  <c r="C19" i="3"/>
  <c r="E4" i="2" s="1"/>
  <c r="B5" i="3"/>
  <c r="B20" i="3"/>
  <c r="A18" i="3"/>
  <c r="A19" i="3"/>
  <c r="C4" i="2" s="1"/>
  <c r="C3" i="2" s="1"/>
  <c r="K3" i="2"/>
  <c r="J3" i="2"/>
  <c r="I3" i="2"/>
  <c r="E3" i="2"/>
  <c r="L26" i="28" l="1"/>
  <c r="G58" i="28"/>
  <c r="K26" i="28" s="1"/>
  <c r="A28" i="7" a="1"/>
  <c r="A28" i="7" s="1"/>
  <c r="A67" i="7"/>
  <c r="A65" i="7" s="1"/>
  <c r="K28" i="7" a="1"/>
  <c r="K28" i="7" s="1"/>
  <c r="M28" i="7" a="1"/>
  <c r="M28" i="7" s="1"/>
  <c r="N28" i="7" a="1"/>
  <c r="N28" i="7" s="1"/>
  <c r="O28" i="7" a="1"/>
  <c r="O28" i="7" s="1"/>
  <c r="L28" i="7" a="1"/>
  <c r="L28" i="7" s="1"/>
  <c r="J28" i="7" a="1"/>
  <c r="J28" i="7" s="1"/>
  <c r="O1" i="21"/>
  <c r="G28" i="7" a="1"/>
  <c r="G28" i="7" s="1"/>
  <c r="I28" i="7" a="1"/>
  <c r="I28" i="7" s="1"/>
  <c r="H28" i="7" a="1"/>
  <c r="H28" i="7" s="1"/>
  <c r="G21" i="20"/>
  <c r="G19" i="20"/>
  <c r="G18" i="20"/>
  <c r="G6" i="20"/>
  <c r="G7" i="20"/>
  <c r="G10" i="20"/>
  <c r="G14" i="20"/>
  <c r="G13" i="20"/>
  <c r="G23" i="20"/>
  <c r="G11" i="20"/>
  <c r="G20" i="20"/>
  <c r="G9" i="20"/>
  <c r="G22" i="20"/>
  <c r="G25" i="20"/>
  <c r="G8" i="20"/>
  <c r="G24" i="20"/>
  <c r="G17" i="20"/>
  <c r="D4" i="20"/>
  <c r="D19" i="20" s="1"/>
  <c r="C4" i="20"/>
  <c r="F4" i="20"/>
  <c r="E4" i="20"/>
  <c r="E18" i="20" s="1"/>
  <c r="F28" i="7" a="1"/>
  <c r="F28" i="7" s="1"/>
  <c r="B4" i="20"/>
  <c r="B8" i="20" s="1"/>
  <c r="D35" i="20"/>
  <c r="D43" i="20"/>
  <c r="D51" i="20"/>
  <c r="D59" i="20"/>
  <c r="D67" i="20"/>
  <c r="D75" i="20"/>
  <c r="D83" i="20"/>
  <c r="D91" i="20"/>
  <c r="D36" i="20"/>
  <c r="D44" i="20"/>
  <c r="D52" i="20"/>
  <c r="D60" i="20"/>
  <c r="D68" i="20"/>
  <c r="D76" i="20"/>
  <c r="D84" i="20"/>
  <c r="D92" i="20"/>
  <c r="D41" i="20"/>
  <c r="D81" i="20"/>
  <c r="D34" i="20"/>
  <c r="D58" i="20"/>
  <c r="D29" i="20"/>
  <c r="D37" i="20"/>
  <c r="D45" i="20"/>
  <c r="D53" i="20"/>
  <c r="D61" i="20"/>
  <c r="D69" i="20"/>
  <c r="D77" i="20"/>
  <c r="D85" i="20"/>
  <c r="D93" i="20"/>
  <c r="D66" i="20"/>
  <c r="D30" i="20"/>
  <c r="D38" i="20"/>
  <c r="D46" i="20"/>
  <c r="D54" i="20"/>
  <c r="D62" i="20"/>
  <c r="D70" i="20"/>
  <c r="D78" i="20"/>
  <c r="D86" i="20"/>
  <c r="D94" i="20"/>
  <c r="D49" i="20"/>
  <c r="D89" i="20"/>
  <c r="D42" i="20"/>
  <c r="D74" i="20"/>
  <c r="D31" i="20"/>
  <c r="D39" i="20"/>
  <c r="D47" i="20"/>
  <c r="D55" i="20"/>
  <c r="D63" i="20"/>
  <c r="D71" i="20"/>
  <c r="D79" i="20"/>
  <c r="D87" i="20"/>
  <c r="D95" i="20"/>
  <c r="D33" i="20"/>
  <c r="D82" i="20"/>
  <c r="D90" i="20"/>
  <c r="D32" i="20"/>
  <c r="D40" i="20"/>
  <c r="D48" i="20"/>
  <c r="D56" i="20"/>
  <c r="D64" i="20"/>
  <c r="D72" i="20"/>
  <c r="D80" i="20"/>
  <c r="D88" i="20"/>
  <c r="D96" i="20"/>
  <c r="D57" i="20"/>
  <c r="D65" i="20"/>
  <c r="D73" i="20"/>
  <c r="D97" i="20"/>
  <c r="D50" i="20"/>
  <c r="E28" i="20"/>
  <c r="E34" i="20"/>
  <c r="E42" i="20"/>
  <c r="E50" i="20"/>
  <c r="E58" i="20"/>
  <c r="E66" i="20"/>
  <c r="E74" i="20"/>
  <c r="E82" i="20"/>
  <c r="E90" i="20"/>
  <c r="E35" i="20"/>
  <c r="E43" i="20"/>
  <c r="E51" i="20"/>
  <c r="E59" i="20"/>
  <c r="E67" i="20"/>
  <c r="E75" i="20"/>
  <c r="E83" i="20"/>
  <c r="E91" i="20"/>
  <c r="E56" i="20"/>
  <c r="E88" i="20"/>
  <c r="E96" i="20"/>
  <c r="E33" i="20"/>
  <c r="E49" i="20"/>
  <c r="E57" i="20"/>
  <c r="E36" i="20"/>
  <c r="E44" i="20"/>
  <c r="E52" i="20"/>
  <c r="E60" i="20"/>
  <c r="E68" i="20"/>
  <c r="E76" i="20"/>
  <c r="E84" i="20"/>
  <c r="E92" i="20"/>
  <c r="E65" i="20"/>
  <c r="E89" i="20"/>
  <c r="E29" i="20"/>
  <c r="E37" i="20"/>
  <c r="E45" i="20"/>
  <c r="E53" i="20"/>
  <c r="E61" i="20"/>
  <c r="E69" i="20"/>
  <c r="E77" i="20"/>
  <c r="E85" i="20"/>
  <c r="E93" i="20"/>
  <c r="E48" i="20"/>
  <c r="E80" i="20"/>
  <c r="E73" i="20"/>
  <c r="E30" i="20"/>
  <c r="E38" i="20"/>
  <c r="E46" i="20"/>
  <c r="E54" i="20"/>
  <c r="E62" i="20"/>
  <c r="E70" i="20"/>
  <c r="E78" i="20"/>
  <c r="E86" i="20"/>
  <c r="E94" i="20"/>
  <c r="E32" i="20"/>
  <c r="E40" i="20"/>
  <c r="E31" i="20"/>
  <c r="E39" i="20"/>
  <c r="E47" i="20"/>
  <c r="E55" i="20"/>
  <c r="E63" i="20"/>
  <c r="E71" i="20"/>
  <c r="E79" i="20"/>
  <c r="E87" i="20"/>
  <c r="E95" i="20"/>
  <c r="E64" i="20"/>
  <c r="E72" i="20"/>
  <c r="E41" i="20"/>
  <c r="E81" i="20"/>
  <c r="E97" i="20"/>
  <c r="D28" i="20"/>
  <c r="C48" i="7"/>
  <c r="I67" i="7"/>
  <c r="I65" i="7" s="1"/>
  <c r="O67" i="7"/>
  <c r="O65" i="7" s="1"/>
  <c r="G67" i="7"/>
  <c r="G65" i="7" s="1"/>
  <c r="K67" i="7"/>
  <c r="K65" i="7" s="1"/>
  <c r="M67" i="7"/>
  <c r="M65" i="7" s="1"/>
  <c r="L67" i="7"/>
  <c r="L65" i="7" s="1"/>
  <c r="H67" i="7"/>
  <c r="H65" i="7" s="1"/>
  <c r="N67" i="7"/>
  <c r="N65" i="7" s="1"/>
  <c r="D48" i="7"/>
  <c r="J67" i="7"/>
  <c r="J65" i="7" s="1"/>
  <c r="B48" i="7"/>
  <c r="Y67" i="7"/>
  <c r="E28" i="7" a="1"/>
  <c r="E28" i="7" s="1"/>
  <c r="D28" i="7" a="1"/>
  <c r="D28" i="7" s="1"/>
  <c r="C28" i="7" a="1"/>
  <c r="C28" i="7" s="1"/>
  <c r="B28" i="7" a="1"/>
  <c r="B28" i="7" s="1"/>
  <c r="F67" i="7"/>
  <c r="B27" i="20"/>
  <c r="E67" i="7"/>
  <c r="E48" i="7"/>
  <c r="A48" i="7"/>
  <c r="A47" i="7"/>
  <c r="K2" i="14" a="1"/>
  <c r="K2" i="14" s="1"/>
  <c r="L2" i="14" a="1"/>
  <c r="L2" i="14" s="1"/>
  <c r="D42" i="14"/>
  <c r="D70" i="14"/>
  <c r="C67" i="7"/>
  <c r="D67" i="7"/>
  <c r="X67" i="7"/>
  <c r="X65" i="7" s="1"/>
  <c r="X64" i="7" s="1"/>
  <c r="X47" i="7"/>
  <c r="W67" i="7"/>
  <c r="W65" i="7" s="1"/>
  <c r="W64" i="7" s="1"/>
  <c r="W47" i="7"/>
  <c r="V67" i="7"/>
  <c r="V47" i="7"/>
  <c r="U67" i="7"/>
  <c r="U47" i="7"/>
  <c r="T67" i="7"/>
  <c r="T47" i="7"/>
  <c r="S67" i="7"/>
  <c r="S47" i="7"/>
  <c r="R67" i="7"/>
  <c r="R47" i="7"/>
  <c r="Q67" i="7"/>
  <c r="Q47" i="7"/>
  <c r="P67" i="7"/>
  <c r="P47" i="7"/>
  <c r="O47" i="7"/>
  <c r="N47" i="7"/>
  <c r="M47" i="7"/>
  <c r="L47" i="7"/>
  <c r="K47" i="7"/>
  <c r="J47" i="7"/>
  <c r="H47" i="7"/>
  <c r="G47" i="7"/>
  <c r="F47" i="7"/>
  <c r="B67" i="7"/>
  <c r="F24" i="12"/>
  <c r="G24" i="12" s="1"/>
  <c r="G23" i="12"/>
  <c r="B47" i="7"/>
  <c r="I47" i="7"/>
  <c r="E47" i="7"/>
  <c r="D47" i="7"/>
  <c r="C47" i="7"/>
  <c r="N19" i="3"/>
  <c r="P4" i="2" s="1"/>
  <c r="P3" i="2" s="1"/>
  <c r="N18" i="3"/>
  <c r="M19" i="3"/>
  <c r="O4" i="2" s="1"/>
  <c r="O3" i="2" s="1"/>
  <c r="M18" i="3"/>
  <c r="L19" i="3"/>
  <c r="N4" i="2" s="1"/>
  <c r="N3" i="2" s="1"/>
  <c r="L18" i="3"/>
  <c r="K18" i="3"/>
  <c r="K19" i="3"/>
  <c r="M4" i="2" s="1"/>
  <c r="M3" i="2" s="1"/>
  <c r="J19" i="3"/>
  <c r="L4" i="2" s="1"/>
  <c r="L3" i="2" s="1"/>
  <c r="J18" i="3"/>
  <c r="F19" i="3"/>
  <c r="H4" i="2" s="1"/>
  <c r="F18" i="3"/>
  <c r="E19" i="3"/>
  <c r="G4" i="2" s="1"/>
  <c r="E18" i="3"/>
  <c r="D18" i="3"/>
  <c r="D19" i="3"/>
  <c r="F4" i="2" s="1"/>
  <c r="B18" i="3"/>
  <c r="B19" i="3"/>
  <c r="D4" i="2" s="1"/>
  <c r="H3" i="2"/>
  <c r="D3" i="2"/>
  <c r="G3" i="2"/>
  <c r="F3" i="2"/>
  <c r="D2" i="14" l="1"/>
  <c r="E2" i="14" s="1"/>
  <c r="D30" i="14"/>
  <c r="E30" i="14" s="1"/>
  <c r="A87" i="7"/>
  <c r="D44" i="14"/>
  <c r="D4" i="14"/>
  <c r="E4" i="14" s="1"/>
  <c r="P1" i="21"/>
  <c r="E3" i="21" s="1"/>
  <c r="E4" i="21" s="1"/>
  <c r="O87" i="7"/>
  <c r="N87" i="7"/>
  <c r="M87" i="7"/>
  <c r="L87" i="7"/>
  <c r="K87" i="7"/>
  <c r="J87" i="7"/>
  <c r="I87" i="7"/>
  <c r="H87" i="7"/>
  <c r="G87" i="7"/>
  <c r="D18" i="20"/>
  <c r="B10" i="20"/>
  <c r="B9" i="20"/>
  <c r="E19" i="20"/>
  <c r="E17" i="20"/>
  <c r="D17" i="20"/>
  <c r="E13" i="20"/>
  <c r="E25" i="20"/>
  <c r="E14" i="20"/>
  <c r="E20" i="20"/>
  <c r="E10" i="20"/>
  <c r="E22" i="20"/>
  <c r="E11" i="20"/>
  <c r="E21" i="20"/>
  <c r="E7" i="20"/>
  <c r="E8" i="20"/>
  <c r="E6" i="20"/>
  <c r="E9" i="20"/>
  <c r="E23" i="20"/>
  <c r="E12" i="20"/>
  <c r="E24" i="20"/>
  <c r="F24" i="20"/>
  <c r="F17" i="20"/>
  <c r="F25" i="20"/>
  <c r="F21" i="20"/>
  <c r="F14" i="20"/>
  <c r="F18" i="20"/>
  <c r="F20" i="20"/>
  <c r="F10" i="20"/>
  <c r="F23" i="20"/>
  <c r="F13" i="20"/>
  <c r="F11" i="20"/>
  <c r="F9" i="20"/>
  <c r="F8" i="20"/>
  <c r="F12" i="20"/>
  <c r="F19" i="20"/>
  <c r="F7" i="20"/>
  <c r="F6" i="20"/>
  <c r="F22" i="20"/>
  <c r="B6" i="20"/>
  <c r="C14" i="20"/>
  <c r="C21" i="20"/>
  <c r="C7" i="20"/>
  <c r="C22" i="20"/>
  <c r="C8" i="20"/>
  <c r="C23" i="20"/>
  <c r="C9" i="20"/>
  <c r="C24" i="20"/>
  <c r="C12" i="20"/>
  <c r="C25" i="20"/>
  <c r="C17" i="20"/>
  <c r="C10" i="20"/>
  <c r="C18" i="20"/>
  <c r="C13" i="20"/>
  <c r="C19" i="20"/>
  <c r="C6" i="20"/>
  <c r="C11" i="20"/>
  <c r="C20" i="20"/>
  <c r="D7" i="20"/>
  <c r="D24" i="20"/>
  <c r="D8" i="20"/>
  <c r="D25" i="20"/>
  <c r="D9" i="20"/>
  <c r="D20" i="20"/>
  <c r="D12" i="20"/>
  <c r="D23" i="20"/>
  <c r="D10" i="20"/>
  <c r="D21" i="20"/>
  <c r="D6" i="20"/>
  <c r="D11" i="20"/>
  <c r="D22" i="20"/>
  <c r="D13" i="20"/>
  <c r="D14" i="20"/>
  <c r="B24" i="20"/>
  <c r="B13" i="20"/>
  <c r="B7" i="20"/>
  <c r="B20" i="20"/>
  <c r="B23" i="20"/>
  <c r="B19" i="20"/>
  <c r="B17" i="20"/>
  <c r="B22" i="20"/>
  <c r="B12" i="20"/>
  <c r="B21" i="20"/>
  <c r="B11" i="20"/>
  <c r="B25" i="20"/>
  <c r="B14" i="20"/>
  <c r="B18" i="20"/>
  <c r="B28" i="20"/>
  <c r="B29" i="20"/>
  <c r="B37" i="20"/>
  <c r="B45" i="20"/>
  <c r="B53" i="20"/>
  <c r="B61" i="20"/>
  <c r="B69" i="20"/>
  <c r="B77" i="20"/>
  <c r="B85" i="20"/>
  <c r="B93" i="20"/>
  <c r="B51" i="20"/>
  <c r="B59" i="20"/>
  <c r="B83" i="20"/>
  <c r="B30" i="20"/>
  <c r="B38" i="20"/>
  <c r="B46" i="20"/>
  <c r="B54" i="20"/>
  <c r="B62" i="20"/>
  <c r="B70" i="20"/>
  <c r="B78" i="20"/>
  <c r="B86" i="20"/>
  <c r="B94" i="20"/>
  <c r="B35" i="20"/>
  <c r="B75" i="20"/>
  <c r="B60" i="20"/>
  <c r="B31" i="20"/>
  <c r="B39" i="20"/>
  <c r="B47" i="20"/>
  <c r="B55" i="20"/>
  <c r="B63" i="20"/>
  <c r="B71" i="20"/>
  <c r="B79" i="20"/>
  <c r="B87" i="20"/>
  <c r="B95" i="20"/>
  <c r="B68" i="20"/>
  <c r="B92" i="20"/>
  <c r="B32" i="20"/>
  <c r="B40" i="20"/>
  <c r="B48" i="20"/>
  <c r="B56" i="20"/>
  <c r="B64" i="20"/>
  <c r="B72" i="20"/>
  <c r="B80" i="20"/>
  <c r="B88" i="20"/>
  <c r="B96" i="20"/>
  <c r="B36" i="20"/>
  <c r="B33" i="20"/>
  <c r="B41" i="20"/>
  <c r="B49" i="20"/>
  <c r="B57" i="20"/>
  <c r="B65" i="20"/>
  <c r="B73" i="20"/>
  <c r="B81" i="20"/>
  <c r="B89" i="20"/>
  <c r="B97" i="20"/>
  <c r="B43" i="20"/>
  <c r="B76" i="20"/>
  <c r="B34" i="20"/>
  <c r="B42" i="20"/>
  <c r="B50" i="20"/>
  <c r="B58" i="20"/>
  <c r="B66" i="20"/>
  <c r="B74" i="20"/>
  <c r="B82" i="20"/>
  <c r="B90" i="20"/>
  <c r="B67" i="20"/>
  <c r="B91" i="20"/>
  <c r="B44" i="20"/>
  <c r="B52" i="20"/>
  <c r="B84" i="20"/>
  <c r="P65" i="7"/>
  <c r="P64" i="7" s="1"/>
  <c r="B65" i="7"/>
  <c r="B87" i="7" s="1"/>
  <c r="E65" i="7"/>
  <c r="E87" i="7" s="1"/>
  <c r="F65" i="7"/>
  <c r="R65" i="7"/>
  <c r="R64" i="7" s="1"/>
  <c r="V65" i="7"/>
  <c r="V64" i="7" s="1"/>
  <c r="S65" i="7"/>
  <c r="S64" i="7" s="1"/>
  <c r="C65" i="7"/>
  <c r="C87" i="7" s="1"/>
  <c r="T65" i="7"/>
  <c r="T64" i="7" s="1"/>
  <c r="D65" i="7"/>
  <c r="D87" i="7" s="1"/>
  <c r="Q65" i="7"/>
  <c r="Q64" i="7" s="1"/>
  <c r="U65" i="7"/>
  <c r="U64" i="7" s="1"/>
  <c r="C2" i="19" a="1"/>
  <c r="C2" i="19" s="1"/>
  <c r="D7" i="14"/>
  <c r="E7" i="14" s="1"/>
  <c r="M2" i="14"/>
  <c r="G5" i="14" s="1"/>
  <c r="B5" i="15" s="1"/>
  <c r="B4" i="15" s="1"/>
  <c r="G8" i="14"/>
  <c r="B2" i="19" a="1"/>
  <c r="D9" i="14"/>
  <c r="E9" i="14" s="1"/>
  <c r="D21" i="14"/>
  <c r="E21" i="14" s="1"/>
  <c r="D27" i="14"/>
  <c r="E27" i="14" s="1"/>
  <c r="D57" i="14"/>
  <c r="D40" i="14"/>
  <c r="D69" i="14"/>
  <c r="D35" i="14"/>
  <c r="E35" i="14" s="1"/>
  <c r="D63" i="14"/>
  <c r="D6" i="14"/>
  <c r="E6" i="14" s="1"/>
  <c r="D25" i="14"/>
  <c r="E25" i="14" s="1"/>
  <c r="D15" i="14"/>
  <c r="E15" i="14" s="1"/>
  <c r="D59" i="14"/>
  <c r="D49" i="14"/>
  <c r="D67" i="14"/>
  <c r="D36" i="14"/>
  <c r="E36" i="14" s="1"/>
  <c r="D52" i="14"/>
  <c r="D64" i="14"/>
  <c r="D71" i="14"/>
  <c r="D14" i="14"/>
  <c r="E14" i="14" s="1"/>
  <c r="D33" i="14"/>
  <c r="E33" i="14" s="1"/>
  <c r="D3" i="14"/>
  <c r="E3" i="14" s="1"/>
  <c r="D50" i="14"/>
  <c r="D34" i="14"/>
  <c r="E34" i="14" s="1"/>
  <c r="D20" i="14"/>
  <c r="E20" i="14" s="1"/>
  <c r="D60" i="14"/>
  <c r="D19" i="14"/>
  <c r="E19" i="14" s="1"/>
  <c r="D11" i="14"/>
  <c r="E11" i="14" s="1"/>
  <c r="D28" i="14"/>
  <c r="E28" i="14" s="1"/>
  <c r="D12" i="14"/>
  <c r="E12" i="14" s="1"/>
  <c r="D43" i="14"/>
  <c r="D51" i="14"/>
  <c r="D39" i="14"/>
  <c r="D41" i="14"/>
  <c r="D38" i="14"/>
  <c r="D37" i="14"/>
  <c r="E37" i="14" s="1"/>
  <c r="D53" i="14"/>
  <c r="D18" i="14"/>
  <c r="E18" i="14" s="1"/>
  <c r="D10" i="14"/>
  <c r="E10" i="14" s="1"/>
  <c r="D16" i="14"/>
  <c r="E16" i="14" s="1"/>
  <c r="D68" i="14"/>
  <c r="D62" i="14"/>
  <c r="D55" i="14"/>
  <c r="D47" i="14"/>
  <c r="D26" i="14"/>
  <c r="E26" i="14" s="1"/>
  <c r="D54" i="14"/>
  <c r="D46" i="14"/>
  <c r="D45" i="14"/>
  <c r="D61" i="14"/>
  <c r="D23" i="14"/>
  <c r="E23" i="14" s="1"/>
  <c r="D66" i="14"/>
  <c r="D56" i="14"/>
  <c r="D58" i="14"/>
  <c r="D65" i="14"/>
  <c r="D48" i="14"/>
  <c r="D32" i="14"/>
  <c r="E32" i="14" s="1"/>
  <c r="D29" i="14"/>
  <c r="E29" i="14" s="1"/>
  <c r="D17" i="14"/>
  <c r="E17" i="14" s="1"/>
  <c r="D31" i="14"/>
  <c r="E31" i="14" s="1"/>
  <c r="D22" i="14"/>
  <c r="E22" i="14" s="1"/>
  <c r="D8" i="14"/>
  <c r="E8" i="14" s="1"/>
  <c r="D5" i="14"/>
  <c r="E5" i="14" s="1"/>
  <c r="D24" i="14"/>
  <c r="E24" i="14" s="1"/>
  <c r="D13" i="14"/>
  <c r="E13" i="14" s="1"/>
  <c r="F25" i="12"/>
  <c r="G17" i="3"/>
  <c r="B5" i="2" a="1"/>
  <c r="A9" i="2" s="1"/>
  <c r="C3" i="21" l="1"/>
  <c r="C4" i="21" s="1"/>
  <c r="Z3" i="21"/>
  <c r="Z4" i="21" s="1"/>
  <c r="S3" i="21"/>
  <c r="S4" i="21" s="1"/>
  <c r="U3" i="21"/>
  <c r="U4" i="21" s="1"/>
  <c r="T3" i="21"/>
  <c r="T4" i="21" s="1"/>
  <c r="B3" i="21"/>
  <c r="B4" i="21" s="1"/>
  <c r="Y3" i="21"/>
  <c r="Y4" i="21" s="1"/>
  <c r="H3" i="21"/>
  <c r="H4" i="21" s="1"/>
  <c r="G3" i="21"/>
  <c r="G4" i="21" s="1"/>
  <c r="L3" i="21"/>
  <c r="L4" i="21" s="1"/>
  <c r="M3" i="21"/>
  <c r="M4" i="21" s="1"/>
  <c r="I3" i="21"/>
  <c r="I4" i="21" s="1"/>
  <c r="O3" i="21"/>
  <c r="O4" i="21" s="1"/>
  <c r="K3" i="21"/>
  <c r="K4" i="21" s="1"/>
  <c r="P3" i="21"/>
  <c r="P4" i="21" s="1"/>
  <c r="F3" i="21"/>
  <c r="F4" i="21" s="1"/>
  <c r="W3" i="21"/>
  <c r="W4" i="21" s="1"/>
  <c r="N3" i="21"/>
  <c r="N4" i="21" s="1"/>
  <c r="D3" i="21"/>
  <c r="D4" i="21" s="1"/>
  <c r="X3" i="21"/>
  <c r="X4" i="21" s="1"/>
  <c r="J3" i="21"/>
  <c r="J4" i="21" s="1"/>
  <c r="V3" i="21"/>
  <c r="V4" i="21" s="1"/>
  <c r="R3" i="21"/>
  <c r="R4" i="21" s="1"/>
  <c r="Q3" i="21"/>
  <c r="Q4" i="21" s="1"/>
  <c r="A15" i="2"/>
  <c r="A23" i="2"/>
  <c r="A16" i="2"/>
  <c r="A24" i="2"/>
  <c r="A17" i="2"/>
  <c r="A25" i="2"/>
  <c r="A18" i="2"/>
  <c r="A26" i="2"/>
  <c r="A14" i="2"/>
  <c r="A19" i="2"/>
  <c r="A27" i="2"/>
  <c r="A20" i="2"/>
  <c r="A28" i="2"/>
  <c r="A21" i="2"/>
  <c r="A22" i="2"/>
  <c r="A6" i="26"/>
  <c r="B6" i="26" s="1"/>
  <c r="A14" i="26"/>
  <c r="B14" i="26" s="1"/>
  <c r="A22" i="26"/>
  <c r="B22" i="26" s="1"/>
  <c r="A7" i="26"/>
  <c r="B7" i="26" s="1"/>
  <c r="A15" i="26"/>
  <c r="B15" i="26" s="1"/>
  <c r="A23" i="26"/>
  <c r="B23" i="26" s="1"/>
  <c r="A8" i="26"/>
  <c r="B8" i="26" s="1"/>
  <c r="A16" i="26"/>
  <c r="B16" i="26" s="1"/>
  <c r="A24" i="26"/>
  <c r="B24" i="26" s="1"/>
  <c r="A18" i="26"/>
  <c r="B18" i="26" s="1"/>
  <c r="A9" i="26"/>
  <c r="B9" i="26" s="1"/>
  <c r="A17" i="26"/>
  <c r="B17" i="26" s="1"/>
  <c r="A25" i="26"/>
  <c r="B25" i="26" s="1"/>
  <c r="A10" i="26"/>
  <c r="B10" i="26" s="1"/>
  <c r="A27" i="26"/>
  <c r="B27" i="26" s="1"/>
  <c r="A12" i="26"/>
  <c r="B12" i="26" s="1"/>
  <c r="A20" i="26"/>
  <c r="B20" i="26" s="1"/>
  <c r="A28" i="26"/>
  <c r="B28" i="26" s="1"/>
  <c r="A19" i="26"/>
  <c r="B19" i="26" s="1"/>
  <c r="A13" i="26"/>
  <c r="B13" i="26" s="1"/>
  <c r="A21" i="26"/>
  <c r="B21" i="26" s="1"/>
  <c r="A29" i="26"/>
  <c r="B29" i="26" s="1"/>
  <c r="A26" i="26"/>
  <c r="B26" i="26" s="1"/>
  <c r="A11" i="26"/>
  <c r="B11" i="26" s="1"/>
  <c r="F87" i="7"/>
  <c r="M84" i="7" s="1"/>
  <c r="A86" i="7" s="1"/>
  <c r="B2" i="19"/>
  <c r="A5" i="26" s="1"/>
  <c r="B5" i="26" s="1"/>
  <c r="G2" i="14"/>
  <c r="C5" i="15" s="1"/>
  <c r="D5" i="15" s="1"/>
  <c r="F26" i="12"/>
  <c r="G25" i="12"/>
  <c r="B5" i="2"/>
  <c r="A12" i="2"/>
  <c r="A6" i="2"/>
  <c r="A7" i="2"/>
  <c r="A13" i="2"/>
  <c r="A8" i="2"/>
  <c r="A11" i="2"/>
  <c r="A10" i="2"/>
  <c r="A5" i="2"/>
  <c r="F29" i="5"/>
  <c r="U10" i="5"/>
  <c r="H19" i="5"/>
  <c r="F18" i="5"/>
  <c r="V17" i="5"/>
  <c r="Z27" i="5"/>
  <c r="V5" i="5"/>
  <c r="J8" i="5"/>
  <c r="O29" i="5"/>
  <c r="E29" i="5"/>
  <c r="T21" i="5"/>
  <c r="W5" i="11" a="1"/>
  <c r="M18" i="5"/>
  <c r="H15" i="5"/>
  <c r="AA27" i="5"/>
  <c r="F8" i="5"/>
  <c r="X27" i="5"/>
  <c r="O6" i="5"/>
  <c r="W25" i="5"/>
  <c r="F28" i="5"/>
  <c r="AA6" i="5"/>
  <c r="Y19" i="5"/>
  <c r="N26" i="5"/>
  <c r="Q16" i="5"/>
  <c r="Q14" i="5"/>
  <c r="AA5" i="11" a="1"/>
  <c r="U6" i="5"/>
  <c r="L16" i="5"/>
  <c r="E15" i="5"/>
  <c r="R17" i="5"/>
  <c r="R28" i="5"/>
  <c r="I16" i="5"/>
  <c r="W6" i="5"/>
  <c r="C10" i="5"/>
  <c r="N7" i="5"/>
  <c r="X8" i="5"/>
  <c r="R8" i="5"/>
  <c r="H26" i="5"/>
  <c r="C25" i="5"/>
  <c r="D26" i="5"/>
  <c r="L8" i="2"/>
  <c r="Q27" i="5"/>
  <c r="S11" i="5"/>
  <c r="I22" i="5"/>
  <c r="F16" i="5"/>
  <c r="C5" i="5"/>
  <c r="O25" i="5"/>
  <c r="Z5" i="11" a="1"/>
  <c r="G17" i="5"/>
  <c r="Q15" i="5"/>
  <c r="K22" i="5"/>
  <c r="U16" i="5"/>
  <c r="W7" i="5"/>
  <c r="S25" i="5"/>
  <c r="R21" i="5"/>
  <c r="L20" i="5"/>
  <c r="W29" i="5"/>
  <c r="X11" i="5"/>
  <c r="B6" i="11" a="1"/>
  <c r="K1" i="11" s="1"/>
  <c r="Q17" i="5"/>
  <c r="W14" i="5"/>
  <c r="Y5" i="11" a="1"/>
  <c r="P14" i="5"/>
  <c r="J28" i="5"/>
  <c r="V15" i="5"/>
  <c r="Q20" i="5"/>
  <c r="H10" i="5"/>
  <c r="AA10" i="5"/>
  <c r="X13" i="5"/>
  <c r="D6" i="5"/>
  <c r="I6" i="5"/>
  <c r="D7" i="5"/>
  <c r="F21" i="5"/>
  <c r="Q13" i="5"/>
  <c r="C8" i="2"/>
  <c r="E20" i="5"/>
  <c r="F14" i="5"/>
  <c r="N12" i="5"/>
  <c r="H5" i="11" a="1"/>
  <c r="O11" i="5"/>
  <c r="C29" i="5"/>
  <c r="Q22" i="5"/>
  <c r="F26" i="5"/>
  <c r="T29" i="5"/>
  <c r="E21" i="5"/>
  <c r="G7" i="5"/>
  <c r="O5" i="5"/>
  <c r="N14" i="5"/>
  <c r="W24" i="5"/>
  <c r="L11" i="5"/>
  <c r="F5" i="11" a="1"/>
  <c r="P6" i="5"/>
  <c r="N20" i="5"/>
  <c r="K8" i="5"/>
  <c r="Z23" i="5"/>
  <c r="D25" i="5"/>
  <c r="AA21" i="5"/>
  <c r="AA23" i="5"/>
  <c r="E28" i="5"/>
  <c r="T18" i="5"/>
  <c r="V10" i="5"/>
  <c r="R29" i="5"/>
  <c r="P24" i="5"/>
  <c r="H8" i="5"/>
  <c r="K17" i="5"/>
  <c r="W18" i="5"/>
  <c r="V27" i="5"/>
  <c r="W23" i="5"/>
  <c r="U19" i="5"/>
  <c r="G13" i="5"/>
  <c r="M26" i="5"/>
  <c r="O16" i="5"/>
  <c r="X7" i="5"/>
  <c r="G19" i="5"/>
  <c r="AA12" i="5"/>
  <c r="G20" i="5"/>
  <c r="E24" i="5"/>
  <c r="H5" i="5"/>
  <c r="J14" i="5"/>
  <c r="V29" i="5"/>
  <c r="E10" i="5"/>
  <c r="Q18" i="5"/>
  <c r="R14" i="5"/>
  <c r="N29" i="5"/>
  <c r="G15" i="5"/>
  <c r="S27" i="5"/>
  <c r="O22" i="5"/>
  <c r="O13" i="5"/>
  <c r="T6" i="5"/>
  <c r="U28" i="5"/>
  <c r="S16" i="5"/>
  <c r="T23" i="5"/>
  <c r="W19" i="5"/>
  <c r="W22" i="5"/>
  <c r="AA11" i="5"/>
  <c r="E5" i="11" a="1"/>
  <c r="K24" i="5"/>
  <c r="L17" i="5"/>
  <c r="O17" i="5"/>
  <c r="R5" i="11" a="1"/>
  <c r="M22" i="5"/>
  <c r="C28" i="5"/>
  <c r="C8" i="5"/>
  <c r="K26" i="5"/>
  <c r="Z26" i="5"/>
  <c r="O12" i="5"/>
  <c r="I13" i="5"/>
  <c r="G12" i="5"/>
  <c r="T17" i="5"/>
  <c r="P20" i="5"/>
  <c r="X26" i="5"/>
  <c r="K5" i="11" a="1"/>
  <c r="N5" i="5"/>
  <c r="C7" i="5"/>
  <c r="Z20" i="5"/>
  <c r="U12" i="5"/>
  <c r="G21" i="5"/>
  <c r="C12" i="5"/>
  <c r="H25" i="5"/>
  <c r="O24" i="5"/>
  <c r="V8" i="5"/>
  <c r="M11" i="5"/>
  <c r="T27" i="5"/>
  <c r="Z21" i="5"/>
  <c r="M12" i="5"/>
  <c r="F25" i="5"/>
  <c r="U23" i="5"/>
  <c r="F17" i="5"/>
  <c r="AA25" i="5"/>
  <c r="X5" i="5"/>
  <c r="Q26" i="5"/>
  <c r="R23" i="5"/>
  <c r="P10" i="5"/>
  <c r="T20" i="5"/>
  <c r="J12" i="5"/>
  <c r="T15" i="5"/>
  <c r="Q7" i="5"/>
  <c r="P18" i="5"/>
  <c r="N8" i="5"/>
  <c r="P11" i="5"/>
  <c r="L24" i="5"/>
  <c r="Q11" i="5"/>
  <c r="C11" i="5"/>
  <c r="G5" i="5"/>
  <c r="T28" i="5"/>
  <c r="H12" i="5"/>
  <c r="J17" i="5"/>
  <c r="K6" i="5"/>
  <c r="P21" i="5"/>
  <c r="W5" i="5"/>
  <c r="D16" i="5"/>
  <c r="X29" i="5"/>
  <c r="X21" i="5"/>
  <c r="N22" i="5"/>
  <c r="G8" i="5"/>
  <c r="R6" i="5"/>
  <c r="S18" i="5"/>
  <c r="D10" i="5"/>
  <c r="Y29" i="5"/>
  <c r="I7" i="5"/>
  <c r="J24" i="5"/>
  <c r="V5" i="11" a="1"/>
  <c r="K20" i="5"/>
  <c r="J18" i="5"/>
  <c r="U17" i="5"/>
  <c r="O15" i="5"/>
  <c r="AA26" i="5"/>
  <c r="D22" i="5"/>
  <c r="U26" i="5"/>
  <c r="Q12" i="5"/>
  <c r="Y18" i="5"/>
  <c r="R16" i="5"/>
  <c r="K28" i="5"/>
  <c r="S14" i="5"/>
  <c r="R25" i="5"/>
  <c r="T5" i="5"/>
  <c r="R27" i="5"/>
  <c r="N11" i="5"/>
  <c r="P28" i="5"/>
  <c r="S23" i="5"/>
  <c r="M6" i="5"/>
  <c r="N15" i="5"/>
  <c r="Y15" i="5"/>
  <c r="C15" i="5"/>
  <c r="V20" i="5"/>
  <c r="R24" i="5"/>
  <c r="P25" i="5"/>
  <c r="Q28" i="5"/>
  <c r="T5" i="11" a="1"/>
  <c r="N28" i="5"/>
  <c r="E11" i="5"/>
  <c r="D5" i="11" a="1"/>
  <c r="L21" i="5"/>
  <c r="F27" i="5"/>
  <c r="C23" i="5"/>
  <c r="H16" i="5"/>
  <c r="L29" i="5"/>
  <c r="G10" i="5"/>
  <c r="D14" i="5"/>
  <c r="T25" i="5"/>
  <c r="T14" i="5"/>
  <c r="V13" i="5"/>
  <c r="D13" i="5"/>
  <c r="L13" i="5"/>
  <c r="N21" i="5"/>
  <c r="Z25" i="5"/>
  <c r="C22" i="5"/>
  <c r="H7" i="5"/>
  <c r="U20" i="5"/>
  <c r="N17" i="5"/>
  <c r="K23" i="5"/>
  <c r="M19" i="5"/>
  <c r="W13" i="5"/>
  <c r="R11" i="5"/>
  <c r="X19" i="5"/>
  <c r="X10" i="5"/>
  <c r="Z14" i="5"/>
  <c r="D8" i="5"/>
  <c r="Y8" i="5"/>
  <c r="C26" i="5"/>
  <c r="H21" i="5"/>
  <c r="O27" i="5"/>
  <c r="AA28" i="5"/>
  <c r="I14" i="5"/>
  <c r="I20" i="5"/>
  <c r="F8" i="2"/>
  <c r="P13" i="5"/>
  <c r="M17" i="5"/>
  <c r="T12" i="5"/>
  <c r="N8" i="2"/>
  <c r="R13" i="5"/>
  <c r="T10" i="5"/>
  <c r="S28" i="5"/>
  <c r="L5" i="5"/>
  <c r="G18" i="5"/>
  <c r="R20" i="5"/>
  <c r="AA15" i="5"/>
  <c r="S29" i="5"/>
  <c r="O20" i="5"/>
  <c r="W21" i="5"/>
  <c r="N18" i="5"/>
  <c r="Y26" i="5"/>
  <c r="G16" i="5"/>
  <c r="C14" i="5"/>
  <c r="V6" i="5"/>
  <c r="T22" i="5"/>
  <c r="D23" i="5"/>
  <c r="Z11" i="5"/>
  <c r="V24" i="5"/>
  <c r="AA17" i="5"/>
  <c r="Z17" i="5"/>
  <c r="E26" i="5"/>
  <c r="Z19" i="5"/>
  <c r="J20" i="5"/>
  <c r="U5" i="11" a="1"/>
  <c r="Z22" i="5"/>
  <c r="W27" i="5"/>
  <c r="R19" i="5"/>
  <c r="U8" i="5"/>
  <c r="E18" i="5"/>
  <c r="AA16" i="5"/>
  <c r="R15" i="5"/>
  <c r="W10" i="5"/>
  <c r="K18" i="5"/>
  <c r="W15" i="5"/>
  <c r="J27" i="5"/>
  <c r="Y17" i="5"/>
  <c r="X8" i="2"/>
  <c r="E27" i="5"/>
  <c r="J5" i="5"/>
  <c r="E25" i="5"/>
  <c r="I10" i="5"/>
  <c r="P23" i="5"/>
  <c r="P27" i="5"/>
  <c r="K13" i="5"/>
  <c r="Z10" i="5"/>
  <c r="M23" i="5"/>
  <c r="D28" i="5"/>
  <c r="E6" i="5"/>
  <c r="S7" i="5"/>
  <c r="K5" i="5"/>
  <c r="Y7" i="5"/>
  <c r="I15" i="5"/>
  <c r="AA8" i="5"/>
  <c r="M28" i="5"/>
  <c r="C5" i="11" a="1"/>
  <c r="L10" i="5"/>
  <c r="S10" i="5"/>
  <c r="N16" i="5"/>
  <c r="X23" i="5"/>
  <c r="Z12" i="5"/>
  <c r="S26" i="5"/>
  <c r="V11" i="5"/>
  <c r="U8" i="2"/>
  <c r="W20" i="5"/>
  <c r="G8" i="2"/>
  <c r="J11" i="5"/>
  <c r="E22" i="5"/>
  <c r="R7" i="5"/>
  <c r="M15" i="5"/>
  <c r="X22" i="5"/>
  <c r="E23" i="5"/>
  <c r="U5" i="5"/>
  <c r="O19" i="5"/>
  <c r="F20" i="5"/>
  <c r="AA24" i="5"/>
  <c r="I18" i="5"/>
  <c r="R18" i="5"/>
  <c r="Q21" i="5"/>
  <c r="D24" i="5"/>
  <c r="O26" i="5"/>
  <c r="C18" i="5"/>
  <c r="L27" i="5"/>
  <c r="T13" i="5"/>
  <c r="S21" i="5"/>
  <c r="N10" i="5"/>
  <c r="E5" i="5"/>
  <c r="W12" i="5"/>
  <c r="T26" i="5"/>
  <c r="Z28" i="5"/>
  <c r="K29" i="5"/>
  <c r="S24" i="5"/>
  <c r="M27" i="5"/>
  <c r="J7" i="5"/>
  <c r="I29" i="5"/>
  <c r="P7" i="5"/>
  <c r="X24" i="5"/>
  <c r="P5" i="5"/>
  <c r="N13" i="5"/>
  <c r="M24" i="5"/>
  <c r="K15" i="5"/>
  <c r="Y25" i="5"/>
  <c r="AA20" i="5"/>
  <c r="AA19" i="5"/>
  <c r="L23" i="5"/>
  <c r="C6" i="5"/>
  <c r="Z6" i="5"/>
  <c r="I19" i="5"/>
  <c r="D20" i="5"/>
  <c r="I5" i="5"/>
  <c r="E16" i="5"/>
  <c r="T19" i="5"/>
  <c r="E14" i="5"/>
  <c r="M8" i="5"/>
  <c r="R5" i="5"/>
  <c r="U14" i="5"/>
  <c r="P22" i="5"/>
  <c r="Q23" i="5"/>
  <c r="H6" i="5"/>
  <c r="X15" i="5"/>
  <c r="Q5" i="5"/>
  <c r="N23" i="5"/>
  <c r="W28" i="5"/>
  <c r="AA5" i="5"/>
  <c r="P26" i="5"/>
  <c r="X25" i="5"/>
  <c r="H13" i="5"/>
  <c r="X12" i="5"/>
  <c r="L22" i="5"/>
  <c r="Z18" i="5"/>
  <c r="P12" i="5"/>
  <c r="V23" i="5"/>
  <c r="D17" i="5"/>
  <c r="J23" i="5"/>
  <c r="M29" i="5"/>
  <c r="N19" i="5"/>
  <c r="I27" i="5"/>
  <c r="E19" i="5"/>
  <c r="Q19" i="5"/>
  <c r="D15" i="5"/>
  <c r="Z15" i="5"/>
  <c r="T8" i="5"/>
  <c r="I17" i="5"/>
  <c r="T16" i="5"/>
  <c r="P8" i="2"/>
  <c r="M7" i="5"/>
  <c r="J25" i="5"/>
  <c r="X5" i="11" a="1"/>
  <c r="S6" i="5"/>
  <c r="H24" i="5"/>
  <c r="C17" i="5"/>
  <c r="J5" i="11" a="1"/>
  <c r="O8" i="2"/>
  <c r="J6" i="5"/>
  <c r="K12" i="5"/>
  <c r="Y13" i="5"/>
  <c r="N6" i="5"/>
  <c r="K21" i="5"/>
  <c r="G23" i="5"/>
  <c r="AA29" i="5"/>
  <c r="H14" i="5"/>
  <c r="Y12" i="5"/>
  <c r="V28" i="5"/>
  <c r="M20" i="5"/>
  <c r="K25" i="5"/>
  <c r="P15" i="5"/>
  <c r="E7" i="5"/>
  <c r="X16" i="5"/>
  <c r="AA22" i="5"/>
  <c r="F24" i="5"/>
  <c r="F15" i="5"/>
  <c r="S5" i="11" a="1"/>
  <c r="V12" i="5"/>
  <c r="C19" i="5"/>
  <c r="W26" i="5"/>
  <c r="M25" i="5"/>
  <c r="W8" i="5"/>
  <c r="D8" i="2"/>
  <c r="G22" i="5"/>
  <c r="K7" i="5"/>
  <c r="Z13" i="5"/>
  <c r="C24" i="5"/>
  <c r="O10" i="5"/>
  <c r="L14" i="5"/>
  <c r="P8" i="5"/>
  <c r="Y10" i="5"/>
  <c r="Z24" i="5"/>
  <c r="C13" i="5"/>
  <c r="J15" i="5"/>
  <c r="L6" i="5"/>
  <c r="K8" i="2"/>
  <c r="Y23" i="5"/>
  <c r="U7" i="5"/>
  <c r="G28" i="5"/>
  <c r="U22" i="5"/>
  <c r="J29" i="5"/>
  <c r="I24" i="5"/>
  <c r="N24" i="5"/>
  <c r="O7" i="5"/>
  <c r="V19" i="5"/>
  <c r="F6" i="5"/>
  <c r="Z8" i="5"/>
  <c r="AA18" i="5"/>
  <c r="M10" i="5"/>
  <c r="D11" i="5"/>
  <c r="Q24" i="5"/>
  <c r="I5" i="11" a="1"/>
  <c r="F23" i="5"/>
  <c r="O5" i="11" a="1"/>
  <c r="F13" i="5"/>
  <c r="S20" i="5"/>
  <c r="H27" i="5"/>
  <c r="H23" i="5"/>
  <c r="P29" i="5"/>
  <c r="G27" i="5"/>
  <c r="O14" i="5"/>
  <c r="P17" i="5"/>
  <c r="X14" i="5"/>
  <c r="L7" i="5"/>
  <c r="R12" i="5"/>
  <c r="Q6" i="5"/>
  <c r="J13" i="5"/>
  <c r="I11" i="5"/>
  <c r="U29" i="5"/>
  <c r="Q25" i="5"/>
  <c r="U21" i="5"/>
  <c r="I23" i="5"/>
  <c r="H29" i="5"/>
  <c r="T11" i="5"/>
  <c r="M13" i="5"/>
  <c r="W8" i="2"/>
  <c r="Q29" i="5"/>
  <c r="C21" i="5"/>
  <c r="F12" i="5"/>
  <c r="F11" i="5"/>
  <c r="T7" i="5"/>
  <c r="Q5" i="11" a="1"/>
  <c r="G14" i="5"/>
  <c r="R22" i="5"/>
  <c r="Z5" i="5"/>
  <c r="I25" i="5"/>
  <c r="E8" i="5"/>
  <c r="I8" i="2"/>
  <c r="H17" i="5"/>
  <c r="W17" i="5"/>
  <c r="L26" i="5"/>
  <c r="E12" i="5"/>
  <c r="V16" i="5"/>
  <c r="G25" i="5"/>
  <c r="AA13" i="5"/>
  <c r="AA14" i="5"/>
  <c r="M5" i="11" a="1"/>
  <c r="E13" i="5"/>
  <c r="S8" i="5"/>
  <c r="F22" i="5"/>
  <c r="X28" i="5"/>
  <c r="S19" i="5"/>
  <c r="Y21" i="5"/>
  <c r="H20" i="5"/>
  <c r="U24" i="5"/>
  <c r="J10" i="5"/>
  <c r="V14" i="5"/>
  <c r="D12" i="5"/>
  <c r="O23" i="5"/>
  <c r="G29" i="5"/>
  <c r="R26" i="5"/>
  <c r="I21" i="5"/>
  <c r="D29" i="5"/>
  <c r="M8" i="2"/>
  <c r="J26" i="5"/>
  <c r="X17" i="5"/>
  <c r="H18" i="5"/>
  <c r="D5" i="5"/>
  <c r="L8" i="5"/>
  <c r="Y28" i="5"/>
  <c r="Z16" i="5"/>
  <c r="G24" i="5"/>
  <c r="N25" i="5"/>
  <c r="K10" i="5"/>
  <c r="Y27" i="5"/>
  <c r="Y20" i="5"/>
  <c r="I26" i="5"/>
  <c r="F7" i="5"/>
  <c r="L25" i="5"/>
  <c r="U11" i="5"/>
  <c r="U18" i="5"/>
  <c r="Y14" i="5"/>
  <c r="P5" i="11" a="1"/>
  <c r="X18" i="5"/>
  <c r="C16" i="5"/>
  <c r="Q10" i="5"/>
  <c r="L28" i="5"/>
  <c r="U13" i="5"/>
  <c r="Y5" i="5"/>
  <c r="J22" i="5"/>
  <c r="Y16" i="5"/>
  <c r="Z29" i="5"/>
  <c r="Z8" i="2"/>
  <c r="I28" i="5"/>
  <c r="Y8" i="2"/>
  <c r="D27" i="5"/>
  <c r="H11" i="5"/>
  <c r="D19" i="5"/>
  <c r="X6" i="5"/>
  <c r="D18" i="5"/>
  <c r="U25" i="5"/>
  <c r="O28" i="5"/>
  <c r="K14" i="5"/>
  <c r="J21" i="5"/>
  <c r="U15" i="5"/>
  <c r="N27" i="5"/>
  <c r="D21" i="5"/>
  <c r="W11" i="5"/>
  <c r="V18" i="5"/>
  <c r="Z7" i="5"/>
  <c r="S15" i="5"/>
  <c r="E17" i="5"/>
  <c r="S5" i="5"/>
  <c r="AA7" i="5"/>
  <c r="I8" i="5"/>
  <c r="M21" i="5"/>
  <c r="S8" i="2"/>
  <c r="S17" i="5"/>
  <c r="V21" i="5"/>
  <c r="K19" i="5"/>
  <c r="S12" i="5"/>
  <c r="L19" i="5"/>
  <c r="M5" i="5"/>
  <c r="K11" i="5"/>
  <c r="I12" i="5"/>
  <c r="V7" i="5"/>
  <c r="C20" i="5"/>
  <c r="G6" i="5"/>
  <c r="T24" i="5"/>
  <c r="J19" i="5"/>
  <c r="V26" i="5"/>
  <c r="Y11" i="5"/>
  <c r="P16" i="5"/>
  <c r="R10" i="5"/>
  <c r="W16" i="5"/>
  <c r="J8" i="2"/>
  <c r="L15" i="5"/>
  <c r="F19" i="5"/>
  <c r="Q8" i="5"/>
  <c r="O8" i="5"/>
  <c r="U27" i="5"/>
  <c r="K16" i="5"/>
  <c r="O18" i="5"/>
  <c r="Q8" i="2"/>
  <c r="S13" i="5"/>
  <c r="H22" i="5"/>
  <c r="F10" i="5"/>
  <c r="Y22" i="5"/>
  <c r="L18" i="5"/>
  <c r="K27" i="5"/>
  <c r="Y6" i="5"/>
  <c r="J16" i="5"/>
  <c r="V25" i="5"/>
  <c r="O21" i="5"/>
  <c r="V22" i="5"/>
  <c r="H28" i="5"/>
  <c r="L12" i="5"/>
  <c r="G11" i="5"/>
  <c r="Y24" i="5"/>
  <c r="X20" i="5"/>
  <c r="G26" i="5"/>
  <c r="S22" i="5"/>
  <c r="M16" i="5"/>
  <c r="P19" i="5"/>
  <c r="M14" i="5"/>
  <c r="F5" i="5"/>
  <c r="C27" i="5"/>
  <c r="L5" i="11" l="1" a="1"/>
  <c r="L5" i="11" s="1"/>
  <c r="G9" i="7"/>
  <c r="E8" i="2"/>
  <c r="H8" i="2"/>
  <c r="AN12" i="28"/>
  <c r="AO11" i="28"/>
  <c r="AN11" i="28"/>
  <c r="AG13" i="27"/>
  <c r="AO12" i="28"/>
  <c r="AO13" i="28"/>
  <c r="AN13" i="28"/>
  <c r="AO14" i="28"/>
  <c r="AH14" i="27"/>
  <c r="AH12" i="27"/>
  <c r="AH13" i="27"/>
  <c r="AG12" i="27"/>
  <c r="R8" i="2"/>
  <c r="T8" i="2"/>
  <c r="V8" i="2"/>
  <c r="AO10" i="28"/>
  <c r="K2" i="11"/>
  <c r="AO9" i="28"/>
  <c r="AO8" i="28"/>
  <c r="AO4" i="28"/>
  <c r="AR7" i="28"/>
  <c r="F1" i="28" s="1"/>
  <c r="AQ4" i="28"/>
  <c r="AR4" i="28" s="1"/>
  <c r="AO6" i="28"/>
  <c r="AO7" i="28"/>
  <c r="AO5" i="28"/>
  <c r="AK7" i="27"/>
  <c r="E1" i="27" s="1"/>
  <c r="AH11" i="27"/>
  <c r="AH10" i="27"/>
  <c r="AH5" i="27"/>
  <c r="AH9" i="27"/>
  <c r="AH7" i="27"/>
  <c r="AH8" i="27"/>
  <c r="AH6" i="27"/>
  <c r="AH4" i="27"/>
  <c r="AJ4" i="27"/>
  <c r="AK4" i="27" s="1"/>
  <c r="P5" i="11"/>
  <c r="S5" i="11"/>
  <c r="R5" i="11"/>
  <c r="I5" i="11"/>
  <c r="E5" i="11"/>
  <c r="AP11" i="28" s="1"/>
  <c r="K5" i="11"/>
  <c r="AA5" i="11"/>
  <c r="Z5" i="11"/>
  <c r="M5" i="11"/>
  <c r="U5" i="11"/>
  <c r="T5" i="11"/>
  <c r="X5" i="11"/>
  <c r="D5" i="11"/>
  <c r="W5" i="11"/>
  <c r="Q5" i="11"/>
  <c r="V5" i="11"/>
  <c r="F1" i="5"/>
  <c r="T62" i="7"/>
  <c r="C6" i="15"/>
  <c r="B6" i="11"/>
  <c r="V61" i="7"/>
  <c r="T61" i="7"/>
  <c r="H5" i="11"/>
  <c r="F5" i="11"/>
  <c r="J5" i="11"/>
  <c r="O5" i="11"/>
  <c r="C5" i="11"/>
  <c r="Y5" i="11"/>
  <c r="O7" i="21"/>
  <c r="AE11" i="16"/>
  <c r="AE10" i="16"/>
  <c r="AE9" i="16"/>
  <c r="C3" i="26"/>
  <c r="I2" i="26" s="1"/>
  <c r="F2" i="26"/>
  <c r="E2" i="26"/>
  <c r="C2" i="26" s="1"/>
  <c r="E1" i="26"/>
  <c r="C1" i="26" s="1"/>
  <c r="F1" i="26"/>
  <c r="E20" i="26"/>
  <c r="E25" i="26"/>
  <c r="F25" i="26" s="1"/>
  <c r="H25" i="26" s="1"/>
  <c r="E22" i="26"/>
  <c r="F27" i="12"/>
  <c r="G27" i="12" s="1"/>
  <c r="G26" i="12"/>
  <c r="N5" i="11" a="1"/>
  <c r="B5" i="11" a="1"/>
  <c r="G5" i="11" a="1"/>
  <c r="AN5" i="28" l="1"/>
  <c r="AN6" i="28"/>
  <c r="AI12" i="27"/>
  <c r="AP12" i="28"/>
  <c r="AN10" i="28"/>
  <c r="AG14" i="27"/>
  <c r="AN14" i="28"/>
  <c r="AI13" i="27"/>
  <c r="AP13" i="28"/>
  <c r="N26" i="28"/>
  <c r="M26" i="28"/>
  <c r="AG4" i="27"/>
  <c r="AE2" i="16"/>
  <c r="AN4" i="28"/>
  <c r="O1" i="5"/>
  <c r="F3" i="7"/>
  <c r="A4" i="7" s="1"/>
  <c r="G5" i="11"/>
  <c r="AN8" i="28"/>
  <c r="AN9" i="28"/>
  <c r="AE6" i="16"/>
  <c r="AG8" i="27"/>
  <c r="AG5" i="27"/>
  <c r="AN7" i="28"/>
  <c r="E37" i="28" a="1"/>
  <c r="D4" i="28" a="1"/>
  <c r="D33" i="27" a="1"/>
  <c r="D33" i="27" s="1"/>
  <c r="AE5" i="16"/>
  <c r="AG7" i="27"/>
  <c r="AE4" i="16"/>
  <c r="AG6" i="27"/>
  <c r="B5" i="11"/>
  <c r="AG11" i="27"/>
  <c r="AG9" i="27"/>
  <c r="AG10" i="27"/>
  <c r="AE3" i="16"/>
  <c r="AF16" i="16"/>
  <c r="AE7" i="16"/>
  <c r="AE8" i="16"/>
  <c r="N5" i="11"/>
  <c r="AE15" i="16"/>
  <c r="AF15" i="16"/>
  <c r="AF13" i="16"/>
  <c r="AE14" i="16"/>
  <c r="AE13" i="16"/>
  <c r="AF9" i="16"/>
  <c r="AF4" i="16"/>
  <c r="AE12" i="16"/>
  <c r="AE16" i="16"/>
  <c r="AF8" i="16"/>
  <c r="AF11" i="16"/>
  <c r="AF14" i="16"/>
  <c r="AF10" i="16"/>
  <c r="B11" i="11"/>
  <c r="AE17" i="16"/>
  <c r="M61" i="7"/>
  <c r="E18" i="15"/>
  <c r="F18" i="15" s="1"/>
  <c r="G18" i="15" s="1"/>
  <c r="H18" i="15" s="1"/>
  <c r="E19" i="15"/>
  <c r="F19" i="15" s="1"/>
  <c r="G19" i="15" s="1"/>
  <c r="H19" i="15" s="1"/>
  <c r="E21" i="15"/>
  <c r="F21" i="15" s="1"/>
  <c r="G21" i="15" s="1"/>
  <c r="H21" i="15" s="1"/>
  <c r="E20" i="15"/>
  <c r="F20" i="15" s="1"/>
  <c r="G20" i="15" s="1"/>
  <c r="H20" i="15" s="1"/>
  <c r="E17" i="15"/>
  <c r="F17" i="15" s="1"/>
  <c r="G17" i="15" s="1"/>
  <c r="H17" i="15" s="1"/>
  <c r="AF17" i="16"/>
  <c r="O8" i="21"/>
  <c r="O80" i="21"/>
  <c r="N8" i="21"/>
  <c r="E12" i="26"/>
  <c r="F12" i="26" s="1"/>
  <c r="H12" i="26" s="1"/>
  <c r="C5" i="26" a="1"/>
  <c r="E7" i="26"/>
  <c r="F7" i="26" s="1"/>
  <c r="H7" i="26" s="1"/>
  <c r="E8" i="26"/>
  <c r="F8" i="26" s="1"/>
  <c r="H8" i="26" s="1"/>
  <c r="E16" i="26"/>
  <c r="F16" i="26" s="1"/>
  <c r="H16" i="26" s="1"/>
  <c r="E27" i="26"/>
  <c r="F27" i="26" s="1"/>
  <c r="H27" i="26" s="1"/>
  <c r="E21" i="26"/>
  <c r="E18" i="26"/>
  <c r="F18" i="26" s="1"/>
  <c r="H18" i="26" s="1"/>
  <c r="F22" i="26"/>
  <c r="H22" i="26" s="1"/>
  <c r="E28" i="26"/>
  <c r="F28" i="26" s="1"/>
  <c r="H28" i="26" s="1"/>
  <c r="F20" i="26"/>
  <c r="H20" i="26" s="1"/>
  <c r="E26" i="26"/>
  <c r="F26" i="26" s="1"/>
  <c r="H26" i="26" s="1"/>
  <c r="F21" i="26"/>
  <c r="H21" i="26" s="1"/>
  <c r="E17" i="26"/>
  <c r="F17" i="26" s="1"/>
  <c r="H17" i="26" s="1"/>
  <c r="E11" i="26"/>
  <c r="F11" i="26" s="1"/>
  <c r="H11" i="26" s="1"/>
  <c r="E29" i="26"/>
  <c r="F29" i="26" s="1"/>
  <c r="H29" i="26" s="1"/>
  <c r="E15" i="26"/>
  <c r="F15" i="26" s="1"/>
  <c r="H15" i="26" s="1"/>
  <c r="E10" i="26"/>
  <c r="F10" i="26" s="1"/>
  <c r="H10" i="26" s="1"/>
  <c r="E23" i="26"/>
  <c r="F23" i="26" s="1"/>
  <c r="H23" i="26" s="1"/>
  <c r="E24" i="26"/>
  <c r="F24" i="26" s="1"/>
  <c r="H24" i="26" s="1"/>
  <c r="E9" i="26"/>
  <c r="F9" i="26" s="1"/>
  <c r="H9" i="26" s="1"/>
  <c r="E6" i="26"/>
  <c r="F6" i="26" s="1"/>
  <c r="H6" i="26" s="1"/>
  <c r="E13" i="26"/>
  <c r="F13" i="26" s="1"/>
  <c r="H13" i="26" s="1"/>
  <c r="E19" i="26"/>
  <c r="F19" i="26" s="1"/>
  <c r="H19" i="26" s="1"/>
  <c r="I3" i="26"/>
  <c r="E14" i="26"/>
  <c r="F14" i="26" s="1"/>
  <c r="H14" i="26" s="1"/>
  <c r="E5" i="26"/>
  <c r="F5" i="26" s="1"/>
  <c r="H5" i="26" s="1"/>
  <c r="N86" i="7"/>
  <c r="O86" i="7"/>
  <c r="L86" i="7"/>
  <c r="M86" i="7"/>
  <c r="J86" i="7"/>
  <c r="K86" i="7"/>
  <c r="H86" i="7"/>
  <c r="I86" i="7"/>
  <c r="F86" i="7"/>
  <c r="G86" i="7"/>
  <c r="B86" i="7"/>
  <c r="C86" i="7"/>
  <c r="D86" i="7"/>
  <c r="E86" i="7"/>
  <c r="F28" i="12"/>
  <c r="G28" i="12" s="1"/>
  <c r="E6" i="2"/>
  <c r="X15" i="2"/>
  <c r="C11" i="2"/>
  <c r="Z17" i="2"/>
  <c r="X12" i="2"/>
  <c r="S21" i="2"/>
  <c r="T21" i="2"/>
  <c r="O7" i="2"/>
  <c r="D17" i="2"/>
  <c r="J27" i="2"/>
  <c r="C27" i="2"/>
  <c r="L11" i="2"/>
  <c r="Q28" i="2"/>
  <c r="E7" i="2"/>
  <c r="M5" i="2"/>
  <c r="S5" i="2"/>
  <c r="Y9" i="2"/>
  <c r="V7" i="2"/>
  <c r="N18" i="2"/>
  <c r="Q19" i="2"/>
  <c r="J24" i="2"/>
  <c r="Z6" i="2"/>
  <c r="Z14" i="2"/>
  <c r="E9" i="2"/>
  <c r="U24" i="2"/>
  <c r="C19" i="2"/>
  <c r="X21" i="2"/>
  <c r="E5" i="2"/>
  <c r="C18" i="2"/>
  <c r="M13" i="2"/>
  <c r="X6" i="2"/>
  <c r="J28" i="2"/>
  <c r="V25" i="2"/>
  <c r="Y5" i="2"/>
  <c r="G9" i="2"/>
  <c r="L20" i="2"/>
  <c r="S17" i="2"/>
  <c r="K20" i="2"/>
  <c r="G27" i="2"/>
  <c r="Q12" i="2"/>
  <c r="E17" i="2"/>
  <c r="I20" i="2"/>
  <c r="K6" i="2"/>
  <c r="D5" i="2"/>
  <c r="T16" i="2"/>
  <c r="X10" i="2"/>
  <c r="H20" i="2"/>
  <c r="W5" i="2"/>
  <c r="S23" i="2"/>
  <c r="C16" i="2"/>
  <c r="X25" i="2"/>
  <c r="Q23" i="2"/>
  <c r="X18" i="2"/>
  <c r="K21" i="2"/>
  <c r="C6" i="2"/>
  <c r="R21" i="2"/>
  <c r="T28" i="2"/>
  <c r="H14" i="2"/>
  <c r="G17" i="2"/>
  <c r="C24" i="2"/>
  <c r="V26" i="2"/>
  <c r="T22" i="2"/>
  <c r="U7" i="2"/>
  <c r="Z9" i="2"/>
  <c r="Y15" i="2"/>
  <c r="Y25" i="2"/>
  <c r="J19" i="2"/>
  <c r="S9" i="2"/>
  <c r="Z13" i="2"/>
  <c r="Q21" i="2"/>
  <c r="N11" i="2"/>
  <c r="W28" i="2"/>
  <c r="E19" i="2"/>
  <c r="E24" i="2"/>
  <c r="G15" i="2"/>
  <c r="N15" i="2"/>
  <c r="E22" i="2"/>
  <c r="G21" i="2"/>
  <c r="Z19" i="2"/>
  <c r="U27" i="2"/>
  <c r="P24" i="2"/>
  <c r="K17" i="2"/>
  <c r="X20" i="2"/>
  <c r="G12" i="2"/>
  <c r="O24" i="2"/>
  <c r="H23" i="2"/>
  <c r="X28" i="2"/>
  <c r="J9" i="2"/>
  <c r="X9" i="2"/>
  <c r="Q10" i="2"/>
  <c r="U15" i="2"/>
  <c r="J6" i="2"/>
  <c r="P14" i="2"/>
  <c r="Y11" i="2"/>
  <c r="U26" i="2"/>
  <c r="R28" i="2"/>
  <c r="F9" i="2"/>
  <c r="T25" i="2"/>
  <c r="S14" i="2"/>
  <c r="F27" i="2"/>
  <c r="I11" i="2"/>
  <c r="C21" i="2"/>
  <c r="E18" i="2"/>
  <c r="I9" i="2"/>
  <c r="P15" i="2"/>
  <c r="Q25" i="2"/>
  <c r="N12" i="2"/>
  <c r="U14" i="2"/>
  <c r="J7" i="2"/>
  <c r="H21" i="2"/>
  <c r="W15" i="2"/>
  <c r="H24" i="2"/>
  <c r="J18" i="2"/>
  <c r="W18" i="2"/>
  <c r="N20" i="2"/>
  <c r="K12" i="2"/>
  <c r="J12" i="2"/>
  <c r="D14" i="2"/>
  <c r="C5" i="2"/>
  <c r="T13" i="2"/>
  <c r="I5" i="2"/>
  <c r="W21" i="2"/>
  <c r="C12" i="2"/>
  <c r="H28" i="2"/>
  <c r="V6" i="2"/>
  <c r="Z7" i="2"/>
  <c r="T23" i="2"/>
  <c r="J16" i="2"/>
  <c r="L14" i="2"/>
  <c r="K13" i="2"/>
  <c r="Q24" i="2"/>
  <c r="P18" i="2"/>
  <c r="J14" i="2"/>
  <c r="J22" i="2"/>
  <c r="I24" i="2"/>
  <c r="X27" i="2"/>
  <c r="M21" i="2"/>
  <c r="V11" i="2"/>
  <c r="J21" i="2"/>
  <c r="N16" i="2"/>
  <c r="U25" i="2"/>
  <c r="X5" i="2"/>
  <c r="M23" i="2"/>
  <c r="S16" i="2"/>
  <c r="Z20" i="2"/>
  <c r="L26" i="2"/>
  <c r="Z25" i="2"/>
  <c r="F28" i="2"/>
  <c r="W17" i="2"/>
  <c r="R22" i="2"/>
  <c r="Y18" i="2"/>
  <c r="C22" i="2"/>
  <c r="R25" i="2"/>
  <c r="D27" i="2"/>
  <c r="D12" i="2"/>
  <c r="S22" i="2"/>
  <c r="T10" i="2"/>
  <c r="V17" i="2"/>
  <c r="M25" i="2"/>
  <c r="D10" i="2"/>
  <c r="Y21" i="2"/>
  <c r="Y17" i="2"/>
  <c r="I21" i="2"/>
  <c r="Y6" i="2"/>
  <c r="E20" i="2"/>
  <c r="W12" i="2"/>
  <c r="R16" i="2"/>
  <c r="U23" i="2"/>
  <c r="Y22" i="2"/>
  <c r="H7" i="2"/>
  <c r="Z27" i="2"/>
  <c r="W22" i="2"/>
  <c r="N5" i="2"/>
  <c r="S27" i="2"/>
  <c r="R11" i="2"/>
  <c r="Q7" i="2"/>
  <c r="T14" i="2"/>
  <c r="T27" i="2"/>
  <c r="Q15" i="2"/>
  <c r="C13" i="2"/>
  <c r="E16" i="2"/>
  <c r="P25" i="2"/>
  <c r="X19" i="2"/>
  <c r="T5" i="2"/>
  <c r="H27" i="2"/>
  <c r="X22" i="2"/>
  <c r="F24" i="2"/>
  <c r="Q16" i="2"/>
  <c r="P13" i="2"/>
  <c r="O16" i="2"/>
  <c r="S7" i="2"/>
  <c r="C20" i="2"/>
  <c r="F6" i="2"/>
  <c r="L5" i="2"/>
  <c r="M15" i="2"/>
  <c r="F16" i="2"/>
  <c r="L9" i="2"/>
  <c r="T7" i="2"/>
  <c r="H18" i="2"/>
  <c r="O22" i="2"/>
  <c r="I12" i="2"/>
  <c r="F18" i="2"/>
  <c r="P21" i="2"/>
  <c r="Q26" i="2"/>
  <c r="W16" i="2"/>
  <c r="Z22" i="2"/>
  <c r="V10" i="2"/>
  <c r="J5" i="2"/>
  <c r="C9" i="2"/>
  <c r="O18" i="2"/>
  <c r="M22" i="2"/>
  <c r="P26" i="2"/>
  <c r="G10" i="2"/>
  <c r="X16" i="2"/>
  <c r="P7" i="2"/>
  <c r="H25" i="2"/>
  <c r="C14" i="2"/>
  <c r="S13" i="2"/>
  <c r="T6" i="2"/>
  <c r="K16" i="2"/>
  <c r="I18" i="2"/>
  <c r="I19" i="2"/>
  <c r="M20" i="2"/>
  <c r="F11" i="2"/>
  <c r="V23" i="2"/>
  <c r="O9" i="2"/>
  <c r="V24" i="2"/>
  <c r="M11" i="2"/>
  <c r="I22" i="2"/>
  <c r="C28" i="2"/>
  <c r="J11" i="2"/>
  <c r="K24" i="2"/>
  <c r="F15" i="2"/>
  <c r="R14" i="2"/>
  <c r="W20" i="2"/>
  <c r="C26" i="2"/>
  <c r="O11" i="2"/>
  <c r="G23" i="2"/>
  <c r="F19" i="2"/>
  <c r="K22" i="2"/>
  <c r="P19" i="2"/>
  <c r="P9" i="2"/>
  <c r="G22" i="2"/>
  <c r="S25" i="2"/>
  <c r="U28" i="2"/>
  <c r="Y27" i="2"/>
  <c r="L16" i="2"/>
  <c r="E26" i="2"/>
  <c r="I17" i="2"/>
  <c r="H6" i="2"/>
  <c r="N23" i="2"/>
  <c r="F5" i="2"/>
  <c r="R13" i="2"/>
  <c r="D23" i="2"/>
  <c r="Q27" i="2"/>
  <c r="D13" i="2"/>
  <c r="Y23" i="2"/>
  <c r="V27" i="2"/>
  <c r="T11" i="2"/>
  <c r="G5" i="2"/>
  <c r="M10" i="2"/>
  <c r="R26" i="2"/>
  <c r="Q9" i="2"/>
  <c r="N21" i="2"/>
  <c r="P6" i="2"/>
  <c r="I27" i="2"/>
  <c r="V22" i="2"/>
  <c r="L13" i="2"/>
  <c r="N17" i="2"/>
  <c r="D24" i="2"/>
  <c r="C10" i="2"/>
  <c r="K10" i="2"/>
  <c r="V28" i="2"/>
  <c r="T19" i="2"/>
  <c r="T20" i="2"/>
  <c r="J20" i="2"/>
  <c r="Z12" i="2"/>
  <c r="U6" i="2"/>
  <c r="F26" i="2"/>
  <c r="J17" i="2"/>
  <c r="D18" i="2"/>
  <c r="V15" i="2"/>
  <c r="X17" i="2"/>
  <c r="L17" i="2"/>
  <c r="X23" i="2"/>
  <c r="O12" i="2"/>
  <c r="P23" i="2"/>
  <c r="Y24" i="2"/>
  <c r="H9" i="2"/>
  <c r="H11" i="2"/>
  <c r="O13" i="2"/>
  <c r="L28" i="2"/>
  <c r="U20" i="2"/>
  <c r="W24" i="2"/>
  <c r="E14" i="2"/>
  <c r="V5" i="2"/>
  <c r="H17" i="2"/>
  <c r="Y7" i="2"/>
  <c r="Y26" i="2"/>
  <c r="U13" i="2"/>
  <c r="R12" i="2"/>
  <c r="Y12" i="2"/>
  <c r="W13" i="2"/>
  <c r="J10" i="2"/>
  <c r="G19" i="2"/>
  <c r="Z28" i="2"/>
  <c r="G13" i="2"/>
  <c r="P10" i="2"/>
  <c r="W10" i="2"/>
  <c r="F25" i="2"/>
  <c r="T15" i="2"/>
  <c r="W26" i="2"/>
  <c r="U9" i="2"/>
  <c r="E25" i="2"/>
  <c r="S6" i="2"/>
  <c r="Z23" i="2"/>
  <c r="R19" i="2"/>
  <c r="U12" i="2"/>
  <c r="G7" i="2"/>
  <c r="E27" i="2"/>
  <c r="P28" i="2"/>
  <c r="D16" i="2"/>
  <c r="Y20" i="2"/>
  <c r="J13" i="2"/>
  <c r="N24" i="2"/>
  <c r="N25" i="2"/>
  <c r="K9" i="2"/>
  <c r="Q22" i="2"/>
  <c r="M26" i="2"/>
  <c r="W19" i="2"/>
  <c r="Q14" i="2"/>
  <c r="Q20" i="2"/>
  <c r="R10" i="2"/>
  <c r="R5" i="2"/>
  <c r="Z26" i="2"/>
  <c r="Y13" i="2"/>
  <c r="D9" i="2"/>
  <c r="Z18" i="2"/>
  <c r="W7" i="2"/>
  <c r="O26" i="2"/>
  <c r="X7" i="2"/>
  <c r="I26" i="2"/>
  <c r="H13" i="2"/>
  <c r="N14" i="2"/>
  <c r="N10" i="2"/>
  <c r="V13" i="2"/>
  <c r="U10" i="2"/>
  <c r="P27" i="2"/>
  <c r="Z15" i="2"/>
  <c r="H15" i="2"/>
  <c r="T24" i="2"/>
  <c r="P16" i="2"/>
  <c r="Z16" i="2"/>
  <c r="I16" i="2"/>
  <c r="Y10" i="2"/>
  <c r="N26" i="2"/>
  <c r="F17" i="2"/>
  <c r="E23" i="2"/>
  <c r="S11" i="2"/>
  <c r="O28" i="2"/>
  <c r="E15" i="2"/>
  <c r="D21" i="2"/>
  <c r="U16" i="2"/>
  <c r="O27" i="2"/>
  <c r="D7" i="2"/>
  <c r="U5" i="2"/>
  <c r="C15" i="2"/>
  <c r="L27" i="2"/>
  <c r="D28" i="2"/>
  <c r="R20" i="2"/>
  <c r="Z5" i="2"/>
  <c r="M28" i="2"/>
  <c r="F23" i="2"/>
  <c r="P20" i="2"/>
  <c r="U17" i="2"/>
  <c r="U18" i="2"/>
  <c r="G16" i="2"/>
  <c r="I10" i="2"/>
  <c r="V21" i="2"/>
  <c r="R27" i="2"/>
  <c r="F10" i="2"/>
  <c r="Y19" i="2"/>
  <c r="V12" i="2"/>
  <c r="M6" i="2"/>
  <c r="I28" i="2"/>
  <c r="K28" i="2"/>
  <c r="M24" i="2"/>
  <c r="K19" i="2"/>
  <c r="N22" i="2"/>
  <c r="C25" i="2"/>
  <c r="H12" i="2"/>
  <c r="R24" i="2"/>
  <c r="M7" i="2"/>
  <c r="K26" i="2"/>
  <c r="P11" i="2"/>
  <c r="F14" i="2"/>
  <c r="X26" i="2"/>
  <c r="W25" i="2"/>
  <c r="O17" i="2"/>
  <c r="Z21" i="2"/>
  <c r="D15" i="2"/>
  <c r="I23" i="2"/>
  <c r="K23" i="2"/>
  <c r="Y14" i="2"/>
  <c r="H10" i="2"/>
  <c r="L10" i="2"/>
  <c r="O23" i="2"/>
  <c r="W6" i="2"/>
  <c r="K5" i="2"/>
  <c r="O15" i="2"/>
  <c r="V19" i="2"/>
  <c r="S18" i="2"/>
  <c r="L24" i="2"/>
  <c r="L23" i="2"/>
  <c r="O21" i="2"/>
  <c r="G24" i="2"/>
  <c r="G25" i="2"/>
  <c r="H26" i="2"/>
  <c r="L12" i="2"/>
  <c r="E12" i="2"/>
  <c r="M27" i="2"/>
  <c r="X14" i="2"/>
  <c r="G18" i="2"/>
  <c r="I14" i="2"/>
  <c r="Q5" i="2"/>
  <c r="W23" i="2"/>
  <c r="F7" i="2"/>
  <c r="W11" i="2"/>
  <c r="R23" i="2"/>
  <c r="L18" i="2"/>
  <c r="E10" i="2"/>
  <c r="R7" i="2"/>
  <c r="G28" i="2"/>
  <c r="I25" i="2"/>
  <c r="L22" i="2"/>
  <c r="O19" i="2"/>
  <c r="F13" i="2"/>
  <c r="Z10" i="2"/>
  <c r="G6" i="2"/>
  <c r="C23" i="2"/>
  <c r="Q18" i="2"/>
  <c r="M12" i="2"/>
  <c r="S15" i="2"/>
  <c r="Y28" i="2"/>
  <c r="O20" i="2"/>
  <c r="R6" i="2"/>
  <c r="F22" i="2"/>
  <c r="V9" i="2"/>
  <c r="S24" i="2"/>
  <c r="G11" i="2"/>
  <c r="V18" i="2"/>
  <c r="X11" i="2"/>
  <c r="T18" i="2"/>
  <c r="Z11" i="2"/>
  <c r="F20" i="2"/>
  <c r="L7" i="2"/>
  <c r="H19" i="2"/>
  <c r="K27" i="2"/>
  <c r="X24" i="2"/>
  <c r="L25" i="2"/>
  <c r="M16" i="2"/>
  <c r="O14" i="2"/>
  <c r="S20" i="2"/>
  <c r="K7" i="2"/>
  <c r="V14" i="2"/>
  <c r="T9" i="2"/>
  <c r="O5" i="2"/>
  <c r="L19" i="2"/>
  <c r="K11" i="2"/>
  <c r="S26" i="2"/>
  <c r="Q11" i="2"/>
  <c r="N19" i="2"/>
  <c r="V20" i="2"/>
  <c r="J25" i="2"/>
  <c r="P17" i="2"/>
  <c r="N6" i="2"/>
  <c r="L15" i="2"/>
  <c r="S28" i="2"/>
  <c r="I7" i="2"/>
  <c r="N13" i="2"/>
  <c r="G20" i="2"/>
  <c r="K15" i="2"/>
  <c r="N28" i="2"/>
  <c r="G14" i="2"/>
  <c r="M19" i="2"/>
  <c r="X13" i="2"/>
  <c r="K25" i="2"/>
  <c r="O25" i="2"/>
  <c r="N27" i="2"/>
  <c r="R18" i="2"/>
  <c r="D19" i="2"/>
  <c r="N7" i="2"/>
  <c r="D20" i="2"/>
  <c r="Y16" i="2"/>
  <c r="M9" i="2"/>
  <c r="I13" i="2"/>
  <c r="U21" i="2"/>
  <c r="L6" i="2"/>
  <c r="D26" i="2"/>
  <c r="J23" i="2"/>
  <c r="M14" i="2"/>
  <c r="M18" i="2"/>
  <c r="E21" i="2"/>
  <c r="J15" i="2"/>
  <c r="E28" i="2"/>
  <c r="G26" i="2"/>
  <c r="E13" i="2"/>
  <c r="H22" i="2"/>
  <c r="Q17" i="2"/>
  <c r="P12" i="2"/>
  <c r="H5" i="2"/>
  <c r="D22" i="2"/>
  <c r="H16" i="2"/>
  <c r="S12" i="2"/>
  <c r="L21" i="2"/>
  <c r="Q6" i="2"/>
  <c r="R9" i="2"/>
  <c r="U11" i="2"/>
  <c r="D6" i="2"/>
  <c r="R17" i="2"/>
  <c r="I6" i="2"/>
  <c r="D25" i="2"/>
  <c r="V16" i="2"/>
  <c r="K18" i="2"/>
  <c r="U22" i="2"/>
  <c r="I15" i="2"/>
  <c r="Q13" i="2"/>
  <c r="T26" i="2"/>
  <c r="F21" i="2"/>
  <c r="K14" i="2"/>
  <c r="D11" i="2"/>
  <c r="M17" i="2"/>
  <c r="P22" i="2"/>
  <c r="S19" i="2"/>
  <c r="T17" i="2"/>
  <c r="Z24" i="2"/>
  <c r="W14" i="2"/>
  <c r="E11" i="2"/>
  <c r="U19" i="2"/>
  <c r="C7" i="2"/>
  <c r="O6" i="2"/>
  <c r="O10" i="2"/>
  <c r="S10" i="2"/>
  <c r="P5" i="2"/>
  <c r="C17" i="2"/>
  <c r="J26" i="2"/>
  <c r="T12" i="2"/>
  <c r="F12" i="2"/>
  <c r="W27" i="2"/>
  <c r="W9" i="2"/>
  <c r="N9" i="2"/>
  <c r="R15" i="2"/>
  <c r="E14" i="15" l="1"/>
  <c r="F14" i="15" s="1"/>
  <c r="G14" i="15" s="1"/>
  <c r="H14" i="15" s="1"/>
  <c r="AP6" i="28"/>
  <c r="E13" i="15"/>
  <c r="F13" i="15" s="1"/>
  <c r="G13" i="15" s="1"/>
  <c r="H13" i="15" s="1"/>
  <c r="E15" i="15"/>
  <c r="F15" i="15" s="1"/>
  <c r="G15" i="15" s="1"/>
  <c r="H15" i="15" s="1"/>
  <c r="AF12" i="16"/>
  <c r="E16" i="15"/>
  <c r="F16" i="15" s="1"/>
  <c r="G16" i="15" s="1"/>
  <c r="H16" i="15" s="1"/>
  <c r="E12" i="15"/>
  <c r="F12" i="15" s="1"/>
  <c r="G12" i="15" s="1"/>
  <c r="H12" i="15" s="1"/>
  <c r="AP14" i="28"/>
  <c r="AI14" i="27"/>
  <c r="D4" i="28"/>
  <c r="F26" i="28" s="1"/>
  <c r="E37" i="28"/>
  <c r="C64" i="7"/>
  <c r="A64" i="7"/>
  <c r="C7" i="21"/>
  <c r="B7" i="21"/>
  <c r="AP4" i="28"/>
  <c r="AI10" i="27"/>
  <c r="E11" i="15"/>
  <c r="F11" i="15" s="1"/>
  <c r="G11" i="15" s="1"/>
  <c r="H11" i="15" s="1"/>
  <c r="AP10" i="28"/>
  <c r="AP5" i="28"/>
  <c r="AF7" i="16"/>
  <c r="AI9" i="27"/>
  <c r="C4" i="28" a="1"/>
  <c r="AI8" i="27"/>
  <c r="AP9" i="28"/>
  <c r="E10" i="15"/>
  <c r="F10" i="15" s="1"/>
  <c r="G10" i="15" s="1"/>
  <c r="H10" i="15" s="1"/>
  <c r="AF6" i="16"/>
  <c r="E8" i="15"/>
  <c r="F8" i="15" s="1"/>
  <c r="G8" i="15" s="1"/>
  <c r="H8" i="15" s="1"/>
  <c r="AP8" i="28"/>
  <c r="AI11" i="27"/>
  <c r="AP7" i="28"/>
  <c r="AI7" i="27"/>
  <c r="AF5" i="16"/>
  <c r="B4" i="27" a="1"/>
  <c r="AI6" i="27"/>
  <c r="AF3" i="16"/>
  <c r="AI5" i="27"/>
  <c r="AF2" i="16"/>
  <c r="AI4" i="27"/>
  <c r="E9" i="15"/>
  <c r="F9" i="15" s="1"/>
  <c r="G9" i="15" s="1"/>
  <c r="H9" i="15" s="1"/>
  <c r="E7" i="15"/>
  <c r="O64" i="7"/>
  <c r="C2" i="16" a="1"/>
  <c r="AH35" i="16" s="1"/>
  <c r="F64" i="7"/>
  <c r="H64" i="7"/>
  <c r="J64" i="7"/>
  <c r="L64" i="7"/>
  <c r="M64" i="7"/>
  <c r="N64" i="7"/>
  <c r="B64" i="7"/>
  <c r="I64" i="7"/>
  <c r="K64" i="7"/>
  <c r="C2" i="15"/>
  <c r="D64" i="7"/>
  <c r="G64" i="7"/>
  <c r="E64" i="7"/>
  <c r="O81" i="21"/>
  <c r="N81" i="21"/>
  <c r="O20" i="21"/>
  <c r="P7" i="21"/>
  <c r="F1" i="2"/>
  <c r="O1" i="2" s="1"/>
  <c r="C5" i="26"/>
  <c r="J5" i="26" s="1"/>
  <c r="J6" i="26"/>
  <c r="J14" i="26"/>
  <c r="J7" i="26"/>
  <c r="J15" i="26"/>
  <c r="J8" i="26"/>
  <c r="J16" i="26"/>
  <c r="J9" i="26"/>
  <c r="J17" i="26"/>
  <c r="J10" i="26"/>
  <c r="J18" i="26"/>
  <c r="J11" i="26"/>
  <c r="J19" i="26"/>
  <c r="J12" i="26"/>
  <c r="J13" i="26"/>
  <c r="I26" i="26"/>
  <c r="I18" i="26"/>
  <c r="I10" i="26"/>
  <c r="I29" i="26"/>
  <c r="I21" i="26"/>
  <c r="I13" i="26"/>
  <c r="I24" i="26"/>
  <c r="I16" i="26"/>
  <c r="I8" i="26"/>
  <c r="I27" i="26"/>
  <c r="I19" i="26"/>
  <c r="I11" i="26"/>
  <c r="I22" i="26"/>
  <c r="I14" i="26"/>
  <c r="I6" i="26"/>
  <c r="I25" i="26"/>
  <c r="I17" i="26"/>
  <c r="I9" i="26"/>
  <c r="I23" i="26"/>
  <c r="I15" i="26"/>
  <c r="I7" i="26"/>
  <c r="I28" i="26"/>
  <c r="I20" i="26"/>
  <c r="I12" i="26"/>
  <c r="F29" i="12"/>
  <c r="M78" i="7" l="1"/>
  <c r="C32" i="21"/>
  <c r="C71" i="21"/>
  <c r="C60" i="21"/>
  <c r="C10" i="21"/>
  <c r="C75" i="21"/>
  <c r="C21" i="21"/>
  <c r="C64" i="21"/>
  <c r="C54" i="21"/>
  <c r="C9" i="21"/>
  <c r="C59" i="21"/>
  <c r="C58" i="21"/>
  <c r="C40" i="21"/>
  <c r="C70" i="21"/>
  <c r="C15" i="21"/>
  <c r="B34" i="21"/>
  <c r="B49" i="21"/>
  <c r="B54" i="21"/>
  <c r="E6" i="28"/>
  <c r="G5" i="28"/>
  <c r="G6" i="28"/>
  <c r="H6" i="28"/>
  <c r="G7" i="28"/>
  <c r="H7" i="28"/>
  <c r="H5" i="28"/>
  <c r="C36" i="21"/>
  <c r="C25" i="21"/>
  <c r="C67" i="21"/>
  <c r="C46" i="21"/>
  <c r="C12" i="21"/>
  <c r="C28" i="21"/>
  <c r="B65" i="21"/>
  <c r="C73" i="21"/>
  <c r="C14" i="21"/>
  <c r="B38" i="21"/>
  <c r="C45" i="21"/>
  <c r="C42" i="21"/>
  <c r="C61" i="21"/>
  <c r="C65" i="21"/>
  <c r="B58" i="21"/>
  <c r="J7" i="21"/>
  <c r="C13" i="21"/>
  <c r="C63" i="21"/>
  <c r="C52" i="21"/>
  <c r="C38" i="21"/>
  <c r="C72" i="21"/>
  <c r="C49" i="21"/>
  <c r="B28" i="21"/>
  <c r="C11" i="21"/>
  <c r="B56" i="21"/>
  <c r="C44" i="21"/>
  <c r="C41" i="21"/>
  <c r="B59" i="21"/>
  <c r="C76" i="21"/>
  <c r="C55" i="21"/>
  <c r="B13" i="21"/>
  <c r="C66" i="21"/>
  <c r="C43" i="21"/>
  <c r="C17" i="21"/>
  <c r="C68" i="21"/>
  <c r="C31" i="21"/>
  <c r="B37" i="21"/>
  <c r="B40" i="21"/>
  <c r="C22" i="21"/>
  <c r="C30" i="21"/>
  <c r="F7" i="21"/>
  <c r="F8" i="21" s="1"/>
  <c r="F16" i="21" s="1"/>
  <c r="C20" i="21"/>
  <c r="C27" i="21"/>
  <c r="B17" i="21"/>
  <c r="C47" i="21"/>
  <c r="C39" i="21"/>
  <c r="C23" i="21"/>
  <c r="C57" i="21"/>
  <c r="C74" i="21"/>
  <c r="B63" i="21"/>
  <c r="B14" i="21"/>
  <c r="C18" i="21"/>
  <c r="C48" i="21"/>
  <c r="C35" i="21"/>
  <c r="C26" i="21"/>
  <c r="C62" i="21"/>
  <c r="C50" i="21"/>
  <c r="C56" i="21"/>
  <c r="C69" i="21"/>
  <c r="C51" i="21"/>
  <c r="C24" i="21"/>
  <c r="C77" i="21"/>
  <c r="C37" i="21"/>
  <c r="B30" i="21"/>
  <c r="B52" i="21"/>
  <c r="C19" i="21"/>
  <c r="C29" i="21"/>
  <c r="C8" i="21"/>
  <c r="C53" i="21"/>
  <c r="C16" i="21"/>
  <c r="C33" i="21"/>
  <c r="B26" i="21"/>
  <c r="C34" i="21"/>
  <c r="B53" i="21"/>
  <c r="B68" i="21"/>
  <c r="B45" i="21"/>
  <c r="B64" i="21"/>
  <c r="E7" i="21"/>
  <c r="E9" i="21" s="1"/>
  <c r="B73" i="21"/>
  <c r="B69" i="21"/>
  <c r="B33" i="21"/>
  <c r="B46" i="21"/>
  <c r="B74" i="21"/>
  <c r="B75" i="21"/>
  <c r="B11" i="21"/>
  <c r="B31" i="21"/>
  <c r="B67" i="21"/>
  <c r="B61" i="21"/>
  <c r="B41" i="21"/>
  <c r="B32" i="21"/>
  <c r="B19" i="21"/>
  <c r="B10" i="21"/>
  <c r="B47" i="21"/>
  <c r="B55" i="21"/>
  <c r="B27" i="21"/>
  <c r="B72" i="21"/>
  <c r="B43" i="21"/>
  <c r="B71" i="21"/>
  <c r="B42" i="21"/>
  <c r="B21" i="21"/>
  <c r="B36" i="21"/>
  <c r="B8" i="21"/>
  <c r="B44" i="21"/>
  <c r="B76" i="21"/>
  <c r="B9" i="21"/>
  <c r="B23" i="21"/>
  <c r="B51" i="21"/>
  <c r="B70" i="21"/>
  <c r="B25" i="21"/>
  <c r="B77" i="21"/>
  <c r="B22" i="21"/>
  <c r="B24" i="21"/>
  <c r="I7" i="21"/>
  <c r="B29" i="21"/>
  <c r="B50" i="21"/>
  <c r="B39" i="21"/>
  <c r="B62" i="21"/>
  <c r="B18" i="21"/>
  <c r="B66" i="21"/>
  <c r="B16" i="21"/>
  <c r="B20" i="21"/>
  <c r="B12" i="21"/>
  <c r="B15" i="21"/>
  <c r="B60" i="21"/>
  <c r="B48" i="21"/>
  <c r="B35" i="21"/>
  <c r="B57" i="21"/>
  <c r="B80" i="21"/>
  <c r="I80" i="21" s="1"/>
  <c r="E5" i="28"/>
  <c r="F5" i="28"/>
  <c r="F6" i="28"/>
  <c r="C4" i="28"/>
  <c r="G4" i="28" s="1"/>
  <c r="E7" i="28"/>
  <c r="F7" i="28"/>
  <c r="AH36" i="16"/>
  <c r="AK36" i="16" s="1"/>
  <c r="AH37" i="16"/>
  <c r="A40" i="24" s="1"/>
  <c r="AH34" i="16"/>
  <c r="A37" i="24" s="1"/>
  <c r="A38" i="24"/>
  <c r="AL35" i="16"/>
  <c r="AJ35" i="16"/>
  <c r="AK35" i="16"/>
  <c r="AL36" i="16"/>
  <c r="B4" i="27"/>
  <c r="AH29" i="16"/>
  <c r="A32" i="24" s="1"/>
  <c r="AH20" i="16"/>
  <c r="AK20" i="16" s="1"/>
  <c r="AH19" i="16"/>
  <c r="AK19" i="16" s="1"/>
  <c r="AH6" i="16"/>
  <c r="AK6" i="16" s="1"/>
  <c r="AH17" i="16"/>
  <c r="A20" i="24" s="1"/>
  <c r="AH9" i="16"/>
  <c r="A12" i="24" s="1"/>
  <c r="AH15" i="16"/>
  <c r="AL15" i="16" s="1"/>
  <c r="AH30" i="16"/>
  <c r="A33" i="24" s="1"/>
  <c r="AH21" i="16"/>
  <c r="A24" i="24" s="1"/>
  <c r="AH26" i="16"/>
  <c r="A29" i="24" s="1"/>
  <c r="AH31" i="16"/>
  <c r="AL31" i="16" s="1"/>
  <c r="AH14" i="16"/>
  <c r="AJ14" i="16" s="1"/>
  <c r="AH28" i="16"/>
  <c r="AK28" i="16" s="1"/>
  <c r="AH7" i="16"/>
  <c r="AL7" i="16" s="1"/>
  <c r="AH24" i="16"/>
  <c r="AJ24" i="16" s="1"/>
  <c r="AH3" i="16"/>
  <c r="AJ3" i="16" s="1"/>
  <c r="AH11" i="16"/>
  <c r="AL11" i="16" s="1"/>
  <c r="AH13" i="16"/>
  <c r="AK13" i="16" s="1"/>
  <c r="AH25" i="16"/>
  <c r="AK25" i="16" s="1"/>
  <c r="AH5" i="16"/>
  <c r="AK5" i="16" s="1"/>
  <c r="AH18" i="16"/>
  <c r="AJ18" i="16" s="1"/>
  <c r="AH10" i="16"/>
  <c r="AL10" i="16" s="1"/>
  <c r="AH8" i="16"/>
  <c r="AJ8" i="16" s="1"/>
  <c r="AH16" i="16"/>
  <c r="AL16" i="16" s="1"/>
  <c r="AH23" i="16"/>
  <c r="A26" i="24" s="1"/>
  <c r="C2" i="16"/>
  <c r="AH2" i="16" s="1"/>
  <c r="A5" i="24" s="1"/>
  <c r="AH4" i="16"/>
  <c r="AL4" i="16" s="1"/>
  <c r="AH22" i="16"/>
  <c r="AK22" i="16" s="1"/>
  <c r="AH32" i="16"/>
  <c r="AJ32" i="16" s="1"/>
  <c r="AH12" i="16"/>
  <c r="AK12" i="16" s="1"/>
  <c r="AH33" i="16"/>
  <c r="A36" i="24" s="1"/>
  <c r="AH27" i="16"/>
  <c r="A30" i="24" s="1"/>
  <c r="AJ36" i="16"/>
  <c r="A39" i="24"/>
  <c r="AL34" i="16"/>
  <c r="AK34" i="16"/>
  <c r="O93" i="21"/>
  <c r="P80" i="21"/>
  <c r="C80" i="21"/>
  <c r="O21" i="21"/>
  <c r="N21" i="21"/>
  <c r="I5" i="26"/>
  <c r="F30" i="12"/>
  <c r="G30" i="12" s="1"/>
  <c r="G29" i="12"/>
  <c r="H4" i="28" l="1"/>
  <c r="E4" i="28"/>
  <c r="G26" i="28" s="1"/>
  <c r="F4" i="28"/>
  <c r="H26" i="28" s="1"/>
  <c r="E26" i="28"/>
  <c r="J8" i="21"/>
  <c r="J9" i="21" s="1"/>
  <c r="F13" i="21"/>
  <c r="I8" i="21"/>
  <c r="I9" i="21" s="1"/>
  <c r="F17" i="21"/>
  <c r="F14" i="21"/>
  <c r="F15" i="21"/>
  <c r="F18" i="21"/>
  <c r="F9" i="21"/>
  <c r="F10" i="21" s="1"/>
  <c r="E8" i="21"/>
  <c r="E11" i="21" s="1"/>
  <c r="N23" i="21" s="1"/>
  <c r="B125" i="21"/>
  <c r="B110" i="21"/>
  <c r="B97" i="21"/>
  <c r="P20" i="21"/>
  <c r="B99" i="21"/>
  <c r="B115" i="21"/>
  <c r="B101" i="21"/>
  <c r="B121" i="21"/>
  <c r="B82" i="21"/>
  <c r="B105" i="21"/>
  <c r="B119" i="21"/>
  <c r="B146" i="21"/>
  <c r="B148" i="21"/>
  <c r="B122" i="21"/>
  <c r="B117" i="21"/>
  <c r="B126" i="21"/>
  <c r="B135" i="21"/>
  <c r="B83" i="21"/>
  <c r="B124" i="21"/>
  <c r="B132" i="21"/>
  <c r="B107" i="21"/>
  <c r="B131" i="21"/>
  <c r="B140" i="21"/>
  <c r="B87" i="21"/>
  <c r="B91" i="21"/>
  <c r="B133" i="21"/>
  <c r="B136" i="21"/>
  <c r="B111" i="21"/>
  <c r="B92" i="21"/>
  <c r="B130" i="21"/>
  <c r="B98" i="21"/>
  <c r="B112" i="21"/>
  <c r="B94" i="21"/>
  <c r="B127" i="21"/>
  <c r="B86" i="21"/>
  <c r="B109" i="21"/>
  <c r="B102" i="21"/>
  <c r="B143" i="21"/>
  <c r="E80" i="21"/>
  <c r="E82" i="21" s="1"/>
  <c r="B89" i="21"/>
  <c r="B145" i="21"/>
  <c r="B137" i="21"/>
  <c r="B128" i="21"/>
  <c r="B104" i="21"/>
  <c r="B103" i="21"/>
  <c r="B116" i="21"/>
  <c r="B106" i="21"/>
  <c r="B90" i="21"/>
  <c r="B100" i="21"/>
  <c r="B139" i="21"/>
  <c r="B84" i="21"/>
  <c r="B129" i="21"/>
  <c r="B138" i="21"/>
  <c r="B96" i="21"/>
  <c r="B93" i="21"/>
  <c r="B108" i="21"/>
  <c r="B141" i="21"/>
  <c r="B142" i="21"/>
  <c r="B149" i="21"/>
  <c r="B88" i="21"/>
  <c r="B118" i="21"/>
  <c r="B114" i="21"/>
  <c r="B150" i="21"/>
  <c r="B144" i="21"/>
  <c r="B95" i="21"/>
  <c r="B147" i="21"/>
  <c r="B120" i="21"/>
  <c r="B123" i="21"/>
  <c r="B113" i="21"/>
  <c r="B134" i="21"/>
  <c r="B81" i="21"/>
  <c r="B85" i="21"/>
  <c r="AJ37" i="16"/>
  <c r="AL37" i="16"/>
  <c r="AK37" i="16"/>
  <c r="AJ34" i="16"/>
  <c r="A22" i="24"/>
  <c r="A9" i="24"/>
  <c r="AK29" i="16"/>
  <c r="AL6" i="16"/>
  <c r="AL17" i="16"/>
  <c r="AJ6" i="16"/>
  <c r="AJ29" i="16"/>
  <c r="AL20" i="16"/>
  <c r="AJ20" i="16"/>
  <c r="A23" i="24"/>
  <c r="AJ19" i="16"/>
  <c r="AL19" i="16"/>
  <c r="AL29" i="16"/>
  <c r="AK18" i="16"/>
  <c r="AK9" i="16"/>
  <c r="AK17" i="16"/>
  <c r="AJ10" i="16"/>
  <c r="AL9" i="16"/>
  <c r="AJ17" i="16"/>
  <c r="AK10" i="16"/>
  <c r="AJ30" i="16"/>
  <c r="AL26" i="16"/>
  <c r="AJ9" i="16"/>
  <c r="A18" i="24"/>
  <c r="AK31" i="16"/>
  <c r="AJ15" i="16"/>
  <c r="AK30" i="16"/>
  <c r="AK8" i="16"/>
  <c r="A17" i="24"/>
  <c r="AL14" i="16"/>
  <c r="A34" i="24"/>
  <c r="AK21" i="16"/>
  <c r="AL30" i="16"/>
  <c r="AK26" i="16"/>
  <c r="A13" i="24"/>
  <c r="AJ26" i="16"/>
  <c r="AL23" i="16"/>
  <c r="AJ31" i="16"/>
  <c r="A21" i="24"/>
  <c r="AK15" i="16"/>
  <c r="A14" i="24"/>
  <c r="A7" i="24"/>
  <c r="AK3" i="16"/>
  <c r="A31" i="24"/>
  <c r="AJ16" i="16"/>
  <c r="AJ21" i="16"/>
  <c r="AJ28" i="16"/>
  <c r="A11" i="24"/>
  <c r="AL18" i="16"/>
  <c r="AL21" i="16"/>
  <c r="AL2" i="16"/>
  <c r="AL8" i="16"/>
  <c r="AJ12" i="16"/>
  <c r="AL3" i="16"/>
  <c r="AK14" i="16"/>
  <c r="AL12" i="16"/>
  <c r="AK2" i="16"/>
  <c r="AJ11" i="16"/>
  <c r="AJ13" i="16"/>
  <c r="AL13" i="16"/>
  <c r="AK16" i="16"/>
  <c r="AL32" i="16"/>
  <c r="AK11" i="16"/>
  <c r="AL24" i="16"/>
  <c r="AJ22" i="16"/>
  <c r="AL22" i="16"/>
  <c r="A27" i="24"/>
  <c r="AL33" i="16"/>
  <c r="AJ25" i="16"/>
  <c r="AK33" i="16"/>
  <c r="AJ33" i="16"/>
  <c r="AL5" i="16"/>
  <c r="AK27" i="16"/>
  <c r="AJ7" i="16"/>
  <c r="AK24" i="16"/>
  <c r="AK4" i="16"/>
  <c r="A25" i="24"/>
  <c r="A6" i="24"/>
  <c r="AJ27" i="16"/>
  <c r="AL28" i="16"/>
  <c r="A16" i="24"/>
  <c r="AK32" i="16"/>
  <c r="A8" i="24"/>
  <c r="A28" i="24"/>
  <c r="AL27" i="16"/>
  <c r="A15" i="24"/>
  <c r="A35" i="24"/>
  <c r="AJ5" i="16"/>
  <c r="AK7" i="16"/>
  <c r="AL25" i="16"/>
  <c r="AK23" i="16"/>
  <c r="AJ23" i="16"/>
  <c r="AJ2" i="16"/>
  <c r="A19" i="24"/>
  <c r="AJ4" i="16"/>
  <c r="A10" i="24"/>
  <c r="F12" i="21"/>
  <c r="N94" i="21"/>
  <c r="O94" i="21"/>
  <c r="C100" i="21"/>
  <c r="C144" i="21"/>
  <c r="C119" i="21"/>
  <c r="C136" i="21"/>
  <c r="C128" i="21"/>
  <c r="C106" i="21"/>
  <c r="C83" i="21"/>
  <c r="C123" i="21"/>
  <c r="C105" i="21"/>
  <c r="C82" i="21"/>
  <c r="C115" i="21"/>
  <c r="C140" i="21"/>
  <c r="C132" i="21"/>
  <c r="C142" i="21"/>
  <c r="C92" i="21"/>
  <c r="C149" i="21"/>
  <c r="C129" i="21"/>
  <c r="C116" i="21"/>
  <c r="C146" i="21"/>
  <c r="C88" i="21"/>
  <c r="C110" i="21"/>
  <c r="C95" i="21"/>
  <c r="C87" i="21"/>
  <c r="C121" i="21"/>
  <c r="C98" i="21"/>
  <c r="C138" i="21"/>
  <c r="C104" i="21"/>
  <c r="C97" i="21"/>
  <c r="C141" i="21"/>
  <c r="C133" i="21"/>
  <c r="C102" i="21"/>
  <c r="C94" i="21"/>
  <c r="C120" i="21"/>
  <c r="C113" i="21"/>
  <c r="C111" i="21"/>
  <c r="C134" i="21"/>
  <c r="C96" i="21"/>
  <c r="C137" i="21"/>
  <c r="C81" i="21"/>
  <c r="C148" i="21"/>
  <c r="C125" i="21"/>
  <c r="C117" i="21"/>
  <c r="C150" i="21"/>
  <c r="C112" i="21"/>
  <c r="C89" i="21"/>
  <c r="C103" i="21"/>
  <c r="C126" i="21"/>
  <c r="C84" i="21"/>
  <c r="C86" i="21"/>
  <c r="C93" i="21"/>
  <c r="C147" i="21"/>
  <c r="C130" i="21"/>
  <c r="C107" i="21"/>
  <c r="C99" i="21"/>
  <c r="C118" i="21"/>
  <c r="C109" i="21"/>
  <c r="C143" i="21"/>
  <c r="C139" i="21"/>
  <c r="C108" i="21"/>
  <c r="C85" i="21"/>
  <c r="C145" i="21"/>
  <c r="C122" i="21"/>
  <c r="C114" i="21"/>
  <c r="C135" i="21"/>
  <c r="C124" i="21"/>
  <c r="C101" i="21"/>
  <c r="C127" i="21"/>
  <c r="C131" i="21"/>
  <c r="F80" i="21"/>
  <c r="C91" i="21"/>
  <c r="C90" i="21"/>
  <c r="J80" i="21"/>
  <c r="G31" i="12"/>
  <c r="H20" i="12" a="1"/>
  <c r="H20" i="12" s="1"/>
  <c r="F11" i="21" l="1"/>
  <c r="E14" i="21"/>
  <c r="E16" i="21"/>
  <c r="N15" i="21" s="1"/>
  <c r="E13" i="21"/>
  <c r="O10" i="21"/>
  <c r="E10" i="21"/>
  <c r="O9" i="21" s="1"/>
  <c r="E17" i="21"/>
  <c r="O29" i="21" s="1"/>
  <c r="E18" i="21"/>
  <c r="N16" i="21"/>
  <c r="O28" i="21"/>
  <c r="E15" i="21"/>
  <c r="N13" i="21"/>
  <c r="O27" i="21"/>
  <c r="E12" i="21"/>
  <c r="O26" i="21"/>
  <c r="I81" i="21"/>
  <c r="I82" i="21" s="1"/>
  <c r="E81" i="21"/>
  <c r="E84" i="21" s="1"/>
  <c r="O83" i="21" s="1"/>
  <c r="N9" i="21"/>
  <c r="D2" i="24"/>
  <c r="B2" i="24" s="1"/>
  <c r="C1" i="24"/>
  <c r="B3" i="24"/>
  <c r="C38" i="24" s="1"/>
  <c r="D1" i="24"/>
  <c r="B1" i="24" s="1"/>
  <c r="C2" i="24"/>
  <c r="O22" i="21"/>
  <c r="L14" i="19"/>
  <c r="M13" i="19"/>
  <c r="M14" i="19"/>
  <c r="M15" i="19"/>
  <c r="M12" i="19"/>
  <c r="L13" i="19"/>
  <c r="L12" i="19"/>
  <c r="L16" i="19"/>
  <c r="L15" i="19"/>
  <c r="F82" i="21"/>
  <c r="F81" i="21"/>
  <c r="J81" i="21"/>
  <c r="J82" i="21" s="1"/>
  <c r="P93" i="21"/>
  <c r="N11" i="21" l="1"/>
  <c r="O24" i="21"/>
  <c r="O25" i="21"/>
  <c r="N12" i="21"/>
  <c r="O30" i="21"/>
  <c r="N17" i="21"/>
  <c r="N27" i="21"/>
  <c r="N14" i="21"/>
  <c r="N10" i="21"/>
  <c r="O23" i="21"/>
  <c r="O13" i="21"/>
  <c r="N26" i="21"/>
  <c r="N22" i="21"/>
  <c r="O17" i="21"/>
  <c r="N30" i="21"/>
  <c r="N29" i="21"/>
  <c r="O16" i="21"/>
  <c r="E87" i="21"/>
  <c r="E83" i="21"/>
  <c r="O82" i="21" s="1"/>
  <c r="O14" i="21"/>
  <c r="E86" i="21"/>
  <c r="O85" i="21" s="1"/>
  <c r="E85" i="21"/>
  <c r="O84" i="21" s="1"/>
  <c r="E89" i="21"/>
  <c r="O88" i="21" s="1"/>
  <c r="N24" i="21"/>
  <c r="O11" i="21"/>
  <c r="O12" i="21"/>
  <c r="N25" i="21"/>
  <c r="O15" i="21"/>
  <c r="N28" i="21"/>
  <c r="E91" i="21"/>
  <c r="E90" i="21"/>
  <c r="E88" i="21"/>
  <c r="N96" i="21"/>
  <c r="D38" i="24"/>
  <c r="F38" i="24" s="1"/>
  <c r="C40" i="24"/>
  <c r="D40" i="24" s="1"/>
  <c r="F40" i="24" s="1"/>
  <c r="C39" i="24"/>
  <c r="D39" i="24" s="1"/>
  <c r="F39" i="24" s="1"/>
  <c r="C37" i="24"/>
  <c r="D37" i="24" s="1"/>
  <c r="F37" i="24" s="1"/>
  <c r="C33" i="24"/>
  <c r="D33" i="24" s="1"/>
  <c r="F33" i="24" s="1"/>
  <c r="C9" i="24"/>
  <c r="D9" i="24" s="1"/>
  <c r="F9" i="24" s="1"/>
  <c r="G2" i="24"/>
  <c r="G3" i="24" s="1"/>
  <c r="C30" i="24"/>
  <c r="D30" i="24" s="1"/>
  <c r="F30" i="24" s="1"/>
  <c r="C34" i="24"/>
  <c r="D34" i="24" s="1"/>
  <c r="F34" i="24" s="1"/>
  <c r="C31" i="24"/>
  <c r="D31" i="24" s="1"/>
  <c r="F31" i="24" s="1"/>
  <c r="C26" i="24"/>
  <c r="D26" i="24" s="1"/>
  <c r="F26" i="24" s="1"/>
  <c r="C23" i="24"/>
  <c r="D23" i="24" s="1"/>
  <c r="F23" i="24" s="1"/>
  <c r="C27" i="24"/>
  <c r="D27" i="24" s="1"/>
  <c r="F27" i="24" s="1"/>
  <c r="C22" i="24"/>
  <c r="D22" i="24" s="1"/>
  <c r="F22" i="24" s="1"/>
  <c r="C16" i="24"/>
  <c r="D16" i="24" s="1"/>
  <c r="F16" i="24" s="1"/>
  <c r="C17" i="24"/>
  <c r="D17" i="24" s="1"/>
  <c r="F17" i="24" s="1"/>
  <c r="C10" i="24"/>
  <c r="D10" i="24" s="1"/>
  <c r="F10" i="24" s="1"/>
  <c r="C35" i="24"/>
  <c r="D35" i="24" s="1"/>
  <c r="F35" i="24" s="1"/>
  <c r="C24" i="24"/>
  <c r="D24" i="24" s="1"/>
  <c r="F24" i="24" s="1"/>
  <c r="C8" i="24"/>
  <c r="D8" i="24" s="1"/>
  <c r="F8" i="24" s="1"/>
  <c r="C19" i="24"/>
  <c r="D19" i="24" s="1"/>
  <c r="F19" i="24" s="1"/>
  <c r="C7" i="24"/>
  <c r="D7" i="24" s="1"/>
  <c r="F7" i="24" s="1"/>
  <c r="C20" i="24"/>
  <c r="D20" i="24" s="1"/>
  <c r="F20" i="24" s="1"/>
  <c r="C5" i="24"/>
  <c r="D5" i="24" s="1"/>
  <c r="F5" i="24" s="1"/>
  <c r="C25" i="24"/>
  <c r="D25" i="24" s="1"/>
  <c r="F25" i="24" s="1"/>
  <c r="C21" i="24"/>
  <c r="D21" i="24" s="1"/>
  <c r="F21" i="24" s="1"/>
  <c r="C12" i="24"/>
  <c r="D12" i="24" s="1"/>
  <c r="F12" i="24" s="1"/>
  <c r="C18" i="24"/>
  <c r="D18" i="24" s="1"/>
  <c r="F18" i="24" s="1"/>
  <c r="C32" i="24"/>
  <c r="D32" i="24" s="1"/>
  <c r="F32" i="24" s="1"/>
  <c r="B5" i="24" a="1"/>
  <c r="G38" i="24" s="1"/>
  <c r="C6" i="24"/>
  <c r="D6" i="24" s="1"/>
  <c r="F6" i="24" s="1"/>
  <c r="C29" i="24"/>
  <c r="D29" i="24" s="1"/>
  <c r="F29" i="24" s="1"/>
  <c r="C36" i="24"/>
  <c r="D36" i="24" s="1"/>
  <c r="F36" i="24" s="1"/>
  <c r="C15" i="24"/>
  <c r="D15" i="24" s="1"/>
  <c r="F15" i="24" s="1"/>
  <c r="C14" i="24"/>
  <c r="D14" i="24" s="1"/>
  <c r="F14" i="24" s="1"/>
  <c r="C11" i="24"/>
  <c r="D11" i="24" s="1"/>
  <c r="F11" i="24" s="1"/>
  <c r="C13" i="24"/>
  <c r="D13" i="24" s="1"/>
  <c r="F13" i="24" s="1"/>
  <c r="C28" i="24"/>
  <c r="D28" i="24" s="1"/>
  <c r="F28" i="24" s="1"/>
  <c r="F88" i="21"/>
  <c r="F89" i="21"/>
  <c r="F90" i="21"/>
  <c r="N89" i="21" s="1"/>
  <c r="F83" i="21"/>
  <c r="F91" i="21"/>
  <c r="N90" i="21" s="1"/>
  <c r="F84" i="21"/>
  <c r="N83" i="21" s="1"/>
  <c r="F85" i="21"/>
  <c r="O97" i="21" s="1"/>
  <c r="F86" i="21"/>
  <c r="O98" i="21" s="1"/>
  <c r="F87" i="21"/>
  <c r="O99" i="21" s="1"/>
  <c r="D6" i="15"/>
  <c r="O100" i="21" l="1"/>
  <c r="P8" i="21" a="1"/>
  <c r="N88" i="21"/>
  <c r="O101" i="21"/>
  <c r="P21" i="21" a="1"/>
  <c r="N97" i="21"/>
  <c r="N95" i="21"/>
  <c r="N98" i="21"/>
  <c r="O86" i="21"/>
  <c r="N99" i="21"/>
  <c r="N101" i="21"/>
  <c r="O102" i="21"/>
  <c r="O89" i="21"/>
  <c r="N102" i="21"/>
  <c r="O90" i="21"/>
  <c r="N103" i="21"/>
  <c r="O103" i="21"/>
  <c r="O87" i="21"/>
  <c r="N100" i="21"/>
  <c r="N84" i="21"/>
  <c r="N86" i="21"/>
  <c r="N85" i="21"/>
  <c r="O96" i="21"/>
  <c r="N87" i="21"/>
  <c r="G40" i="24"/>
  <c r="G37" i="24"/>
  <c r="G39" i="24"/>
  <c r="G19" i="24"/>
  <c r="G14" i="24"/>
  <c r="G24" i="24"/>
  <c r="G6" i="24"/>
  <c r="G11" i="24"/>
  <c r="G15" i="24"/>
  <c r="G29" i="24"/>
  <c r="G30" i="24"/>
  <c r="G27" i="24"/>
  <c r="G23" i="24"/>
  <c r="G7" i="24"/>
  <c r="G18" i="24"/>
  <c r="G33" i="24"/>
  <c r="G13" i="24"/>
  <c r="G36" i="24"/>
  <c r="G20" i="24"/>
  <c r="B5" i="24"/>
  <c r="G5" i="24" s="1"/>
  <c r="G34" i="24"/>
  <c r="G25" i="24"/>
  <c r="G35" i="24"/>
  <c r="G21" i="24"/>
  <c r="G17" i="24"/>
  <c r="G12" i="24"/>
  <c r="G10" i="24"/>
  <c r="G32" i="24"/>
  <c r="G31" i="24"/>
  <c r="G26" i="24"/>
  <c r="G22" i="24"/>
  <c r="G9" i="24"/>
  <c r="G8" i="24"/>
  <c r="G28" i="24"/>
  <c r="G16" i="24"/>
  <c r="N82" i="21"/>
  <c r="O95" i="21"/>
  <c r="F7" i="15"/>
  <c r="V10" i="21" l="1" a="1"/>
  <c r="V10" i="21" s="1"/>
  <c r="R13" i="21" a="1"/>
  <c r="R13" i="21" s="1"/>
  <c r="R17" i="21" a="1"/>
  <c r="R17" i="21" s="1"/>
  <c r="W10" i="21" a="1"/>
  <c r="W10" i="21" s="1"/>
  <c r="Q14" i="21" a="1"/>
  <c r="Q14" i="21" s="1"/>
  <c r="U16" i="21" a="1"/>
  <c r="U16" i="21" s="1"/>
  <c r="U12" i="21" a="1"/>
  <c r="U12" i="21" s="1"/>
  <c r="S13" i="21" a="1"/>
  <c r="S13" i="21" s="1"/>
  <c r="R14" i="21" a="1"/>
  <c r="R14" i="21" s="1"/>
  <c r="X10" i="21" a="1"/>
  <c r="X10" i="21" s="1"/>
  <c r="T13" i="21" a="1"/>
  <c r="T13" i="21" s="1"/>
  <c r="T17" i="21" a="1"/>
  <c r="T17" i="21" s="1"/>
  <c r="R10" i="21" a="1"/>
  <c r="R10" i="21" s="1"/>
  <c r="S14" i="21" a="1"/>
  <c r="S14" i="21" s="1"/>
  <c r="U11" i="21" a="1"/>
  <c r="U11" i="21" s="1"/>
  <c r="T12" i="21" a="1"/>
  <c r="T12" i="21" s="1"/>
  <c r="X14" i="21" a="1"/>
  <c r="X14" i="21" s="1"/>
  <c r="R9" i="21" a="1"/>
  <c r="R9" i="21" s="1"/>
  <c r="V11" i="21" a="1"/>
  <c r="V11" i="21" s="1"/>
  <c r="W15" i="21" a="1"/>
  <c r="W15" i="21" s="1"/>
  <c r="S9" i="21" a="1"/>
  <c r="S9" i="21" s="1"/>
  <c r="S17" i="21" a="1"/>
  <c r="S17" i="21" s="1"/>
  <c r="W11" i="21" a="1"/>
  <c r="W11" i="21" s="1"/>
  <c r="X15" i="21" a="1"/>
  <c r="X15" i="21" s="1"/>
  <c r="V16" i="21" a="1"/>
  <c r="V16" i="21" s="1"/>
  <c r="T9" i="21" a="1"/>
  <c r="T9" i="21" s="1"/>
  <c r="V12" i="21" a="1"/>
  <c r="V12" i="21" s="1"/>
  <c r="Q15" i="21" a="1"/>
  <c r="Q15" i="21" s="1"/>
  <c r="W16" i="21" a="1"/>
  <c r="W16" i="21" s="1"/>
  <c r="U17" i="21" a="1"/>
  <c r="U17" i="21" s="1"/>
  <c r="U9" i="21" a="1"/>
  <c r="U9" i="21" s="1"/>
  <c r="X11" i="21" a="1"/>
  <c r="X11" i="21" s="1"/>
  <c r="W12" i="21" a="1"/>
  <c r="W12" i="21" s="1"/>
  <c r="U13" i="21" a="1"/>
  <c r="U13" i="21" s="1"/>
  <c r="S10" i="21" a="1"/>
  <c r="S10" i="21" s="1"/>
  <c r="Q11" i="21" a="1"/>
  <c r="Q11" i="21" s="1"/>
  <c r="R11" i="21" a="1"/>
  <c r="R11" i="21" s="1"/>
  <c r="Q13" i="21" a="1"/>
  <c r="Q13" i="21" s="1"/>
  <c r="V14" i="21" a="1"/>
  <c r="V14" i="21" s="1"/>
  <c r="S16" i="21" a="1"/>
  <c r="S16" i="21" s="1"/>
  <c r="X17" i="21" a="1"/>
  <c r="X17" i="21" s="1"/>
  <c r="S11" i="21" a="1"/>
  <c r="S11" i="21" s="1"/>
  <c r="W14" i="21" a="1"/>
  <c r="W14" i="21" s="1"/>
  <c r="T16" i="21" a="1"/>
  <c r="T16" i="21" s="1"/>
  <c r="W13" i="21" a="1"/>
  <c r="W13" i="21" s="1"/>
  <c r="R12" i="21" a="1"/>
  <c r="R12" i="21" s="1"/>
  <c r="U15" i="21" a="1"/>
  <c r="U15" i="21" s="1"/>
  <c r="X9" i="21" a="1"/>
  <c r="X9" i="21" s="1"/>
  <c r="V15" i="21" a="1"/>
  <c r="V15" i="21" s="1"/>
  <c r="V18" i="21"/>
  <c r="T11" i="21" a="1"/>
  <c r="T11" i="21" s="1"/>
  <c r="R15" i="21" a="1"/>
  <c r="R15" i="21" s="1"/>
  <c r="X16" i="21" a="1"/>
  <c r="X16" i="21" s="1"/>
  <c r="V9" i="21" a="1"/>
  <c r="V9" i="21" s="1"/>
  <c r="V13" i="21" a="1"/>
  <c r="V13" i="21" s="1"/>
  <c r="S15" i="21" a="1"/>
  <c r="S15" i="21" s="1"/>
  <c r="Q12" i="21" a="1"/>
  <c r="Q12" i="21" s="1"/>
  <c r="T15" i="21" a="1"/>
  <c r="T15" i="21" s="1"/>
  <c r="W9" i="21" a="1"/>
  <c r="W9" i="21" s="1"/>
  <c r="T10" i="21" a="1"/>
  <c r="T10" i="21" s="1"/>
  <c r="X13" i="21" a="1"/>
  <c r="X13" i="21" s="1"/>
  <c r="Q17" i="21" a="1"/>
  <c r="Q17" i="21" s="1"/>
  <c r="S12" i="21" a="1"/>
  <c r="S12" i="21" s="1"/>
  <c r="U10" i="21" a="1"/>
  <c r="U10" i="21" s="1"/>
  <c r="T14" i="21" a="1"/>
  <c r="T14" i="21" s="1"/>
  <c r="Q16" i="21" a="1"/>
  <c r="Q16" i="21" s="1"/>
  <c r="V17" i="21" a="1"/>
  <c r="V17" i="21" s="1"/>
  <c r="X12" i="21" a="1"/>
  <c r="X12" i="21" s="1"/>
  <c r="U14" i="21" a="1"/>
  <c r="U14" i="21" s="1"/>
  <c r="R16" i="21" a="1"/>
  <c r="R16" i="21" s="1"/>
  <c r="W17" i="21" a="1"/>
  <c r="W17" i="21" s="1"/>
  <c r="Q10" i="21" a="1"/>
  <c r="Q10" i="21" s="1"/>
  <c r="Q9" i="21" a="1"/>
  <c r="Q9" i="21" s="1"/>
  <c r="X18" i="21"/>
  <c r="T18" i="21"/>
  <c r="U18" i="21"/>
  <c r="R18" i="21"/>
  <c r="W18" i="21"/>
  <c r="P8" i="21"/>
  <c r="S18" i="21"/>
  <c r="Q18" i="21"/>
  <c r="T22" i="21" a="1"/>
  <c r="T22" i="21" s="1"/>
  <c r="R23" i="21" a="1"/>
  <c r="R23" i="21" s="1"/>
  <c r="X23" i="21" a="1"/>
  <c r="X23" i="21" s="1"/>
  <c r="V24" i="21" a="1"/>
  <c r="V24" i="21" s="1"/>
  <c r="T25" i="21" a="1"/>
  <c r="T25" i="21" s="1"/>
  <c r="R26" i="21" a="1"/>
  <c r="R26" i="21" s="1"/>
  <c r="X26" i="21" a="1"/>
  <c r="X26" i="21" s="1"/>
  <c r="V27" i="21" a="1"/>
  <c r="V27" i="21" s="1"/>
  <c r="T28" i="21" a="1"/>
  <c r="T28" i="21" s="1"/>
  <c r="R29" i="21" a="1"/>
  <c r="R29" i="21" s="1"/>
  <c r="X29" i="21" a="1"/>
  <c r="X29" i="21" s="1"/>
  <c r="V30" i="21" a="1"/>
  <c r="V30" i="21" s="1"/>
  <c r="U22" i="21" a="1"/>
  <c r="U22" i="21" s="1"/>
  <c r="S23" i="21" a="1"/>
  <c r="S23" i="21" s="1"/>
  <c r="Q24" i="21" a="1"/>
  <c r="Q24" i="21" s="1"/>
  <c r="W24" i="21" a="1"/>
  <c r="W24" i="21" s="1"/>
  <c r="U25" i="21" a="1"/>
  <c r="U25" i="21" s="1"/>
  <c r="S26" i="21" a="1"/>
  <c r="S26" i="21" s="1"/>
  <c r="Q27" i="21" a="1"/>
  <c r="Q27" i="21" s="1"/>
  <c r="W27" i="21" a="1"/>
  <c r="W27" i="21" s="1"/>
  <c r="U28" i="21" a="1"/>
  <c r="U28" i="21" s="1"/>
  <c r="S29" i="21" a="1"/>
  <c r="S29" i="21" s="1"/>
  <c r="Q30" i="21" a="1"/>
  <c r="Q30" i="21" s="1"/>
  <c r="W30" i="21" a="1"/>
  <c r="W30" i="21" s="1"/>
  <c r="R22" i="21" a="1"/>
  <c r="R22" i="21" s="1"/>
  <c r="R25" i="21" a="1"/>
  <c r="R25" i="21" s="1"/>
  <c r="R28" i="21" a="1"/>
  <c r="R28" i="21" s="1"/>
  <c r="S24" i="21" a="1"/>
  <c r="S24" i="21" s="1"/>
  <c r="S27" i="21" a="1"/>
  <c r="S27" i="21" s="1"/>
  <c r="S30" i="21" a="1"/>
  <c r="S30" i="21" s="1"/>
  <c r="S22" i="21" a="1"/>
  <c r="S22" i="21" s="1"/>
  <c r="T23" i="21" a="1"/>
  <c r="T23" i="21" s="1"/>
  <c r="S25" i="21" a="1"/>
  <c r="S25" i="21" s="1"/>
  <c r="T26" i="21" a="1"/>
  <c r="T26" i="21" s="1"/>
  <c r="S28" i="21" a="1"/>
  <c r="S28" i="21" s="1"/>
  <c r="Q25" i="21" a="1"/>
  <c r="Q25" i="21" s="1"/>
  <c r="U26" i="21" a="1"/>
  <c r="U26" i="21" s="1"/>
  <c r="V22" i="21" a="1"/>
  <c r="V22" i="21" s="1"/>
  <c r="W23" i="21" a="1"/>
  <c r="W23" i="21" s="1"/>
  <c r="X27" i="21" a="1"/>
  <c r="X27" i="21" s="1"/>
  <c r="Q29" i="21" a="1"/>
  <c r="Q29" i="21" s="1"/>
  <c r="T30" i="21" a="1"/>
  <c r="T30" i="21" s="1"/>
  <c r="V26" i="21" a="1"/>
  <c r="V26" i="21" s="1"/>
  <c r="T29" i="21" a="1"/>
  <c r="T29" i="21" s="1"/>
  <c r="W22" i="21" a="1"/>
  <c r="W22" i="21" s="1"/>
  <c r="R24" i="21" a="1"/>
  <c r="R24" i="21" s="1"/>
  <c r="X25" i="21" a="1"/>
  <c r="X25" i="21" s="1"/>
  <c r="Q22" i="21" a="1"/>
  <c r="Q22" i="21" s="1"/>
  <c r="T24" i="21" a="1"/>
  <c r="T24" i="21" s="1"/>
  <c r="Q28" i="21" a="1"/>
  <c r="Q28" i="21" s="1"/>
  <c r="V29" i="21" a="1"/>
  <c r="V29" i="21" s="1"/>
  <c r="Q26" i="21" a="1"/>
  <c r="Q26" i="21" s="1"/>
  <c r="U24" i="21" a="1"/>
  <c r="U24" i="21" s="1"/>
  <c r="W29" i="21" a="1"/>
  <c r="W29" i="21" s="1"/>
  <c r="X22" i="21" a="1"/>
  <c r="X22" i="21" s="1"/>
  <c r="W26" i="21" a="1"/>
  <c r="W26" i="21" s="1"/>
  <c r="V28" i="21" a="1"/>
  <c r="V28" i="21" s="1"/>
  <c r="S31" i="21"/>
  <c r="X31" i="21"/>
  <c r="X24" i="21" a="1"/>
  <c r="X24" i="21" s="1"/>
  <c r="R30" i="21" a="1"/>
  <c r="R30" i="21" s="1"/>
  <c r="Q23" i="21" a="1"/>
  <c r="Q23" i="21" s="1"/>
  <c r="W28" i="21" a="1"/>
  <c r="W28" i="21" s="1"/>
  <c r="U30" i="21" a="1"/>
  <c r="U30" i="21" s="1"/>
  <c r="V25" i="21" a="1"/>
  <c r="V25" i="21" s="1"/>
  <c r="R27" i="21" a="1"/>
  <c r="R27" i="21" s="1"/>
  <c r="U23" i="21" a="1"/>
  <c r="U23" i="21" s="1"/>
  <c r="T27" i="21" a="1"/>
  <c r="T27" i="21" s="1"/>
  <c r="X28" i="21" a="1"/>
  <c r="X28" i="21" s="1"/>
  <c r="W25" i="21" a="1"/>
  <c r="W25" i="21" s="1"/>
  <c r="X30" i="21" a="1"/>
  <c r="X30" i="21" s="1"/>
  <c r="V23" i="21" a="1"/>
  <c r="V23" i="21" s="1"/>
  <c r="U27" i="21" a="1"/>
  <c r="U27" i="21" s="1"/>
  <c r="U29" i="21" a="1"/>
  <c r="U29" i="21" s="1"/>
  <c r="V31" i="21"/>
  <c r="W31" i="21"/>
  <c r="T31" i="21"/>
  <c r="U31" i="21"/>
  <c r="P21" i="21"/>
  <c r="R31" i="21"/>
  <c r="Q31" i="21"/>
  <c r="P94" i="21" a="1"/>
  <c r="P23" i="21" a="1"/>
  <c r="P23" i="21" s="1"/>
  <c r="P26" i="21" a="1"/>
  <c r="P26" i="21" s="1"/>
  <c r="P81" i="21" a="1"/>
  <c r="G7" i="15"/>
  <c r="H7" i="15" s="1"/>
  <c r="P9" i="21" l="1" a="1"/>
  <c r="P9" i="21" s="1"/>
  <c r="P16" i="21" a="1"/>
  <c r="P16" i="21" s="1"/>
  <c r="P12" i="21" a="1"/>
  <c r="P12" i="21" s="1"/>
  <c r="P17" i="21" a="1"/>
  <c r="P17" i="21" s="1"/>
  <c r="P11" i="21" a="1"/>
  <c r="P11" i="21" s="1"/>
  <c r="P14" i="21" a="1"/>
  <c r="P14" i="21" s="1"/>
  <c r="P18" i="21"/>
  <c r="P15" i="21" a="1"/>
  <c r="P15" i="21" s="1"/>
  <c r="P13" i="21" a="1"/>
  <c r="P13" i="21" s="1"/>
  <c r="P10" i="21" a="1"/>
  <c r="P10" i="21" s="1"/>
  <c r="P27" i="21" a="1"/>
  <c r="P27" i="21" s="1"/>
  <c r="P30" i="21" a="1"/>
  <c r="P30" i="21" s="1"/>
  <c r="P25" i="21" a="1"/>
  <c r="P25" i="21" s="1"/>
  <c r="P28" i="21" a="1"/>
  <c r="P28" i="21" s="1"/>
  <c r="P31" i="21"/>
  <c r="P22" i="21" a="1"/>
  <c r="P22" i="21" s="1"/>
  <c r="P24" i="21" a="1"/>
  <c r="P24" i="21" s="1"/>
  <c r="P29" i="21" a="1"/>
  <c r="P29" i="21" s="1"/>
  <c r="W100" i="21" a="1"/>
  <c r="W100" i="21" s="1"/>
  <c r="Q95" i="21" a="1"/>
  <c r="Q95" i="21" s="1"/>
  <c r="X95" i="21" a="1"/>
  <c r="X95" i="21" s="1"/>
  <c r="U97" i="21" a="1"/>
  <c r="U97" i="21" s="1"/>
  <c r="R99" i="21" a="1"/>
  <c r="R99" i="21" s="1"/>
  <c r="R95" i="21" a="1"/>
  <c r="R95" i="21" s="1"/>
  <c r="W104" i="21"/>
  <c r="P94" i="21"/>
  <c r="V104" i="21"/>
  <c r="Q104" i="21"/>
  <c r="W96" i="21" a="1"/>
  <c r="W96" i="21" s="1"/>
  <c r="T98" i="21" a="1"/>
  <c r="T98" i="21" s="1"/>
  <c r="Q100" i="21" a="1"/>
  <c r="Q100" i="21" s="1"/>
  <c r="V101" i="21" a="1"/>
  <c r="V101" i="21" s="1"/>
  <c r="S103" i="21" a="1"/>
  <c r="S103" i="21" s="1"/>
  <c r="Q96" i="21" a="1"/>
  <c r="Q96" i="21" s="1"/>
  <c r="V97" i="21" a="1"/>
  <c r="V97" i="21" s="1"/>
  <c r="S99" i="21" a="1"/>
  <c r="S99" i="21" s="1"/>
  <c r="X100" i="21" a="1"/>
  <c r="X100" i="21" s="1"/>
  <c r="T103" i="21" a="1"/>
  <c r="T103" i="21" s="1"/>
  <c r="S95" i="21" a="1"/>
  <c r="S95" i="21" s="1"/>
  <c r="T96" i="21" a="1"/>
  <c r="T96" i="21" s="1"/>
  <c r="V98" i="21" a="1"/>
  <c r="V98" i="21" s="1"/>
  <c r="T95" i="21" a="1"/>
  <c r="T95" i="21" s="1"/>
  <c r="W99" i="21" a="1"/>
  <c r="W99" i="21" s="1"/>
  <c r="Q102" i="21" a="1"/>
  <c r="Q102" i="21" s="1"/>
  <c r="Q103" i="21" a="1"/>
  <c r="Q103" i="21" s="1"/>
  <c r="U96" i="21" a="1"/>
  <c r="U96" i="21" s="1"/>
  <c r="W97" i="21" a="1"/>
  <c r="W97" i="21" s="1"/>
  <c r="W98" i="21" a="1"/>
  <c r="W98" i="21" s="1"/>
  <c r="Q101" i="21" a="1"/>
  <c r="Q101" i="21" s="1"/>
  <c r="W95" i="21" a="1"/>
  <c r="W95" i="21" s="1"/>
  <c r="S97" i="21" a="1"/>
  <c r="S97" i="21" s="1"/>
  <c r="T100" i="21" a="1"/>
  <c r="T100" i="21" s="1"/>
  <c r="W101" i="21" a="1"/>
  <c r="W101" i="21" s="1"/>
  <c r="R96" i="21" a="1"/>
  <c r="R96" i="21" s="1"/>
  <c r="T97" i="21" a="1"/>
  <c r="T97" i="21" s="1"/>
  <c r="Q99" i="21" a="1"/>
  <c r="Q99" i="21" s="1"/>
  <c r="X101" i="21" a="1"/>
  <c r="X101" i="21" s="1"/>
  <c r="U103" i="21" a="1"/>
  <c r="U103" i="21" s="1"/>
  <c r="U100" i="21" a="1"/>
  <c r="U100" i="21" s="1"/>
  <c r="R102" i="21" a="1"/>
  <c r="R102" i="21" s="1"/>
  <c r="S96" i="21" a="1"/>
  <c r="S96" i="21" s="1"/>
  <c r="X97" i="21" a="1"/>
  <c r="X97" i="21" s="1"/>
  <c r="V103" i="21" a="1"/>
  <c r="V103" i="21" s="1"/>
  <c r="S98" i="21" a="1"/>
  <c r="S98" i="21" s="1"/>
  <c r="V100" i="21" a="1"/>
  <c r="V100" i="21" s="1"/>
  <c r="W102" i="21" a="1"/>
  <c r="W102" i="21" s="1"/>
  <c r="V96" i="21" a="1"/>
  <c r="V96" i="21" s="1"/>
  <c r="U98" i="21" a="1"/>
  <c r="U98" i="21" s="1"/>
  <c r="R101" i="21" a="1"/>
  <c r="R101" i="21" s="1"/>
  <c r="X96" i="21" a="1"/>
  <c r="X96" i="21" s="1"/>
  <c r="X102" i="21" a="1"/>
  <c r="X102" i="21" s="1"/>
  <c r="X98" i="21" a="1"/>
  <c r="X98" i="21" s="1"/>
  <c r="S101" i="21" a="1"/>
  <c r="S101" i="21" s="1"/>
  <c r="R103" i="21" a="1"/>
  <c r="R103" i="21" s="1"/>
  <c r="Q97" i="21" a="1"/>
  <c r="Q97" i="21" s="1"/>
  <c r="T99" i="21" a="1"/>
  <c r="T99" i="21" s="1"/>
  <c r="T101" i="21" a="1"/>
  <c r="T101" i="21" s="1"/>
  <c r="W103" i="21" a="1"/>
  <c r="W103" i="21" s="1"/>
  <c r="R97" i="21" a="1"/>
  <c r="R97" i="21" s="1"/>
  <c r="U99" i="21" a="1"/>
  <c r="U99" i="21" s="1"/>
  <c r="V99" i="21" a="1"/>
  <c r="V99" i="21" s="1"/>
  <c r="U101" i="21" a="1"/>
  <c r="U101" i="21" s="1"/>
  <c r="X103" i="21" a="1"/>
  <c r="X103" i="21" s="1"/>
  <c r="U95" i="21" a="1"/>
  <c r="U95" i="21" s="1"/>
  <c r="X104" i="21"/>
  <c r="R104" i="21"/>
  <c r="U104" i="21"/>
  <c r="X99" i="21" a="1"/>
  <c r="X99" i="21" s="1"/>
  <c r="S102" i="21" a="1"/>
  <c r="S102" i="21" s="1"/>
  <c r="Q98" i="21" a="1"/>
  <c r="Q98" i="21" s="1"/>
  <c r="R100" i="21" a="1"/>
  <c r="R100" i="21" s="1"/>
  <c r="V95" i="21" a="1"/>
  <c r="V95" i="21" s="1"/>
  <c r="R98" i="21" a="1"/>
  <c r="R98" i="21" s="1"/>
  <c r="V102" i="21" a="1"/>
  <c r="V102" i="21" s="1"/>
  <c r="S100" i="21" a="1"/>
  <c r="S100" i="21" s="1"/>
  <c r="T104" i="21"/>
  <c r="S104" i="21"/>
  <c r="T102" i="21" a="1"/>
  <c r="T102" i="21" s="1"/>
  <c r="U102" i="21" a="1"/>
  <c r="U102" i="21" s="1"/>
  <c r="U82" i="21" a="1"/>
  <c r="U82" i="21" s="1"/>
  <c r="X84" i="21" a="1"/>
  <c r="X84" i="21" s="1"/>
  <c r="V85" i="21" a="1"/>
  <c r="V85" i="21" s="1"/>
  <c r="T86" i="21" a="1"/>
  <c r="T86" i="21" s="1"/>
  <c r="R87" i="21" a="1"/>
  <c r="R87" i="21" s="1"/>
  <c r="X87" i="21" a="1"/>
  <c r="X87" i="21" s="1"/>
  <c r="V88" i="21" a="1"/>
  <c r="V88" i="21" s="1"/>
  <c r="T89" i="21" a="1"/>
  <c r="T89" i="21" s="1"/>
  <c r="R90" i="21" a="1"/>
  <c r="R90" i="21" s="1"/>
  <c r="X90" i="21" a="1"/>
  <c r="X90" i="21" s="1"/>
  <c r="T83" i="21" a="1"/>
  <c r="T83" i="21" s="1"/>
  <c r="R84" i="21" a="1"/>
  <c r="R84" i="21" s="1"/>
  <c r="V82" i="21" a="1"/>
  <c r="V82" i="21" s="1"/>
  <c r="S84" i="21" a="1"/>
  <c r="S84" i="21" s="1"/>
  <c r="Q85" i="21" a="1"/>
  <c r="Q85" i="21" s="1"/>
  <c r="W85" i="21" a="1"/>
  <c r="W85" i="21" s="1"/>
  <c r="U86" i="21" a="1"/>
  <c r="U86" i="21" s="1"/>
  <c r="S87" i="21" a="1"/>
  <c r="S87" i="21" s="1"/>
  <c r="Q88" i="21" a="1"/>
  <c r="Q88" i="21" s="1"/>
  <c r="W88" i="21" a="1"/>
  <c r="W88" i="21" s="1"/>
  <c r="U89" i="21" a="1"/>
  <c r="U89" i="21" s="1"/>
  <c r="S90" i="21" a="1"/>
  <c r="S90" i="21" s="1"/>
  <c r="Q83" i="21" a="1"/>
  <c r="Q83" i="21" s="1"/>
  <c r="Q84" i="21" a="1"/>
  <c r="Q84" i="21" s="1"/>
  <c r="R86" i="21" a="1"/>
  <c r="R86" i="21" s="1"/>
  <c r="R89" i="21" a="1"/>
  <c r="R89" i="21" s="1"/>
  <c r="R82" i="21" a="1"/>
  <c r="R82" i="21" s="1"/>
  <c r="R83" i="21" a="1"/>
  <c r="R83" i="21" s="1"/>
  <c r="S85" i="21" a="1"/>
  <c r="S85" i="21" s="1"/>
  <c r="S88" i="21" a="1"/>
  <c r="S88" i="21" s="1"/>
  <c r="T84" i="21" a="1"/>
  <c r="T84" i="21" s="1"/>
  <c r="S86" i="21" a="1"/>
  <c r="S86" i="21" s="1"/>
  <c r="T87" i="21" a="1"/>
  <c r="T87" i="21" s="1"/>
  <c r="S89" i="21" a="1"/>
  <c r="S89" i="21" s="1"/>
  <c r="T90" i="21" a="1"/>
  <c r="T90" i="21" s="1"/>
  <c r="X82" i="21" a="1"/>
  <c r="X82" i="21" s="1"/>
  <c r="U84" i="21" a="1"/>
  <c r="U84" i="21" s="1"/>
  <c r="W89" i="21" a="1"/>
  <c r="W89" i="21" s="1"/>
  <c r="X85" i="21" a="1"/>
  <c r="X85" i="21" s="1"/>
  <c r="Q87" i="21" a="1"/>
  <c r="Q87" i="21" s="1"/>
  <c r="U88" i="21" a="1"/>
  <c r="U88" i="21" s="1"/>
  <c r="S83" i="21" a="1"/>
  <c r="S83" i="21" s="1"/>
  <c r="V84" i="21" a="1"/>
  <c r="V84" i="21" s="1"/>
  <c r="X89" i="21" a="1"/>
  <c r="X89" i="21" s="1"/>
  <c r="U83" i="21" a="1"/>
  <c r="U83" i="21" s="1"/>
  <c r="Q86" i="21" a="1"/>
  <c r="Q86" i="21" s="1"/>
  <c r="U87" i="21" a="1"/>
  <c r="U87" i="21" s="1"/>
  <c r="Q82" i="21" a="1"/>
  <c r="Q82" i="21" s="1"/>
  <c r="Q90" i="21" a="1"/>
  <c r="Q90" i="21" s="1"/>
  <c r="S82" i="21" a="1"/>
  <c r="S82" i="21" s="1"/>
  <c r="X83" i="21" a="1"/>
  <c r="X83" i="21" s="1"/>
  <c r="R88" i="21" a="1"/>
  <c r="R88" i="21" s="1"/>
  <c r="U90" i="21" a="1"/>
  <c r="U90" i="21" s="1"/>
  <c r="T82" i="21" a="1"/>
  <c r="T82" i="21" s="1"/>
  <c r="V86" i="21" a="1"/>
  <c r="V86" i="21" s="1"/>
  <c r="T88" i="21" a="1"/>
  <c r="T88" i="21" s="1"/>
  <c r="W84" i="21" a="1"/>
  <c r="W84" i="21" s="1"/>
  <c r="X88" i="21" a="1"/>
  <c r="X88" i="21" s="1"/>
  <c r="V90" i="21" a="1"/>
  <c r="V90" i="21" s="1"/>
  <c r="W86" i="21" a="1"/>
  <c r="W86" i="21" s="1"/>
  <c r="W82" i="21" a="1"/>
  <c r="W82" i="21" s="1"/>
  <c r="Q89" i="21" a="1"/>
  <c r="Q89" i="21" s="1"/>
  <c r="W90" i="21" a="1"/>
  <c r="W90" i="21" s="1"/>
  <c r="R85" i="21" a="1"/>
  <c r="R85" i="21" s="1"/>
  <c r="X86" i="21" a="1"/>
  <c r="X86" i="21" s="1"/>
  <c r="T85" i="21" a="1"/>
  <c r="T85" i="21" s="1"/>
  <c r="V83" i="21" a="1"/>
  <c r="V83" i="21" s="1"/>
  <c r="V87" i="21" a="1"/>
  <c r="V87" i="21" s="1"/>
  <c r="U85" i="21" a="1"/>
  <c r="U85" i="21" s="1"/>
  <c r="V89" i="21" a="1"/>
  <c r="V89" i="21" s="1"/>
  <c r="W83" i="21" a="1"/>
  <c r="W83" i="21" s="1"/>
  <c r="W87" i="21" a="1"/>
  <c r="W87" i="21" s="1"/>
  <c r="W91" i="21"/>
  <c r="T91" i="21"/>
  <c r="R91" i="21"/>
  <c r="X91" i="21"/>
  <c r="P81" i="21"/>
  <c r="Q91" i="21"/>
  <c r="V91" i="21"/>
  <c r="U91" i="21"/>
  <c r="S91" i="21"/>
  <c r="C3" i="15"/>
  <c r="D2" i="15"/>
  <c r="P96" i="21" l="1" a="1"/>
  <c r="P96" i="21" s="1"/>
  <c r="P99" i="21" a="1"/>
  <c r="P99" i="21" s="1"/>
  <c r="P102" i="21" a="1"/>
  <c r="P102" i="21" s="1"/>
  <c r="P97" i="21" a="1"/>
  <c r="P97" i="21" s="1"/>
  <c r="P100" i="21" a="1"/>
  <c r="P100" i="21" s="1"/>
  <c r="P103" i="21" a="1"/>
  <c r="P103" i="21" s="1"/>
  <c r="P98" i="21" a="1"/>
  <c r="P98" i="21" s="1"/>
  <c r="P101" i="21" a="1"/>
  <c r="P101" i="21" s="1"/>
  <c r="P95" i="21" a="1"/>
  <c r="P95" i="21" s="1"/>
  <c r="P104" i="21"/>
  <c r="P84" i="21" a="1"/>
  <c r="P84" i="21" s="1"/>
  <c r="P90" i="21" a="1"/>
  <c r="P90" i="21" s="1"/>
  <c r="P89" i="21" a="1"/>
  <c r="P89" i="21" s="1"/>
  <c r="P87" i="21" a="1"/>
  <c r="P87" i="21" s="1"/>
  <c r="P85" i="21" a="1"/>
  <c r="P85" i="21" s="1"/>
  <c r="P88" i="21" a="1"/>
  <c r="P88" i="21" s="1"/>
  <c r="P86" i="21" a="1"/>
  <c r="P86" i="21" s="1"/>
  <c r="P83" i="21" a="1"/>
  <c r="P83" i="21" s="1"/>
  <c r="P82" i="21" a="1"/>
  <c r="P82" i="21" s="1"/>
  <c r="P91" i="21"/>
  <c r="C4" i="15"/>
  <c r="D3" i="15"/>
  <c r="D4" i="15" l="1"/>
  <c r="K4" i="15" s="1"/>
  <c r="K5" i="15" s="1"/>
  <c r="D20" i="15"/>
  <c r="C20" i="15" s="1"/>
  <c r="D21" i="15"/>
  <c r="C21" i="15" s="1"/>
  <c r="D18" i="15"/>
  <c r="C18" i="15" s="1"/>
  <c r="D19" i="15"/>
  <c r="C19" i="15" s="1"/>
  <c r="D16" i="15"/>
  <c r="C16" i="15" s="1"/>
  <c r="D17" i="15"/>
  <c r="C17" i="15" s="1"/>
  <c r="D14" i="15"/>
  <c r="C14" i="15" s="1"/>
  <c r="D15" i="15"/>
  <c r="C15" i="15" s="1"/>
  <c r="D13" i="15"/>
  <c r="C13" i="15" s="1"/>
  <c r="D12" i="15"/>
  <c r="C12" i="15" s="1"/>
  <c r="D11" i="15"/>
  <c r="C11" i="15" s="1"/>
  <c r="D8" i="15"/>
  <c r="C8" i="15" s="1"/>
  <c r="D9" i="15"/>
  <c r="C9" i="15" s="1"/>
  <c r="D10" i="15"/>
  <c r="C10" i="15" s="1"/>
  <c r="F6" i="15"/>
  <c r="G6" i="15" s="1"/>
  <c r="H6" i="15" s="1"/>
  <c r="D7" i="15"/>
  <c r="C7" i="15" s="1"/>
  <c r="A81" i="7" l="1" a="1"/>
  <c r="C4" i="27" a="1"/>
  <c r="D80" i="7" l="1"/>
  <c r="D7" i="7" s="1"/>
  <c r="E80" i="7"/>
  <c r="E7" i="7" s="1"/>
  <c r="I80" i="7"/>
  <c r="B80" i="7"/>
  <c r="B7" i="7" s="1"/>
  <c r="G80" i="7"/>
  <c r="J80" i="7"/>
  <c r="C80" i="7"/>
  <c r="C7" i="7" s="1"/>
  <c r="F80" i="7"/>
  <c r="H80" i="7"/>
  <c r="A81" i="7"/>
  <c r="E5" i="27"/>
  <c r="D18" i="27"/>
  <c r="E17" i="27"/>
  <c r="E15" i="27"/>
  <c r="E12" i="27"/>
  <c r="D16" i="27"/>
  <c r="E21" i="27"/>
  <c r="E18" i="27"/>
  <c r="D8" i="27"/>
  <c r="D10" i="27"/>
  <c r="D19" i="27"/>
  <c r="E8" i="27"/>
  <c r="D11" i="27"/>
  <c r="E7" i="27"/>
  <c r="E14" i="27"/>
  <c r="D23" i="27"/>
  <c r="E13" i="27"/>
  <c r="E20" i="27"/>
  <c r="E11" i="27"/>
  <c r="E19" i="27"/>
  <c r="D9" i="27"/>
  <c r="E23" i="27"/>
  <c r="D22" i="27"/>
  <c r="D15" i="27"/>
  <c r="E16" i="27"/>
  <c r="D21" i="27"/>
  <c r="D17" i="27"/>
  <c r="D7" i="27"/>
  <c r="D14" i="27"/>
  <c r="E10" i="27"/>
  <c r="D13" i="27"/>
  <c r="D20" i="27"/>
  <c r="E22" i="27"/>
  <c r="D12" i="27"/>
  <c r="E9" i="27"/>
  <c r="E6" i="27"/>
  <c r="C4" i="27"/>
  <c r="D6" i="27"/>
  <c r="D5" i="27"/>
  <c r="A80" i="7" l="1"/>
  <c r="D2" i="19" a="1"/>
  <c r="D2" i="19" s="1"/>
  <c r="E4" i="27"/>
  <c r="D4" i="27"/>
  <c r="A8" i="7" l="1"/>
  <c r="A7" i="7"/>
  <c r="E2" i="19" a="1"/>
  <c r="E2" i="19" s="1"/>
  <c r="M16" i="19"/>
  <c r="O2" i="19" l="1" a="1"/>
  <c r="G2" i="19" a="1"/>
  <c r="M8" i="19"/>
  <c r="M11" i="19"/>
  <c r="M7" i="19"/>
  <c r="L7" i="19"/>
  <c r="M10" i="19"/>
  <c r="L9" i="19"/>
  <c r="L8" i="19"/>
  <c r="L11" i="19"/>
  <c r="M9" i="19"/>
  <c r="L10" i="19"/>
  <c r="O2" i="19" l="1"/>
  <c r="T2" i="19"/>
  <c r="T3" i="19" s="1"/>
  <c r="T4" i="19" s="1"/>
  <c r="T5" i="19" s="1"/>
  <c r="T6" i="19" s="1"/>
  <c r="T7" i="19" s="1"/>
  <c r="T8" i="19" s="1"/>
  <c r="T9" i="19" s="1"/>
  <c r="T10" i="19" s="1"/>
  <c r="T11" i="19" s="1"/>
  <c r="T12" i="19" s="1"/>
  <c r="T13" i="19" s="1"/>
  <c r="T14" i="19" s="1"/>
  <c r="T15" i="19" s="1"/>
  <c r="T16" i="19" s="1"/>
  <c r="L5" i="19"/>
  <c r="L3" i="19"/>
  <c r="M5" i="19"/>
  <c r="M3" i="19"/>
  <c r="L4" i="19"/>
  <c r="M4" i="19"/>
  <c r="L2" i="19"/>
  <c r="L6" i="19"/>
  <c r="G2" i="19"/>
  <c r="M6" i="19"/>
  <c r="M2" i="1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<sst xmlns="http://schemas.openxmlformats.org/spreadsheetml/2006/main" count="255" uniqueCount="187">
  <si>
    <t>A</t>
  </si>
  <si>
    <t>B</t>
  </si>
  <si>
    <t>C</t>
  </si>
  <si>
    <t>D</t>
  </si>
  <si>
    <t>E</t>
  </si>
  <si>
    <t>F</t>
  </si>
  <si>
    <t>G</t>
  </si>
  <si>
    <t>H</t>
  </si>
  <si>
    <t>J</t>
  </si>
  <si>
    <t>K</t>
  </si>
  <si>
    <t>L</t>
  </si>
  <si>
    <t>M</t>
  </si>
  <si>
    <t>N</t>
  </si>
  <si>
    <t>O</t>
  </si>
  <si>
    <t>P</t>
  </si>
  <si>
    <t>Y</t>
  </si>
  <si>
    <t>Q</t>
  </si>
  <si>
    <t>R</t>
  </si>
  <si>
    <t>T</t>
  </si>
  <si>
    <t>U</t>
  </si>
  <si>
    <t>V</t>
  </si>
  <si>
    <t>W</t>
  </si>
  <si>
    <t>X</t>
  </si>
  <si>
    <t>Z</t>
  </si>
  <si>
    <t>S</t>
  </si>
  <si>
    <t>Number of runs</t>
  </si>
  <si>
    <t>Number of factors</t>
  </si>
  <si>
    <t>Levels per factor</t>
  </si>
  <si>
    <t>Balanced?</t>
  </si>
  <si>
    <t>Orthogonality</t>
  </si>
  <si>
    <t>Loss of orthogonality</t>
  </si>
  <si>
    <t xml:space="preserve">Indicate here the factors and interactions to be included in the model (max. 25) </t>
  </si>
  <si>
    <t>Averages per level</t>
  </si>
  <si>
    <t>Grand average</t>
  </si>
  <si>
    <t>INSTRUCTIONS</t>
  </si>
  <si>
    <t>Xs</t>
  </si>
  <si>
    <t>Counts per level</t>
  </si>
  <si>
    <t>r2</t>
  </si>
  <si>
    <t>SS_model</t>
  </si>
  <si>
    <t>Total SS</t>
  </si>
  <si>
    <t>Model SS</t>
  </si>
  <si>
    <t>Model explained variability</t>
  </si>
  <si>
    <t>Y (with NA)</t>
  </si>
  <si>
    <t>Mean</t>
  </si>
  <si>
    <t>SD</t>
  </si>
  <si>
    <t>Variance</t>
  </si>
  <si>
    <t>Min</t>
  </si>
  <si>
    <t>Q1</t>
  </si>
  <si>
    <t>Median</t>
  </si>
  <si>
    <t>Q3</t>
  </si>
  <si>
    <t>Max</t>
  </si>
  <si>
    <t>n</t>
  </si>
  <si>
    <t>Scale min</t>
  </si>
  <si>
    <t>Scale max</t>
  </si>
  <si>
    <t>Frequency table</t>
  </si>
  <si>
    <t>Scale range</t>
  </si>
  <si>
    <t>Interval</t>
  </si>
  <si>
    <t>Median line</t>
  </si>
  <si>
    <t>Conditions</t>
  </si>
  <si>
    <t>Unique conditions</t>
  </si>
  <si>
    <t>Average</t>
  </si>
  <si>
    <t>Count</t>
  </si>
  <si>
    <t>SS</t>
  </si>
  <si>
    <t>Squared difference</t>
  </si>
  <si>
    <t>SS True Error</t>
  </si>
  <si>
    <t>DoF</t>
  </si>
  <si>
    <t>Residual SS</t>
  </si>
  <si>
    <t>Explained variability</t>
  </si>
  <si>
    <t>DF True Error</t>
  </si>
  <si>
    <t>DF</t>
  </si>
  <si>
    <t>TOTAL</t>
  </si>
  <si>
    <t>RESIDUAL</t>
  </si>
  <si>
    <t>.. Model lack of fit</t>
  </si>
  <si>
    <t>.. True error</t>
  </si>
  <si>
    <t>MODEL</t>
  </si>
  <si>
    <t>VAR</t>
  </si>
  <si>
    <t>F(VAR_LF/VAR_TE)</t>
  </si>
  <si>
    <t xml:space="preserve">If true error can be estimated, lack-of-fit should be not larger than true error </t>
  </si>
  <si>
    <t>Ypred</t>
  </si>
  <si>
    <t>I</t>
  </si>
  <si>
    <t>Residual</t>
  </si>
  <si>
    <t>By experimental order</t>
  </si>
  <si>
    <t>Order</t>
  </si>
  <si>
    <t>By predicted value</t>
  </si>
  <si>
    <t>p for H1:F&gt;Fcrit</t>
  </si>
  <si>
    <t>Main factors</t>
  </si>
  <si>
    <t>Treatments</t>
  </si>
  <si>
    <t>Balanced</t>
  </si>
  <si>
    <t>Variables</t>
  </si>
  <si>
    <t>SS%</t>
  </si>
  <si>
    <t>Effects [Higher - Lower]</t>
  </si>
  <si>
    <t>Effects [Range]</t>
  </si>
  <si>
    <t>Cum SS%</t>
  </si>
  <si>
    <t>Effects +</t>
  </si>
  <si>
    <t>Effects -</t>
  </si>
  <si>
    <t>Total MC</t>
  </si>
  <si>
    <t>Factor variance contribution</t>
  </si>
  <si>
    <t>Std. Dev.</t>
  </si>
  <si>
    <t>Jarque-Vera test</t>
  </si>
  <si>
    <t>JB</t>
  </si>
  <si>
    <t>p (norm.)</t>
  </si>
  <si>
    <t>Go to the MODEL sheet and indicate the model to be analyzed (only main factors and interaction terms, quadratic factors can also be included).</t>
  </si>
  <si>
    <t>MAIN RESULTS</t>
  </si>
  <si>
    <t>Orthogonality of the design</t>
  </si>
  <si>
    <t>Responses</t>
  </si>
  <si>
    <t>Exploratory data analysis &gt;&gt;</t>
  </si>
  <si>
    <t>Effects &gt;&gt;</t>
  </si>
  <si>
    <t>Pareto chart</t>
  </si>
  <si>
    <t>Main effects plots</t>
  </si>
  <si>
    <t>Two-factor interaction plots</t>
  </si>
  <si>
    <t>Model &gt;&gt;</t>
  </si>
  <si>
    <t>Residuals &gt;&gt;</t>
  </si>
  <si>
    <t>Residuals plots (vs experimental order &amp; vs predicted value)</t>
  </si>
  <si>
    <t>Residual normality test</t>
  </si>
  <si>
    <t>Jarque-Bera test</t>
  </si>
  <si>
    <t># components</t>
  </si>
  <si>
    <t>t</t>
  </si>
  <si>
    <t>F(Type II - Unique SS)</t>
  </si>
  <si>
    <t>Model ANOVA</t>
  </si>
  <si>
    <t>Copy your experimental matrix in the EXP_MATRIX sheet.</t>
  </si>
  <si>
    <t>(as determinant of the correlation matrix)</t>
  </si>
  <si>
    <t>(as determinant of the correlation matrix for the model matrix)</t>
  </si>
  <si>
    <t>Enter the components on your model into the yellow cells.
Factors shall be included names with uppercase letters (A-X,Z). Interactions should indicated as ordered uppercase string, e.g, AB or ACD. Quadratic terms (e.g. A2) can also be included provided the variable is quantitative and at least three levels are included for these factors.
Intercept is always included in the model and can not be taken out.</t>
  </si>
  <si>
    <t>Enter your experimental matrix into the yellow cells. Leave them blank for the columns and rows you don't need to use.
Feel free to leave the Y column empty in case you only need to analyze the design matrix or still do not have the outcomes of your experiment.
Many calculations on this workbook will work better (or be easier to interpret) if you use standard coding for your design matrix, i.e. experimental domain for each factor coded from -1 to 1.
This workbook can handle up to 25 factors, 25 model components and 70 experimental runs.</t>
  </si>
  <si>
    <t>Check for ouliers and trends in the outcome. Any of these conditions will require revising the initial data and/or taking extra caution when interpreting the results.</t>
  </si>
  <si>
    <t>&lt;&lt; High-Low</t>
  </si>
  <si>
    <t>&lt;&lt; Range</t>
  </si>
  <si>
    <t>Component explained variability wil only make sense if the model matrix is fully orthogonal.
Extreme caution if this is not the case.</t>
  </si>
  <si>
    <t>The correlation matrix for the design matrix shall be the identity matrix for orthogonal designs. Double-check your design if this is not the case.
Any non-diagonal element above 0,5 (in absolute value) may lead to misinterpretation of the results.</t>
  </si>
  <si>
    <t xml:space="preserve">Pareto is used to select which components are of importance. Components with larger effects (in absolute value) should be included in the analysis and conclusions. When curve flatens down, we consider that components on the right are no longer important. Contributions are only valid if components are orthogonal.
Common practice aims for an explained variability above 80% and tends to exclude interactions of non-relevant variables (if a factor is not important neither are their interactions).
</t>
  </si>
  <si>
    <t>The steeper the slope, the greater the importance of the factor.
Remember that relevant interaction should be analyzed in the first place.</t>
  </si>
  <si>
    <t>The other worksheets include some alternative analyses and some intermediate calculations.</t>
  </si>
  <si>
    <t>p</t>
  </si>
  <si>
    <t xml:space="preserve">If the model is a good fit, residuals should not show any trend or cyclic behavior neither when presented in experimental order nor when presented versus the predicted value. </t>
  </si>
  <si>
    <t>Residuals should be randomly distributed.
They should align in a normal QQ plot and p for the Jarque-Bera test (or other normality test) should be above 0,05.</t>
  </si>
  <si>
    <t>The analysis of variance (ANOVA) allows testing the significance of the model and the coefficients.
Formally only significant component are to be kept in the final model. However, some near to significant terms are sometimes kept if higher-order interactions are significant.
For an explantion on the types of model ANOVA, you may want to check https://link.springer.com/content/pdf/10.1023/A:1023260610025.pdf, https://www.uvm.edu/~statdhtx/StatPages/Special%20Topics%20Folder/Type%201%20etc.pdf%20copy.pdf, or https://www.r-bloggers.com/2011/03/anova-%E2%80%93-type-iiiiii-ss-explained/.</t>
  </si>
  <si>
    <t>(leave blank to present the first interaccions in the model)</t>
  </si>
  <si>
    <t>Enter the interaccions to plot</t>
  </si>
  <si>
    <t>Interaction charts are shown for the two first 2-factor interaction components in the model (or select the interactions to visualize in the yellow cells).
A change in the slope of the data series indicates interaction between the variables.
Look for the largest (or the minimal) value of Y to figure out the optimal conditions.</t>
  </si>
  <si>
    <t>Prediction</t>
  </si>
  <si>
    <t>S_Ypred</t>
  </si>
  <si>
    <t>b</t>
  </si>
  <si>
    <t>S_b</t>
  </si>
  <si>
    <t>S_res</t>
  </si>
  <si>
    <t>Means x</t>
  </si>
  <si>
    <t>AC</t>
  </si>
  <si>
    <t>gl</t>
  </si>
  <si>
    <t>alpha</t>
  </si>
  <si>
    <t>k</t>
  </si>
  <si>
    <t>CI_upr</t>
  </si>
  <si>
    <t>CI_lwr</t>
  </si>
  <si>
    <t>Analyses for center and pseudo-center points</t>
  </si>
  <si>
    <t>CI Ypred</t>
  </si>
  <si>
    <t>Slope</t>
  </si>
  <si>
    <t>S_slope</t>
  </si>
  <si>
    <t>Orthogonality of the model components</t>
  </si>
  <si>
    <t>EXP_MATRIX</t>
  </si>
  <si>
    <t>DESIGN_CORRELATION</t>
  </si>
  <si>
    <t>EDA</t>
  </si>
  <si>
    <t>MODEL_PARETO</t>
  </si>
  <si>
    <t>MODEL_MAINEFFECTS</t>
  </si>
  <si>
    <t>MODEL_INTERACTIONS</t>
  </si>
  <si>
    <t>MODEL_FIT</t>
  </si>
  <si>
    <t>MODEL_ANOVA</t>
  </si>
  <si>
    <t>MODEL_RESIDUALPLOTS</t>
  </si>
  <si>
    <t>MODEL_RESIDUALSQQ</t>
  </si>
  <si>
    <t>MODEL_PREDICTION</t>
  </si>
  <si>
    <t>CENTER_POINTS</t>
  </si>
  <si>
    <t>Model fit</t>
  </si>
  <si>
    <t>MODEL_CORRELATION</t>
  </si>
  <si>
    <t>Design &gt;&gt;</t>
  </si>
  <si>
    <t>The correlation matrix for the components of the model shall be the identity matrix for orthogonal designs. Double-check your design if this is not the case.
Any non-diagonal element above 0,5 (in absolute value) may lead to misinterpretation of the results.</t>
  </si>
  <si>
    <t>To check the validity of the model…
- check on the r2 value (the closer to 1 the better),
- check the p-value, it should be below 0,05,
- check the significance of the coefficients (full test in the MODEL_ANOVA sheet). Coeffcient should be at least twice the error (in absolute value).</t>
  </si>
  <si>
    <t># data points</t>
  </si>
  <si>
    <t>Adj r2</t>
  </si>
  <si>
    <t>This workbook requires Office 365 (Excel 2021 or newer).
License: CC-BY-SA 4-0, https://creativecommons.org/licenses/by-sa/4.0/
2024-2025, Jordi Cuadros, IQS Univ Ramon Llull, https://orcid.org/0000-0001-6513-9140</t>
  </si>
  <si>
    <t>Enter the values for the components of the model in the yellow cells in order to evaluate the outcome (mean population value) at these conditions.  Include the interactions if needed.
Standard deviation for the predicted value, and confidence interval are also calculated (for the significance level set by the user, common value is 0,05). 
For additional details, check
https://stats.libretexts.org/Bookshelves/Advanced_Statistics/Intermediate_Statistics_with_R_(Greenwood)/07%3A_Simple_linear_regression_inference/7.07%3A_Confidence_interval_for_the_mean_and_prediction_intervals_for_a_new_observation</t>
  </si>
  <si>
    <t>Enter the center or pseudo-center points in the yellow cells (outcome and model components). Include the interactions if needed.
(1) Average of experimental outcomes shall be within the CI obtained for the model. 
(2) Outcomes should not follow any trend.
(3) If so, standard deviation of the outcomes provide an estimate for the error of the data.</t>
  </si>
  <si>
    <t>SE_Av</t>
  </si>
  <si>
    <t>PI_lwr</t>
  </si>
  <si>
    <t>PI_upr</t>
  </si>
  <si>
    <t>Linear regression</t>
  </si>
  <si>
    <t>i</t>
  </si>
  <si>
    <t>Av(Y)</t>
  </si>
  <si>
    <t>SDYpred</t>
  </si>
  <si>
    <t>Explained variability (ANOVA Type II - Unique SS)</t>
  </si>
  <si>
    <t>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</si>
</sst>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scheme val="minor"/>
    </font>
    <font>
      <sz val="11"/>
      <color theme="1"/>
      <name val="Calibri"/>
      <family val="2"/>
      <scheme val="minor"/>
    </font>
    <font>
      <sz val="11"/>
      <color theme="0"/>
      <name val="Calibri"/>
      <family val="2"/>
      <scheme val="minor"/>
    </font>
    <font>
      <b/>
      <i/>
      <sz val="11"/>
      <color theme="1"/>
      <name val="Calibri"/>
      <family val="2"/>
      <scheme val="minor"/>
    </font>
    <font>
      <sz val="11"/>
      <color theme="1"/>
      <name val="Calibri"/>
      <family val="2"/>
    </font>
    <font>
      <b/>
      <sz val="11"/>
      <color rgb="FFFF0000"/>
      <name val="Calibri"/>
      <family val="2"/>
      <scheme val="minor"/>
    </font>
    <font>
      <u/>
      <sz val="11"/>
      <color theme="10"/>
      <name val="Calibri"/>
      <family val="2"/>
      <scheme val="minor"/>
    </font>
    <font>
      <b/>
      <sz val="11"/>
      <color theme="1"/>
      <name val="Calibri"/>
      <family val="2"/>
      <scheme val="minor"/>
    </font>
    <font>
      <i/>
      <sz val="11"/>
      <color theme="1"/>
      <name val="Calibri"/>
      <family val="2"/>
      <scheme val="minor"/>
    </font>
    <font>
      <b/>
      <sz val="11"/>
      <name val="Calibri"/>
      <family val="2"/>
      <scheme val="minor"/>
    </font>
    <font>
      <sz val="1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theme="0"/>
        <bgColor indexed="64"/>
      </patternFill>
    </fill>
    <fill>
      <patternFill patternType="solid">
        <fgColor them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3">
    <xf numFmtId="0" fontId="0" fillId="0" borderId="0"/>
    <xf numFmtId="9" fontId="1" fillId="0" borderId="0" applyFont="0" applyFill="0" applyBorder="0" applyAlignment="0" applyProtection="0"/>
    <xf numFmtId="0" fontId="6" fillId="0" borderId="0" applyNumberFormat="0" applyFill="0" applyBorder="0" applyAlignment="0" applyProtection="0"/>
  </cellStyleXfs>
  <cellXfs count="29">
    <xf numFmtId="0" fontId="0" fillId="0" borderId="0" xfId="0"/>
    <xf numFmtId="0" fontId="0" fillId="0" borderId="1" xfId="0" applyBorder="1"/>
    <xf numFmtId="0" fontId="0" fillId="2" borderId="1" xfId="0" applyFill="1" applyBorder="1"/>
    <xf numFmtId="0" fontId="2" fillId="0" borderId="0" xfId="0" applyFont="1"/>
    <xf numFmtId="0" fontId="3" fillId="0" borderId="0" xfId="0" applyFont="1"/>
    <xf numFmtId="9" fontId="0" fillId="0" borderId="0" xfId="1" applyFont="1"/>
    <xf numFmtId="9" fontId="0" fillId="0" borderId="0" xfId="0" applyNumberFormat="1"/>
    <xf numFmtId="0" fontId="4" fillId="0" borderId="0" xfId="0" applyFont="1"/>
    <xf numFmtId="0" fontId="5" fillId="0" borderId="0" xfId="0" applyFont="1"/>
    <xf numFmtId="0" fontId="0" fillId="0" borderId="2" xfId="0" applyBorder="1"/>
    <xf numFmtId="0" fontId="0" fillId="0" borderId="3" xfId="0" applyBorder="1"/>
    <xf numFmtId="164" fontId="0" fillId="0" borderId="0" xfId="1" applyNumberFormat="1" applyFont="1"/>
    <xf numFmtId="0" fontId="0" fillId="0" borderId="0" xfId="1" applyNumberFormat="1" applyFont="1"/>
    <xf numFmtId="0" fontId="6" fillId="0" borderId="0" xfId="2"/>
    <xf numFmtId="0" fontId="7" fillId="0" borderId="0" xfId="0" applyFont="1"/>
    <xf numFmtId="0" fontId="8" fillId="0" borderId="0" xfId="0" applyFont="1"/>
    <xf numFmtId="0" fontId="9" fillId="0" borderId="0" xfId="0" applyFont="1"/>
    <xf numFmtId="0" fontId="10" fillId="0" borderId="0" xfId="0" applyFont="1"/>
    <xf numFmtId="0" fontId="0" fillId="3" borderId="0" xfId="0" applyFill="1"/>
    <xf numFmtId="0" fontId="0" fillId="4" borderId="0" xfId="0" applyFill="1"/>
    <xf numFmtId="0" fontId="0" fillId="3" borderId="0" xfId="0" applyFill="1" applyAlignment="1">
      <alignment horizontal="left" vertical="top" wrapText="1"/>
    </xf>
    <xf numFmtId="0" fontId="0" fillId="3" borderId="0" xfId="0" applyFill="1" applyAlignment="1">
      <alignment horizontal="left" vertical="top"/>
    </xf>
    <xf numFmtId="9" fontId="0" fillId="0" borderId="0" xfId="0" applyNumberFormat="1"/>
    <xf numFmtId="0" fontId="0" fillId="0" borderId="0" xfId="0"/>
    <xf numFmtId="0" fontId="0" fillId="0" borderId="0" xfId="0" applyAlignment="1">
      <alignment horizontal="left"/>
    </xf>
    <xf numFmtId="9" fontId="0" fillId="0" borderId="0" xfId="1" applyFont="1" applyAlignment="1"/>
    <xf numFmtId="0" fontId="0" fillId="5" borderId="0" xfId="0" applyFill="1" applyAlignment="1">
      <alignment horizontal="left" vertical="top" wrapText="1"/>
    </xf>
    <xf numFmtId="0" fontId="0" fillId="5" borderId="0" xfId="0" applyFill="1" applyAlignment="1">
      <alignment horizontal="left" vertical="top"/>
    </xf>
    <xf numFmtId="0" fontId="0" fillId="0" borderId="0" xfId="0" applyAlignment="1">
      <alignment horizontal="left" vertical="top" wrapText="1"/>
    </xf>
  </cellXfs>
  <cellStyles count="3">
    <cellStyle name="Hipervínculo" xfId="2" builtinId="8"/>
    <cellStyle name="Normal" xfId="0" builtinId="0"/>
    <cellStyle name="Porcentaje" xfId="1" builtinId="5"/>
  </cellStyles>
  <dxfs count="9">
    <dxf>
      <font>
        <color rgb="FFFF0000"/>
      </font>
    </dxf>
    <dxf>
      <fill>
        <patternFill>
          <bgColor theme="0" tint="-4.9989318521683403E-2"/>
        </patternFill>
      </fill>
    </dxf>
    <dxf>
      <font>
        <color theme="0"/>
      </font>
    </dxf>
    <dxf>
      <font>
        <color rgb="FFC00000"/>
      </font>
      <fill>
        <patternFill>
          <bgColor rgb="FFC00000"/>
        </patternFill>
      </fill>
    </dxf>
    <dxf>
      <fill>
        <patternFill>
          <bgColor theme="0" tint="-4.9989318521683403E-2"/>
        </patternFill>
      </fill>
    </dxf>
    <dxf>
      <font>
        <color theme="0"/>
      </font>
    </dxf>
    <dxf>
      <font>
        <color rgb="FFC00000"/>
      </font>
      <fill>
        <patternFill>
          <bgColor rgb="FFC000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themeOverride" Target="../theme/themeOverride11.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themeOverride" Target="../theme/themeOverride12.xml"/><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3" Type="http://schemas.openxmlformats.org/officeDocument/2006/relationships/themeOverride" Target="../theme/themeOverride13.xml"/><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3" Type="http://schemas.openxmlformats.org/officeDocument/2006/relationships/themeOverride" Target="../theme/themeOverride14.xml"/><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3" Type="http://schemas.openxmlformats.org/officeDocument/2006/relationships/themeOverride" Target="../theme/themeOverride15.xml"/><Relationship Id="rId2" Type="http://schemas.microsoft.com/office/2011/relationships/chartColorStyle" Target="colors22.xml"/><Relationship Id="rId1" Type="http://schemas.microsoft.com/office/2011/relationships/chartStyle" Target="style22.xml"/><Relationship Id="rId4" Type="http://schemas.openxmlformats.org/officeDocument/2006/relationships/chartUserShapes" Target="../drawings/drawing6.xml"/></Relationships>
</file>

<file path=xl/charts/_rels/chart23.xml.rels><?xml version="1.0" encoding="UTF-8" standalone="yes"?>
<Relationships xmlns="http://schemas.openxmlformats.org/package/2006/relationships"><Relationship Id="rId3" Type="http://schemas.openxmlformats.org/officeDocument/2006/relationships/themeOverride" Target="../theme/themeOverride16.xml"/><Relationship Id="rId2" Type="http://schemas.microsoft.com/office/2011/relationships/chartColorStyle" Target="colors23.xml"/><Relationship Id="rId1" Type="http://schemas.microsoft.com/office/2011/relationships/chartStyle" Target="style23.xml"/><Relationship Id="rId4" Type="http://schemas.openxmlformats.org/officeDocument/2006/relationships/chartUserShapes" Target="../drawings/drawing7.xml"/></Relationships>
</file>

<file path=xl/charts/_rels/chart24.xml.rels><?xml version="1.0" encoding="UTF-8" standalone="yes"?>
<Relationships xmlns="http://schemas.openxmlformats.org/package/2006/relationships"><Relationship Id="rId3" Type="http://schemas.openxmlformats.org/officeDocument/2006/relationships/themeOverride" Target="../theme/themeOverride17.xml"/><Relationship Id="rId2" Type="http://schemas.microsoft.com/office/2011/relationships/chartColorStyle" Target="colors24.xml"/><Relationship Id="rId1" Type="http://schemas.microsoft.com/office/2011/relationships/chartStyle" Target="style24.xml"/><Relationship Id="rId4" Type="http://schemas.openxmlformats.org/officeDocument/2006/relationships/chartUserShapes" Target="../drawings/drawing8.xml"/></Relationships>
</file>

<file path=xl/charts/_rels/chart25.xml.rels><?xml version="1.0" encoding="UTF-8" standalone="yes"?>
<Relationships xmlns="http://schemas.openxmlformats.org/package/2006/relationships"><Relationship Id="rId3" Type="http://schemas.openxmlformats.org/officeDocument/2006/relationships/themeOverride" Target="../theme/themeOverride18.xml"/><Relationship Id="rId2" Type="http://schemas.microsoft.com/office/2011/relationships/chartColorStyle" Target="colors25.xml"/><Relationship Id="rId1" Type="http://schemas.microsoft.com/office/2011/relationships/chartStyle" Target="style25.xml"/><Relationship Id="rId4" Type="http://schemas.openxmlformats.org/officeDocument/2006/relationships/chartUserShapes" Target="../drawings/drawing9.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25400" cap="rnd">
                <a:solidFill>
                  <a:srgbClr val="EE0000"/>
                </a:solidFill>
                <a:prstDash val="lgDash"/>
              </a:ln>
              <a:effectLst/>
            </c:spPr>
            <c:trendlineType val="linear"/>
            <c:dispRSqr val="0"/>
            <c:dispEq val="0"/>
          </c:trendline>
          <c:xVal>
            <c:numRef>
              <c:f>CENTER_POINTS!$AJ$4:$AJ$23</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CENTER_POINTS!$AK$4:$AK$23</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0"/>
          <c:extLst>
            <c:ext xmlns:c16="http://schemas.microsoft.com/office/drawing/2014/chart" uri="{C3380CC4-5D6E-409C-BE32-E72D297353CC}">
              <c16:uniqueId val="{00000000-C58B-49A7-9974-36803BBF502D}"/>
            </c:ext>
          </c:extLst>
        </c:ser>
        <c:dLbls>
          <c:showLegendKey val="0"/>
          <c:showVal val="0"/>
          <c:showCatName val="0"/>
          <c:showSerName val="0"/>
          <c:showPercent val="0"/>
          <c:showBubbleSize val="0"/>
        </c:dLbls>
        <c:axId val="959369568"/>
        <c:axId val="959370048"/>
      </c:scatterChart>
      <c:valAx>
        <c:axId val="959369568"/>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59370048"/>
        <c:crosses val="autoZero"/>
        <c:crossBetween val="midCat"/>
      </c:valAx>
      <c:valAx>
        <c:axId val="959370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36956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1"/>
          <c:order val="0"/>
          <c:spPr>
            <a:ln w="25400" cap="rnd">
              <a:noFill/>
              <a:round/>
            </a:ln>
            <a:effectLst/>
          </c:spPr>
          <c:marker>
            <c:symbol val="circle"/>
            <c:size val="21"/>
            <c:spPr>
              <a:noFill/>
              <a:ln w="38100">
                <a:solidFill>
                  <a:schemeClr val="accent1">
                    <a:alpha val="60000"/>
                  </a:schemeClr>
                </a:solidFill>
              </a:ln>
              <a:effectLst/>
            </c:spPr>
          </c:marker>
          <c:xVal>
            <c:numRef>
              <c:f>EDA!$B$2:$B$71</c:f>
              <c:numCache>
                <c:formatCode>General</c:formatCode>
                <c:ptCount val="70"/>
                <c:pt idx="0">
                  <c:v>4.2919815187500001</c:v>
                </c:pt>
                <c:pt idx="1">
                  <c:v>4.00793976875</c:v>
                </c:pt>
                <c:pt idx="2">
                  <c:v>5.1804760187500003</c:v>
                </c:pt>
                <c:pt idx="3">
                  <c:v>4.6917005187500003</c:v>
                </c:pt>
                <c:pt idx="4">
                  <c:v>8.5331880187499998</c:v>
                </c:pt>
                <c:pt idx="5">
                  <c:v>4.3121690187499997</c:v>
                </c:pt>
                <c:pt idx="6">
                  <c:v>8.3170460187500002</c:v>
                </c:pt>
                <c:pt idx="7">
                  <c:v>4.2429670187499999</c:v>
                </c:pt>
                <c:pt idx="8">
                  <c:v>4.7379400187499998</c:v>
                </c:pt>
                <c:pt idx="9">
                  <c:v>3.8313652687499999</c:v>
                </c:pt>
                <c:pt idx="10">
                  <c:v>5.4280640187499998</c:v>
                </c:pt>
                <c:pt idx="11">
                  <c:v>4.8226030187499997</c:v>
                </c:pt>
                <c:pt idx="12">
                  <c:v>7.74115001875</c:v>
                </c:pt>
                <c:pt idx="13">
                  <c:v>5.2487835187499998</c:v>
                </c:pt>
                <c:pt idx="14">
                  <c:v>7.0982790187499996</c:v>
                </c:pt>
                <c:pt idx="15">
                  <c:v>5.84936901875</c:v>
                </c:pt>
                <c:pt idx="16">
                  <c:v>4.5330400187500004</c:v>
                </c:pt>
                <c:pt idx="17">
                  <c:v>5.7342475187500002</c:v>
                </c:pt>
                <c:pt idx="18">
                  <c:v>5.8781730187500001</c:v>
                </c:pt>
                <c:pt idx="19">
                  <c:v>5.2625435187500003</c:v>
                </c:pt>
                <c:pt idx="20">
                  <c:v>6.6597015187500004</c:v>
                </c:pt>
                <c:pt idx="21">
                  <c:v>8.10153251875</c:v>
                </c:pt>
                <c:pt idx="22">
                  <c:v>8.9268260187500008</c:v>
                </c:pt>
                <c:pt idx="23">
                  <c:v>7.0592920187499999</c:v>
                </c:pt>
                <c:pt idx="24">
                  <c:v>4.4412020187500003</c:v>
                </c:pt>
                <c:pt idx="25">
                  <c:v>4.1802867687500003</c:v>
                </c:pt>
                <c:pt idx="26">
                  <c:v>5.6820480187499998</c:v>
                </c:pt>
                <c:pt idx="27">
                  <c:v>5.7801725187499997</c:v>
                </c:pt>
                <c:pt idx="28">
                  <c:v>8.7397320187500007</c:v>
                </c:pt>
                <c:pt idx="29">
                  <c:v>7.8388045187499999</c:v>
                </c:pt>
                <c:pt idx="30">
                  <c:v>7.2539075187500002</c:v>
                </c:pt>
                <c:pt idx="31">
                  <c:v>7.2391970187499997</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numCache>
            </c:numRef>
          </c:xVal>
          <c:yVal>
            <c:numRef>
              <c:f>EDA!$C$2:$C$71</c:f>
              <c:numCache>
                <c:formatCode>General</c:formatCode>
                <c:ptCount val="7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numCache>
            </c:numRef>
          </c:yVal>
          <c:smooth val="0"/>
          <c:extLst>
            <c:ext xmlns:c16="http://schemas.microsoft.com/office/drawing/2014/chart" uri="{C3380CC4-5D6E-409C-BE32-E72D297353CC}">
              <c16:uniqueId val="{00000049-2DB9-4A17-B75B-1F19D386F7A5}"/>
            </c:ext>
          </c:extLst>
        </c:ser>
        <c:dLbls>
          <c:showLegendKey val="0"/>
          <c:showVal val="0"/>
          <c:showCatName val="0"/>
          <c:showSerName val="0"/>
          <c:showPercent val="0"/>
          <c:showBubbleSize val="0"/>
        </c:dLbls>
        <c:axId val="1578683760"/>
        <c:axId val="1578685008"/>
      </c:scatterChart>
      <c:valAx>
        <c:axId val="15786837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78685008"/>
        <c:crosses val="autoZero"/>
        <c:crossBetween val="midCat"/>
      </c:valAx>
      <c:valAx>
        <c:axId val="1578685008"/>
        <c:scaling>
          <c:orientation val="minMax"/>
          <c:max val="1.2"/>
          <c:min val="0.8"/>
        </c:scaling>
        <c:delete val="1"/>
        <c:axPos val="l"/>
        <c:numFmt formatCode="General" sourceLinked="1"/>
        <c:majorTickMark val="none"/>
        <c:minorTickMark val="none"/>
        <c:tickLblPos val="nextTo"/>
        <c:crossAx val="15786837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alpha val="60000"/>
              </a:schemeClr>
            </a:solidFill>
            <a:ln w="38100">
              <a:solidFill>
                <a:schemeClr val="accent1"/>
              </a:solidFill>
            </a:ln>
            <a:effectLst/>
          </c:spPr>
          <c:invertIfNegative val="0"/>
          <c:cat>
            <c:strRef>
              <c:f>EDA!$G$21:$G$30</c:f>
              <c:strCache>
                <c:ptCount val="10"/>
                <c:pt idx="0">
                  <c:v>(3;3,6]</c:v>
                </c:pt>
                <c:pt idx="1">
                  <c:v>(3,6;4,2]</c:v>
                </c:pt>
                <c:pt idx="2">
                  <c:v>(4,2;4,8]</c:v>
                </c:pt>
                <c:pt idx="3">
                  <c:v>(4,8;5,4]</c:v>
                </c:pt>
                <c:pt idx="4">
                  <c:v>(5,4;6]</c:v>
                </c:pt>
                <c:pt idx="5">
                  <c:v>(6;6,6]</c:v>
                </c:pt>
                <c:pt idx="6">
                  <c:v>(6,6;7,2]</c:v>
                </c:pt>
                <c:pt idx="7">
                  <c:v>(7,2;7,8]</c:v>
                </c:pt>
                <c:pt idx="8">
                  <c:v>(7,8;8,4]</c:v>
                </c:pt>
                <c:pt idx="9">
                  <c:v>(8,4;9]</c:v>
                </c:pt>
              </c:strCache>
            </c:strRef>
          </c:cat>
          <c:val>
            <c:numRef>
              <c:f>EDA!$H$21:$H$30</c:f>
              <c:numCache>
                <c:formatCode>General</c:formatCode>
                <c:ptCount val="10"/>
                <c:pt idx="0">
                  <c:v>0</c:v>
                </c:pt>
                <c:pt idx="1">
                  <c:v>3</c:v>
                </c:pt>
                <c:pt idx="2">
                  <c:v>7</c:v>
                </c:pt>
                <c:pt idx="3">
                  <c:v>4</c:v>
                </c:pt>
                <c:pt idx="4">
                  <c:v>6</c:v>
                </c:pt>
                <c:pt idx="5">
                  <c:v>0</c:v>
                </c:pt>
                <c:pt idx="6">
                  <c:v>3</c:v>
                </c:pt>
                <c:pt idx="7">
                  <c:v>3</c:v>
                </c:pt>
                <c:pt idx="8">
                  <c:v>3</c:v>
                </c:pt>
                <c:pt idx="9">
                  <c:v>3</c:v>
                </c:pt>
              </c:numCache>
            </c:numRef>
          </c:val>
          <c:extLst>
            <c:ext xmlns:c16="http://schemas.microsoft.com/office/drawing/2014/chart" uri="{C3380CC4-5D6E-409C-BE32-E72D297353CC}">
              <c16:uniqueId val="{00000000-FCA3-43CA-A6D9-2FC658D35508}"/>
            </c:ext>
          </c:extLst>
        </c:ser>
        <c:dLbls>
          <c:showLegendKey val="0"/>
          <c:showVal val="0"/>
          <c:showCatName val="0"/>
          <c:showSerName val="0"/>
          <c:showPercent val="0"/>
          <c:showBubbleSize val="0"/>
        </c:dLbls>
        <c:gapWidth val="0"/>
        <c:overlap val="100"/>
        <c:axId val="1574948736"/>
        <c:axId val="1574951232"/>
      </c:barChart>
      <c:catAx>
        <c:axId val="157494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74951232"/>
        <c:crosses val="autoZero"/>
        <c:auto val="1"/>
        <c:lblAlgn val="ctr"/>
        <c:lblOffset val="100"/>
        <c:noMultiLvlLbl val="0"/>
      </c:catAx>
      <c:valAx>
        <c:axId val="1574951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7494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EDA!$D$2:$D$71</c:f>
              <c:numCache>
                <c:formatCode>General</c:formatCode>
                <c:ptCount val="7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numCache>
            </c:numRef>
          </c:xVal>
          <c:yVal>
            <c:numRef>
              <c:f>EDA!$B$2:$B$71</c:f>
              <c:numCache>
                <c:formatCode>General</c:formatCode>
                <c:ptCount val="70"/>
                <c:pt idx="0">
                  <c:v>4.2919815187500001</c:v>
                </c:pt>
                <c:pt idx="1">
                  <c:v>4.00793976875</c:v>
                </c:pt>
                <c:pt idx="2">
                  <c:v>5.1804760187500003</c:v>
                </c:pt>
                <c:pt idx="3">
                  <c:v>4.6917005187500003</c:v>
                </c:pt>
                <c:pt idx="4">
                  <c:v>8.5331880187499998</c:v>
                </c:pt>
                <c:pt idx="5">
                  <c:v>4.3121690187499997</c:v>
                </c:pt>
                <c:pt idx="6">
                  <c:v>8.3170460187500002</c:v>
                </c:pt>
                <c:pt idx="7">
                  <c:v>4.2429670187499999</c:v>
                </c:pt>
                <c:pt idx="8">
                  <c:v>4.7379400187499998</c:v>
                </c:pt>
                <c:pt idx="9">
                  <c:v>3.8313652687499999</c:v>
                </c:pt>
                <c:pt idx="10">
                  <c:v>5.4280640187499998</c:v>
                </c:pt>
                <c:pt idx="11">
                  <c:v>4.8226030187499997</c:v>
                </c:pt>
                <c:pt idx="12">
                  <c:v>7.74115001875</c:v>
                </c:pt>
                <c:pt idx="13">
                  <c:v>5.2487835187499998</c:v>
                </c:pt>
                <c:pt idx="14">
                  <c:v>7.0982790187499996</c:v>
                </c:pt>
                <c:pt idx="15">
                  <c:v>5.84936901875</c:v>
                </c:pt>
                <c:pt idx="16">
                  <c:v>4.5330400187500004</c:v>
                </c:pt>
                <c:pt idx="17">
                  <c:v>5.7342475187500002</c:v>
                </c:pt>
                <c:pt idx="18">
                  <c:v>5.8781730187500001</c:v>
                </c:pt>
                <c:pt idx="19">
                  <c:v>5.2625435187500003</c:v>
                </c:pt>
                <c:pt idx="20">
                  <c:v>6.6597015187500004</c:v>
                </c:pt>
                <c:pt idx="21">
                  <c:v>8.10153251875</c:v>
                </c:pt>
                <c:pt idx="22">
                  <c:v>8.9268260187500008</c:v>
                </c:pt>
                <c:pt idx="23">
                  <c:v>7.0592920187499999</c:v>
                </c:pt>
                <c:pt idx="24">
                  <c:v>4.4412020187500003</c:v>
                </c:pt>
                <c:pt idx="25">
                  <c:v>4.1802867687500003</c:v>
                </c:pt>
                <c:pt idx="26">
                  <c:v>5.6820480187499998</c:v>
                </c:pt>
                <c:pt idx="27">
                  <c:v>5.7801725187499997</c:v>
                </c:pt>
                <c:pt idx="28">
                  <c:v>8.7397320187500007</c:v>
                </c:pt>
                <c:pt idx="29">
                  <c:v>7.8388045187499999</c:v>
                </c:pt>
                <c:pt idx="30">
                  <c:v>7.2539075187500002</c:v>
                </c:pt>
                <c:pt idx="31">
                  <c:v>7.2391970187499997</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numCache>
            </c:numRef>
          </c:yVal>
          <c:smooth val="0"/>
          <c:extLst>
            <c:ext xmlns:c16="http://schemas.microsoft.com/office/drawing/2014/chart" uri="{C3380CC4-5D6E-409C-BE32-E72D297353CC}">
              <c16:uniqueId val="{00000000-3D74-41F6-A82A-5523EA67E7DA}"/>
            </c:ext>
          </c:extLst>
        </c:ser>
        <c:ser>
          <c:idx val="1"/>
          <c:order val="1"/>
          <c:spPr>
            <a:ln w="19050" cap="rnd">
              <a:solidFill>
                <a:schemeClr val="accent2"/>
              </a:solidFill>
              <a:round/>
            </a:ln>
            <a:effectLst/>
          </c:spPr>
          <c:marker>
            <c:symbol val="none"/>
          </c:marker>
          <c:xVal>
            <c:numRef>
              <c:f>EDA!$Q$15:$Q$16</c:f>
              <c:numCache>
                <c:formatCode>General</c:formatCode>
                <c:ptCount val="2"/>
                <c:pt idx="0">
                  <c:v>1</c:v>
                </c:pt>
                <c:pt idx="1">
                  <c:v>32</c:v>
                </c:pt>
              </c:numCache>
            </c:numRef>
          </c:xVal>
          <c:yVal>
            <c:numRef>
              <c:f>EDA!$R$15:$R$16</c:f>
              <c:numCache>
                <c:formatCode>General</c:formatCode>
                <c:ptCount val="2"/>
                <c:pt idx="0">
                  <c:v>5.70814776875</c:v>
                </c:pt>
                <c:pt idx="1">
                  <c:v>5.70814776875</c:v>
                </c:pt>
              </c:numCache>
            </c:numRef>
          </c:yVal>
          <c:smooth val="0"/>
          <c:extLst>
            <c:ext xmlns:c16="http://schemas.microsoft.com/office/drawing/2014/chart" uri="{C3380CC4-5D6E-409C-BE32-E72D297353CC}">
              <c16:uniqueId val="{00000001-3D74-41F6-A82A-5523EA67E7DA}"/>
            </c:ext>
          </c:extLst>
        </c:ser>
        <c:dLbls>
          <c:showLegendKey val="0"/>
          <c:showVal val="0"/>
          <c:showCatName val="0"/>
          <c:showSerName val="0"/>
          <c:showPercent val="0"/>
          <c:showBubbleSize val="0"/>
        </c:dLbls>
        <c:axId val="1691014928"/>
        <c:axId val="1691013264"/>
      </c:scatterChart>
      <c:valAx>
        <c:axId val="1691014928"/>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91013264"/>
        <c:crosses val="autoZero"/>
        <c:crossBetween val="midCat"/>
      </c:valAx>
      <c:valAx>
        <c:axId val="1691013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69101492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s-ES"/>
              <a:t>Pareto</a:t>
            </a:r>
            <a:r>
              <a:rPr lang="es-ES" baseline="0"/>
              <a:t> plot on effects</a:t>
            </a:r>
            <a:endParaRPr lang="es-ES"/>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stacked"/>
        <c:varyColors val="0"/>
        <c:ser>
          <c:idx val="0"/>
          <c:order val="0"/>
          <c:tx>
            <c:v>Effects +</c:v>
          </c:tx>
          <c:spPr>
            <a:solidFill>
              <a:schemeClr val="accent1"/>
            </a:solidFill>
            <a:ln>
              <a:noFill/>
            </a:ln>
            <a:effectLst/>
          </c:spPr>
          <c:invertIfNegative val="0"/>
          <c:cat>
            <c:strRef>
              <c:f>[0]!P1X</c:f>
              <c:strCache>
                <c:ptCount val="5"/>
                <c:pt idx="0">
                  <c:v>C</c:v>
                </c:pt>
                <c:pt idx="1">
                  <c:v>A</c:v>
                </c:pt>
                <c:pt idx="2">
                  <c:v>E</c:v>
                </c:pt>
                <c:pt idx="3">
                  <c:v>AE</c:v>
                </c:pt>
                <c:pt idx="4">
                  <c:v>AC</c:v>
                </c:pt>
              </c:strCache>
            </c:strRef>
          </c:cat>
          <c:val>
            <c:numRef>
              <c:f>[0]!P1Y1</c:f>
              <c:numCache>
                <c:formatCode>General</c:formatCode>
                <c:ptCount val="5"/>
                <c:pt idx="0">
                  <c:v>2.167385078125001</c:v>
                </c:pt>
                <c:pt idx="1">
                  <c:v>0</c:v>
                </c:pt>
                <c:pt idx="2">
                  <c:v>0.93598029687499906</c:v>
                </c:pt>
                <c:pt idx="3">
                  <c:v>0.83766710937499944</c:v>
                </c:pt>
                <c:pt idx="4">
                  <c:v>0</c:v>
                </c:pt>
              </c:numCache>
            </c:numRef>
          </c:val>
          <c:extLst>
            <c:ext xmlns:c16="http://schemas.microsoft.com/office/drawing/2014/chart" uri="{C3380CC4-5D6E-409C-BE32-E72D297353CC}">
              <c16:uniqueId val="{00000001-C16D-4AE7-8202-18F7B5EF78B5}"/>
            </c:ext>
          </c:extLst>
        </c:ser>
        <c:ser>
          <c:idx val="1"/>
          <c:order val="1"/>
          <c:tx>
            <c:v>Effects -</c:v>
          </c:tx>
          <c:spPr>
            <a:solidFill>
              <a:srgbClr val="FF0000"/>
            </a:solidFill>
            <a:ln>
              <a:noFill/>
            </a:ln>
            <a:effectLst/>
          </c:spPr>
          <c:invertIfNegative val="0"/>
          <c:val>
            <c:numRef>
              <c:f>[0]!P1Y2</c:f>
              <c:numCache>
                <c:formatCode>General</c:formatCode>
                <c:ptCount val="5"/>
                <c:pt idx="0">
                  <c:v>0</c:v>
                </c:pt>
                <c:pt idx="1">
                  <c:v>0.95248632812500045</c:v>
                </c:pt>
                <c:pt idx="2">
                  <c:v>0</c:v>
                </c:pt>
                <c:pt idx="3">
                  <c:v>0</c:v>
                </c:pt>
                <c:pt idx="4">
                  <c:v>0.71972810937499965</c:v>
                </c:pt>
              </c:numCache>
            </c:numRef>
          </c:val>
          <c:extLst>
            <c:ext xmlns:c16="http://schemas.microsoft.com/office/drawing/2014/chart" uri="{C3380CC4-5D6E-409C-BE32-E72D297353CC}">
              <c16:uniqueId val="{00000002-C16D-4AE7-8202-18F7B5EF78B5}"/>
            </c:ext>
          </c:extLst>
        </c:ser>
        <c:dLbls>
          <c:showLegendKey val="0"/>
          <c:showVal val="0"/>
          <c:showCatName val="0"/>
          <c:showSerName val="0"/>
          <c:showPercent val="0"/>
          <c:showBubbleSize val="0"/>
        </c:dLbls>
        <c:gapWidth val="5"/>
        <c:overlap val="100"/>
        <c:axId val="1849476127"/>
        <c:axId val="1849474463"/>
      </c:barChart>
      <c:catAx>
        <c:axId val="1849476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ES"/>
          </a:p>
        </c:txPr>
        <c:crossAx val="1849474463"/>
        <c:crosses val="autoZero"/>
        <c:auto val="1"/>
        <c:lblAlgn val="ctr"/>
        <c:lblOffset val="100"/>
        <c:noMultiLvlLbl val="0"/>
      </c:catAx>
      <c:valAx>
        <c:axId val="1849474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ES"/>
          </a:p>
        </c:txPr>
        <c:crossAx val="1849476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pPr>
      <a:endParaRPr lang="es-E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s-ES"/>
              <a:t>Pareto</a:t>
            </a:r>
            <a:r>
              <a:rPr lang="es-ES" baseline="0"/>
              <a:t> plot on contributions to total variability (SS)</a:t>
            </a:r>
            <a:endParaRPr lang="es-ES"/>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stacked"/>
        <c:varyColors val="0"/>
        <c:ser>
          <c:idx val="0"/>
          <c:order val="0"/>
          <c:tx>
            <c:v>SS%</c:v>
          </c:tx>
          <c:spPr>
            <a:solidFill>
              <a:schemeClr val="bg1">
                <a:lumMod val="65000"/>
              </a:schemeClr>
            </a:solidFill>
            <a:ln>
              <a:noFill/>
            </a:ln>
            <a:effectLst/>
          </c:spPr>
          <c:invertIfNegative val="0"/>
          <c:cat>
            <c:strRef>
              <c:f>[0]!P1X</c:f>
              <c:strCache>
                <c:ptCount val="5"/>
                <c:pt idx="0">
                  <c:v>C</c:v>
                </c:pt>
                <c:pt idx="1">
                  <c:v>A</c:v>
                </c:pt>
                <c:pt idx="2">
                  <c:v>E</c:v>
                </c:pt>
                <c:pt idx="3">
                  <c:v>AE</c:v>
                </c:pt>
                <c:pt idx="4">
                  <c:v>AC</c:v>
                </c:pt>
              </c:strCache>
            </c:strRef>
          </c:cat>
          <c:val>
            <c:numRef>
              <c:f>[0]!P2Y1</c:f>
              <c:numCache>
                <c:formatCode>0.0%</c:formatCode>
                <c:ptCount val="5"/>
                <c:pt idx="0">
                  <c:v>0.48788166330387112</c:v>
                </c:pt>
                <c:pt idx="1">
                  <c:v>9.4223631576323796E-2</c:v>
                </c:pt>
                <c:pt idx="2">
                  <c:v>9.0986246841254018E-2</c:v>
                </c:pt>
                <c:pt idx="3">
                  <c:v>7.2876123722829395E-2</c:v>
                </c:pt>
                <c:pt idx="4">
                  <c:v>5.3799627282635543E-2</c:v>
                </c:pt>
              </c:numCache>
            </c:numRef>
          </c:val>
          <c:extLst>
            <c:ext xmlns:c16="http://schemas.microsoft.com/office/drawing/2014/chart" uri="{C3380CC4-5D6E-409C-BE32-E72D297353CC}">
              <c16:uniqueId val="{00000000-0887-4DFB-9FBC-D7EAE821000A}"/>
            </c:ext>
          </c:extLst>
        </c:ser>
        <c:dLbls>
          <c:showLegendKey val="0"/>
          <c:showVal val="0"/>
          <c:showCatName val="0"/>
          <c:showSerName val="0"/>
          <c:showPercent val="0"/>
          <c:showBubbleSize val="0"/>
        </c:dLbls>
        <c:gapWidth val="5"/>
        <c:overlap val="100"/>
        <c:axId val="1849476127"/>
        <c:axId val="1849474463"/>
      </c:barChart>
      <c:lineChart>
        <c:grouping val="standard"/>
        <c:varyColors val="0"/>
        <c:ser>
          <c:idx val="1"/>
          <c:order val="1"/>
          <c:tx>
            <c:v>Cumulative</c:v>
          </c:tx>
          <c:spPr>
            <a:ln w="28575" cap="rnd">
              <a:solidFill>
                <a:schemeClr val="accent6">
                  <a:lumMod val="75000"/>
                </a:schemeClr>
              </a:solidFill>
              <a:round/>
            </a:ln>
            <a:effectLst/>
          </c:spPr>
          <c:marker>
            <c:symbol val="none"/>
          </c:marker>
          <c:val>
            <c:numRef>
              <c:f>[0]!P2Y2</c:f>
              <c:numCache>
                <c:formatCode>0.0%</c:formatCode>
                <c:ptCount val="5"/>
                <c:pt idx="0">
                  <c:v>0.48788166330387112</c:v>
                </c:pt>
                <c:pt idx="1">
                  <c:v>0.58210529488019491</c:v>
                </c:pt>
                <c:pt idx="2">
                  <c:v>0.67309154172144892</c:v>
                </c:pt>
                <c:pt idx="3">
                  <c:v>0.74596766544427828</c:v>
                </c:pt>
                <c:pt idx="4">
                  <c:v>0.79976729272691383</c:v>
                </c:pt>
              </c:numCache>
            </c:numRef>
          </c:val>
          <c:smooth val="0"/>
          <c:extLst>
            <c:ext xmlns:c16="http://schemas.microsoft.com/office/drawing/2014/chart" uri="{C3380CC4-5D6E-409C-BE32-E72D297353CC}">
              <c16:uniqueId val="{00000001-0887-4DFB-9FBC-D7EAE821000A}"/>
            </c:ext>
          </c:extLst>
        </c:ser>
        <c:dLbls>
          <c:showLegendKey val="0"/>
          <c:showVal val="0"/>
          <c:showCatName val="0"/>
          <c:showSerName val="0"/>
          <c:showPercent val="0"/>
          <c:showBubbleSize val="0"/>
        </c:dLbls>
        <c:marker val="1"/>
        <c:smooth val="0"/>
        <c:axId val="1849476127"/>
        <c:axId val="1849474463"/>
      </c:lineChart>
      <c:catAx>
        <c:axId val="1849476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ES"/>
          </a:p>
        </c:txPr>
        <c:crossAx val="1849474463"/>
        <c:crosses val="autoZero"/>
        <c:auto val="1"/>
        <c:lblAlgn val="ctr"/>
        <c:lblOffset val="100"/>
        <c:noMultiLvlLbl val="0"/>
      </c:catAx>
      <c:valAx>
        <c:axId val="1849474463"/>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ES"/>
          </a:p>
        </c:txPr>
        <c:crossAx val="1849476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pPr>
      <a:endParaRPr lang="es-E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MODEL_MAINEFFECTS!$B$5</c:f>
          <c:strCache>
            <c:ptCount val="1"/>
            <c:pt idx="0">
              <c:v>A</c:v>
            </c:pt>
          </c:strCache>
        </c:strRef>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spPr>
            <a:ln w="19050" cap="rnd">
              <a:solidFill>
                <a:schemeClr val="accent1"/>
              </a:solidFill>
              <a:round/>
            </a:ln>
            <a:effectLst/>
          </c:spPr>
          <c:marker>
            <c:symbol val="none"/>
          </c:marker>
          <c:xVal>
            <c:numRef>
              <c:f>MODEL_MAINEFFECTS!$B$6:$B$14</c:f>
              <c:numCache>
                <c:formatCode>General</c:formatCode>
                <c:ptCount val="9"/>
                <c:pt idx="0">
                  <c:v>-1</c:v>
                </c:pt>
                <c:pt idx="1">
                  <c:v>1</c:v>
                </c:pt>
                <c:pt idx="2">
                  <c:v>#N/A</c:v>
                </c:pt>
                <c:pt idx="3">
                  <c:v>#N/A</c:v>
                </c:pt>
                <c:pt idx="4">
                  <c:v>#N/A</c:v>
                </c:pt>
                <c:pt idx="5">
                  <c:v>#N/A</c:v>
                </c:pt>
                <c:pt idx="6">
                  <c:v>#N/A</c:v>
                </c:pt>
                <c:pt idx="7">
                  <c:v>#N/A</c:v>
                </c:pt>
                <c:pt idx="8">
                  <c:v>#N/A</c:v>
                </c:pt>
              </c:numCache>
            </c:numRef>
          </c:xVal>
          <c:yVal>
            <c:numRef>
              <c:f>MODEL_MAINEFFECTS!$B$17:$B$25</c:f>
              <c:numCache>
                <c:formatCode>General</c:formatCode>
                <c:ptCount val="9"/>
                <c:pt idx="0">
                  <c:v>6.4651721750000002</c:v>
                </c:pt>
                <c:pt idx="1">
                  <c:v>5.5126858468749997</c:v>
                </c:pt>
                <c:pt idx="2">
                  <c:v>#N/A</c:v>
                </c:pt>
                <c:pt idx="3">
                  <c:v>#N/A</c:v>
                </c:pt>
                <c:pt idx="4">
                  <c:v>#N/A</c:v>
                </c:pt>
                <c:pt idx="5">
                  <c:v>#N/A</c:v>
                </c:pt>
                <c:pt idx="6">
                  <c:v>#N/A</c:v>
                </c:pt>
                <c:pt idx="7">
                  <c:v>#N/A</c:v>
                </c:pt>
                <c:pt idx="8">
                  <c:v>#N/A</c:v>
                </c:pt>
              </c:numCache>
            </c:numRef>
          </c:yVal>
          <c:smooth val="0"/>
          <c:extLst>
            <c:ext xmlns:c16="http://schemas.microsoft.com/office/drawing/2014/chart" uri="{C3380CC4-5D6E-409C-BE32-E72D297353CC}">
              <c16:uniqueId val="{00000000-0203-4471-8231-5335F23C1815}"/>
            </c:ext>
          </c:extLst>
        </c:ser>
        <c:ser>
          <c:idx val="1"/>
          <c:order val="1"/>
          <c:spPr>
            <a:ln w="19050" cap="rnd">
              <a:noFill/>
              <a:round/>
            </a:ln>
            <a:effectLst/>
          </c:spPr>
          <c:marker>
            <c:symbol val="circle"/>
            <c:size val="8"/>
            <c:spPr>
              <a:noFill/>
              <a:ln w="9525">
                <a:solidFill>
                  <a:schemeClr val="accent2"/>
                </a:solidFill>
              </a:ln>
              <a:effectLst/>
            </c:spPr>
          </c:marker>
          <c:xVal>
            <c:numRef>
              <c:f>MODEL_MAINEFFECTS!$B$28:$B$97</c:f>
              <c:numCache>
                <c:formatCode>General</c:formatCode>
                <c:ptCount val="7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numCache>
            </c:numRef>
          </c:xVal>
          <c:yVal>
            <c:numRef>
              <c:f>MODEL_MAINEFFECTS!$A$28:$A$97</c:f>
              <c:numCache>
                <c:formatCode>General</c:formatCode>
                <c:ptCount val="70"/>
                <c:pt idx="0">
                  <c:v>4.2919815187500001</c:v>
                </c:pt>
                <c:pt idx="1">
                  <c:v>4.00793976875</c:v>
                </c:pt>
                <c:pt idx="2">
                  <c:v>5.1804760187500003</c:v>
                </c:pt>
                <c:pt idx="3">
                  <c:v>4.6917005187500003</c:v>
                </c:pt>
                <c:pt idx="4">
                  <c:v>8.5331880187499998</c:v>
                </c:pt>
                <c:pt idx="5">
                  <c:v>4.3121690187499997</c:v>
                </c:pt>
                <c:pt idx="6">
                  <c:v>8.3170460187500002</c:v>
                </c:pt>
                <c:pt idx="7">
                  <c:v>4.2429670187499999</c:v>
                </c:pt>
                <c:pt idx="8">
                  <c:v>4.7379400187499998</c:v>
                </c:pt>
                <c:pt idx="9">
                  <c:v>3.8313652687499999</c:v>
                </c:pt>
                <c:pt idx="10">
                  <c:v>5.4280640187499998</c:v>
                </c:pt>
                <c:pt idx="11">
                  <c:v>4.8226030187499997</c:v>
                </c:pt>
                <c:pt idx="12">
                  <c:v>7.74115001875</c:v>
                </c:pt>
                <c:pt idx="13">
                  <c:v>5.2487835187499998</c:v>
                </c:pt>
                <c:pt idx="14">
                  <c:v>7.0982790187499996</c:v>
                </c:pt>
                <c:pt idx="15">
                  <c:v>5.84936901875</c:v>
                </c:pt>
                <c:pt idx="16">
                  <c:v>4.5330400187500004</c:v>
                </c:pt>
                <c:pt idx="17">
                  <c:v>5.7342475187500002</c:v>
                </c:pt>
                <c:pt idx="18">
                  <c:v>5.8781730187500001</c:v>
                </c:pt>
                <c:pt idx="19">
                  <c:v>5.2625435187500003</c:v>
                </c:pt>
                <c:pt idx="20">
                  <c:v>6.6597015187500004</c:v>
                </c:pt>
                <c:pt idx="21">
                  <c:v>8.10153251875</c:v>
                </c:pt>
                <c:pt idx="22">
                  <c:v>8.9268260187500008</c:v>
                </c:pt>
                <c:pt idx="23">
                  <c:v>7.0592920187499999</c:v>
                </c:pt>
                <c:pt idx="24">
                  <c:v>4.4412020187500003</c:v>
                </c:pt>
                <c:pt idx="25">
                  <c:v>4.1802867687500003</c:v>
                </c:pt>
                <c:pt idx="26">
                  <c:v>5.6820480187499998</c:v>
                </c:pt>
                <c:pt idx="27">
                  <c:v>5.7801725187499997</c:v>
                </c:pt>
                <c:pt idx="28">
                  <c:v>8.7397320187500007</c:v>
                </c:pt>
                <c:pt idx="29">
                  <c:v>7.8388045187499999</c:v>
                </c:pt>
                <c:pt idx="30">
                  <c:v>7.2539075187500002</c:v>
                </c:pt>
                <c:pt idx="31">
                  <c:v>7.2391970187499997</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numCache>
            </c:numRef>
          </c:yVal>
          <c:smooth val="0"/>
          <c:extLst>
            <c:ext xmlns:c16="http://schemas.microsoft.com/office/drawing/2014/chart" uri="{C3380CC4-5D6E-409C-BE32-E72D297353CC}">
              <c16:uniqueId val="{00000002-0203-4471-8231-5335F23C1815}"/>
            </c:ext>
          </c:extLst>
        </c:ser>
        <c:dLbls>
          <c:showLegendKey val="0"/>
          <c:showVal val="0"/>
          <c:showCatName val="0"/>
          <c:showSerName val="0"/>
          <c:showPercent val="0"/>
          <c:showBubbleSize val="0"/>
        </c:dLbls>
        <c:axId val="654634879"/>
        <c:axId val="654634463"/>
      </c:scatterChart>
      <c:valAx>
        <c:axId val="6546348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ES"/>
          </a:p>
        </c:txPr>
        <c:crossAx val="654634463"/>
        <c:crosses val="autoZero"/>
        <c:crossBetween val="midCat"/>
      </c:valAx>
      <c:valAx>
        <c:axId val="654634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ES"/>
          </a:p>
        </c:txPr>
        <c:crossAx val="654634879"/>
        <c:crosses val="autoZero"/>
        <c:crossBetween val="midCat"/>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s-E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MODEL_MAINEFFECTS!$C$5</c:f>
          <c:strCache>
            <c:ptCount val="1"/>
            <c:pt idx="0">
              <c:v>C</c:v>
            </c:pt>
          </c:strCache>
        </c:strRef>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spPr>
            <a:ln w="19050" cap="rnd">
              <a:solidFill>
                <a:schemeClr val="accent1"/>
              </a:solidFill>
              <a:round/>
            </a:ln>
            <a:effectLst/>
          </c:spPr>
          <c:marker>
            <c:symbol val="none"/>
          </c:marker>
          <c:xVal>
            <c:numRef>
              <c:f>MODEL_MAINEFFECTS!$C$6:$C$14</c:f>
              <c:numCache>
                <c:formatCode>General</c:formatCode>
                <c:ptCount val="9"/>
                <c:pt idx="0">
                  <c:v>-1</c:v>
                </c:pt>
                <c:pt idx="1">
                  <c:v>1</c:v>
                </c:pt>
                <c:pt idx="2">
                  <c:v>#N/A</c:v>
                </c:pt>
                <c:pt idx="3">
                  <c:v>#N/A</c:v>
                </c:pt>
                <c:pt idx="4">
                  <c:v>#N/A</c:v>
                </c:pt>
                <c:pt idx="5">
                  <c:v>#N/A</c:v>
                </c:pt>
                <c:pt idx="6">
                  <c:v>#N/A</c:v>
                </c:pt>
                <c:pt idx="7">
                  <c:v>#N/A</c:v>
                </c:pt>
                <c:pt idx="8">
                  <c:v>#N/A</c:v>
                </c:pt>
              </c:numCache>
            </c:numRef>
          </c:xVal>
          <c:yVal>
            <c:numRef>
              <c:f>MODEL_MAINEFFECTS!$C$17:$C$25</c:f>
              <c:numCache>
                <c:formatCode>General</c:formatCode>
                <c:ptCount val="9"/>
                <c:pt idx="0">
                  <c:v>4.9052364718749999</c:v>
                </c:pt>
                <c:pt idx="1">
                  <c:v>7.0726215500000009</c:v>
                </c:pt>
                <c:pt idx="2">
                  <c:v>#N/A</c:v>
                </c:pt>
                <c:pt idx="3">
                  <c:v>#N/A</c:v>
                </c:pt>
                <c:pt idx="4">
                  <c:v>#N/A</c:v>
                </c:pt>
                <c:pt idx="5">
                  <c:v>#N/A</c:v>
                </c:pt>
                <c:pt idx="6">
                  <c:v>#N/A</c:v>
                </c:pt>
                <c:pt idx="7">
                  <c:v>#N/A</c:v>
                </c:pt>
                <c:pt idx="8">
                  <c:v>#N/A</c:v>
                </c:pt>
              </c:numCache>
            </c:numRef>
          </c:yVal>
          <c:smooth val="0"/>
          <c:extLst>
            <c:ext xmlns:c16="http://schemas.microsoft.com/office/drawing/2014/chart" uri="{C3380CC4-5D6E-409C-BE32-E72D297353CC}">
              <c16:uniqueId val="{00000000-0203-4471-8231-5335F23C1815}"/>
            </c:ext>
          </c:extLst>
        </c:ser>
        <c:ser>
          <c:idx val="1"/>
          <c:order val="1"/>
          <c:spPr>
            <a:ln w="19050" cap="rnd">
              <a:noFill/>
              <a:round/>
            </a:ln>
            <a:effectLst/>
          </c:spPr>
          <c:marker>
            <c:symbol val="circle"/>
            <c:size val="8"/>
            <c:spPr>
              <a:noFill/>
              <a:ln w="9525">
                <a:solidFill>
                  <a:schemeClr val="accent2"/>
                </a:solidFill>
              </a:ln>
              <a:effectLst/>
            </c:spPr>
          </c:marker>
          <c:xVal>
            <c:numRef>
              <c:f>MODEL_MAINEFFECTS!$C$28:$C$97</c:f>
              <c:numCache>
                <c:formatCode>General</c:formatCode>
                <c:ptCount val="7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numCache>
            </c:numRef>
          </c:xVal>
          <c:yVal>
            <c:numRef>
              <c:f>MODEL_MAINEFFECTS!$A$28:$A$97</c:f>
              <c:numCache>
                <c:formatCode>General</c:formatCode>
                <c:ptCount val="70"/>
                <c:pt idx="0">
                  <c:v>4.2919815187500001</c:v>
                </c:pt>
                <c:pt idx="1">
                  <c:v>4.00793976875</c:v>
                </c:pt>
                <c:pt idx="2">
                  <c:v>5.1804760187500003</c:v>
                </c:pt>
                <c:pt idx="3">
                  <c:v>4.6917005187500003</c:v>
                </c:pt>
                <c:pt idx="4">
                  <c:v>8.5331880187499998</c:v>
                </c:pt>
                <c:pt idx="5">
                  <c:v>4.3121690187499997</c:v>
                </c:pt>
                <c:pt idx="6">
                  <c:v>8.3170460187500002</c:v>
                </c:pt>
                <c:pt idx="7">
                  <c:v>4.2429670187499999</c:v>
                </c:pt>
                <c:pt idx="8">
                  <c:v>4.7379400187499998</c:v>
                </c:pt>
                <c:pt idx="9">
                  <c:v>3.8313652687499999</c:v>
                </c:pt>
                <c:pt idx="10">
                  <c:v>5.4280640187499998</c:v>
                </c:pt>
                <c:pt idx="11">
                  <c:v>4.8226030187499997</c:v>
                </c:pt>
                <c:pt idx="12">
                  <c:v>7.74115001875</c:v>
                </c:pt>
                <c:pt idx="13">
                  <c:v>5.2487835187499998</c:v>
                </c:pt>
                <c:pt idx="14">
                  <c:v>7.0982790187499996</c:v>
                </c:pt>
                <c:pt idx="15">
                  <c:v>5.84936901875</c:v>
                </c:pt>
                <c:pt idx="16">
                  <c:v>4.5330400187500004</c:v>
                </c:pt>
                <c:pt idx="17">
                  <c:v>5.7342475187500002</c:v>
                </c:pt>
                <c:pt idx="18">
                  <c:v>5.8781730187500001</c:v>
                </c:pt>
                <c:pt idx="19">
                  <c:v>5.2625435187500003</c:v>
                </c:pt>
                <c:pt idx="20">
                  <c:v>6.6597015187500004</c:v>
                </c:pt>
                <c:pt idx="21">
                  <c:v>8.10153251875</c:v>
                </c:pt>
                <c:pt idx="22">
                  <c:v>8.9268260187500008</c:v>
                </c:pt>
                <c:pt idx="23">
                  <c:v>7.0592920187499999</c:v>
                </c:pt>
                <c:pt idx="24">
                  <c:v>4.4412020187500003</c:v>
                </c:pt>
                <c:pt idx="25">
                  <c:v>4.1802867687500003</c:v>
                </c:pt>
                <c:pt idx="26">
                  <c:v>5.6820480187499998</c:v>
                </c:pt>
                <c:pt idx="27">
                  <c:v>5.7801725187499997</c:v>
                </c:pt>
                <c:pt idx="28">
                  <c:v>8.7397320187500007</c:v>
                </c:pt>
                <c:pt idx="29">
                  <c:v>7.8388045187499999</c:v>
                </c:pt>
                <c:pt idx="30">
                  <c:v>7.2539075187500002</c:v>
                </c:pt>
                <c:pt idx="31">
                  <c:v>7.2391970187499997</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numCache>
            </c:numRef>
          </c:yVal>
          <c:smooth val="0"/>
          <c:extLst>
            <c:ext xmlns:c16="http://schemas.microsoft.com/office/drawing/2014/chart" uri="{C3380CC4-5D6E-409C-BE32-E72D297353CC}">
              <c16:uniqueId val="{00000002-0203-4471-8231-5335F23C1815}"/>
            </c:ext>
          </c:extLst>
        </c:ser>
        <c:dLbls>
          <c:showLegendKey val="0"/>
          <c:showVal val="0"/>
          <c:showCatName val="0"/>
          <c:showSerName val="0"/>
          <c:showPercent val="0"/>
          <c:showBubbleSize val="0"/>
        </c:dLbls>
        <c:axId val="654634879"/>
        <c:axId val="654634463"/>
      </c:scatterChart>
      <c:valAx>
        <c:axId val="6546348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ES"/>
          </a:p>
        </c:txPr>
        <c:crossAx val="654634463"/>
        <c:crosses val="autoZero"/>
        <c:crossBetween val="midCat"/>
      </c:valAx>
      <c:valAx>
        <c:axId val="654634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ES"/>
          </a:p>
        </c:txPr>
        <c:crossAx val="654634879"/>
        <c:crosses val="autoZero"/>
        <c:crossBetween val="midCat"/>
      </c:valAx>
      <c:spPr>
        <a:noFill/>
        <a:ln>
          <a:noFill/>
        </a:ln>
        <a:effectLst/>
      </c:spPr>
    </c:plotArea>
    <c:plotVisOnly val="0"/>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pPr>
      <a:endParaRPr lang="es-E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MODEL_MAINEFFECTS!$D$5</c:f>
          <c:strCache>
            <c:ptCount val="1"/>
            <c:pt idx="0">
              <c:v>E</c:v>
            </c:pt>
          </c:strCache>
        </c:strRef>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spPr>
            <a:ln w="19050" cap="rnd">
              <a:solidFill>
                <a:schemeClr val="accent1"/>
              </a:solidFill>
              <a:round/>
            </a:ln>
            <a:effectLst/>
          </c:spPr>
          <c:marker>
            <c:symbol val="none"/>
          </c:marker>
          <c:xVal>
            <c:numRef>
              <c:f>MODEL_MAINEFFECTS!$D$6:$D$14</c:f>
              <c:numCache>
                <c:formatCode>General</c:formatCode>
                <c:ptCount val="9"/>
                <c:pt idx="0">
                  <c:v>-1</c:v>
                </c:pt>
                <c:pt idx="1">
                  <c:v>1</c:v>
                </c:pt>
                <c:pt idx="2">
                  <c:v>#N/A</c:v>
                </c:pt>
                <c:pt idx="3">
                  <c:v>#N/A</c:v>
                </c:pt>
                <c:pt idx="4">
                  <c:v>#N/A</c:v>
                </c:pt>
                <c:pt idx="5">
                  <c:v>#N/A</c:v>
                </c:pt>
                <c:pt idx="6">
                  <c:v>#N/A</c:v>
                </c:pt>
                <c:pt idx="7">
                  <c:v>#N/A</c:v>
                </c:pt>
                <c:pt idx="8">
                  <c:v>#N/A</c:v>
                </c:pt>
              </c:numCache>
            </c:numRef>
          </c:xVal>
          <c:yVal>
            <c:numRef>
              <c:f>MODEL_MAINEFFECTS!$D$17:$D$25</c:f>
              <c:numCache>
                <c:formatCode>General</c:formatCode>
                <c:ptCount val="9"/>
                <c:pt idx="0">
                  <c:v>5.5209388625000004</c:v>
                </c:pt>
                <c:pt idx="1">
                  <c:v>6.4569191593749995</c:v>
                </c:pt>
                <c:pt idx="2">
                  <c:v>#N/A</c:v>
                </c:pt>
                <c:pt idx="3">
                  <c:v>#N/A</c:v>
                </c:pt>
                <c:pt idx="4">
                  <c:v>#N/A</c:v>
                </c:pt>
                <c:pt idx="5">
                  <c:v>#N/A</c:v>
                </c:pt>
                <c:pt idx="6">
                  <c:v>#N/A</c:v>
                </c:pt>
                <c:pt idx="7">
                  <c:v>#N/A</c:v>
                </c:pt>
                <c:pt idx="8">
                  <c:v>#N/A</c:v>
                </c:pt>
              </c:numCache>
            </c:numRef>
          </c:yVal>
          <c:smooth val="0"/>
          <c:extLst>
            <c:ext xmlns:c16="http://schemas.microsoft.com/office/drawing/2014/chart" uri="{C3380CC4-5D6E-409C-BE32-E72D297353CC}">
              <c16:uniqueId val="{00000000-0203-4471-8231-5335F23C1815}"/>
            </c:ext>
          </c:extLst>
        </c:ser>
        <c:ser>
          <c:idx val="1"/>
          <c:order val="1"/>
          <c:spPr>
            <a:ln w="19050" cap="rnd">
              <a:noFill/>
              <a:round/>
            </a:ln>
            <a:effectLst/>
          </c:spPr>
          <c:marker>
            <c:symbol val="circle"/>
            <c:size val="8"/>
            <c:spPr>
              <a:noFill/>
              <a:ln w="9525">
                <a:solidFill>
                  <a:schemeClr val="accent2"/>
                </a:solidFill>
              </a:ln>
              <a:effectLst/>
            </c:spPr>
          </c:marker>
          <c:xVal>
            <c:numRef>
              <c:f>MODEL_MAINEFFECTS!$D$28:$D$97</c:f>
              <c:numCache>
                <c:formatCode>General</c:formatCode>
                <c:ptCount val="7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numCache>
            </c:numRef>
          </c:xVal>
          <c:yVal>
            <c:numRef>
              <c:f>MODEL_MAINEFFECTS!$A$28:$A$97</c:f>
              <c:numCache>
                <c:formatCode>General</c:formatCode>
                <c:ptCount val="70"/>
                <c:pt idx="0">
                  <c:v>4.2919815187500001</c:v>
                </c:pt>
                <c:pt idx="1">
                  <c:v>4.00793976875</c:v>
                </c:pt>
                <c:pt idx="2">
                  <c:v>5.1804760187500003</c:v>
                </c:pt>
                <c:pt idx="3">
                  <c:v>4.6917005187500003</c:v>
                </c:pt>
                <c:pt idx="4">
                  <c:v>8.5331880187499998</c:v>
                </c:pt>
                <c:pt idx="5">
                  <c:v>4.3121690187499997</c:v>
                </c:pt>
                <c:pt idx="6">
                  <c:v>8.3170460187500002</c:v>
                </c:pt>
                <c:pt idx="7">
                  <c:v>4.2429670187499999</c:v>
                </c:pt>
                <c:pt idx="8">
                  <c:v>4.7379400187499998</c:v>
                </c:pt>
                <c:pt idx="9">
                  <c:v>3.8313652687499999</c:v>
                </c:pt>
                <c:pt idx="10">
                  <c:v>5.4280640187499998</c:v>
                </c:pt>
                <c:pt idx="11">
                  <c:v>4.8226030187499997</c:v>
                </c:pt>
                <c:pt idx="12">
                  <c:v>7.74115001875</c:v>
                </c:pt>
                <c:pt idx="13">
                  <c:v>5.2487835187499998</c:v>
                </c:pt>
                <c:pt idx="14">
                  <c:v>7.0982790187499996</c:v>
                </c:pt>
                <c:pt idx="15">
                  <c:v>5.84936901875</c:v>
                </c:pt>
                <c:pt idx="16">
                  <c:v>4.5330400187500004</c:v>
                </c:pt>
                <c:pt idx="17">
                  <c:v>5.7342475187500002</c:v>
                </c:pt>
                <c:pt idx="18">
                  <c:v>5.8781730187500001</c:v>
                </c:pt>
                <c:pt idx="19">
                  <c:v>5.2625435187500003</c:v>
                </c:pt>
                <c:pt idx="20">
                  <c:v>6.6597015187500004</c:v>
                </c:pt>
                <c:pt idx="21">
                  <c:v>8.10153251875</c:v>
                </c:pt>
                <c:pt idx="22">
                  <c:v>8.9268260187500008</c:v>
                </c:pt>
                <c:pt idx="23">
                  <c:v>7.0592920187499999</c:v>
                </c:pt>
                <c:pt idx="24">
                  <c:v>4.4412020187500003</c:v>
                </c:pt>
                <c:pt idx="25">
                  <c:v>4.1802867687500003</c:v>
                </c:pt>
                <c:pt idx="26">
                  <c:v>5.6820480187499998</c:v>
                </c:pt>
                <c:pt idx="27">
                  <c:v>5.7801725187499997</c:v>
                </c:pt>
                <c:pt idx="28">
                  <c:v>8.7397320187500007</c:v>
                </c:pt>
                <c:pt idx="29">
                  <c:v>7.8388045187499999</c:v>
                </c:pt>
                <c:pt idx="30">
                  <c:v>7.2539075187500002</c:v>
                </c:pt>
                <c:pt idx="31">
                  <c:v>7.2391970187499997</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numCache>
            </c:numRef>
          </c:yVal>
          <c:smooth val="0"/>
          <c:extLst>
            <c:ext xmlns:c16="http://schemas.microsoft.com/office/drawing/2014/chart" uri="{C3380CC4-5D6E-409C-BE32-E72D297353CC}">
              <c16:uniqueId val="{00000002-0203-4471-8231-5335F23C1815}"/>
            </c:ext>
          </c:extLst>
        </c:ser>
        <c:dLbls>
          <c:showLegendKey val="0"/>
          <c:showVal val="0"/>
          <c:showCatName val="0"/>
          <c:showSerName val="0"/>
          <c:showPercent val="0"/>
          <c:showBubbleSize val="0"/>
        </c:dLbls>
        <c:axId val="654634879"/>
        <c:axId val="654634463"/>
      </c:scatterChart>
      <c:valAx>
        <c:axId val="6546348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ES"/>
          </a:p>
        </c:txPr>
        <c:crossAx val="654634463"/>
        <c:crosses val="autoZero"/>
        <c:crossBetween val="midCat"/>
      </c:valAx>
      <c:valAx>
        <c:axId val="654634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ES"/>
          </a:p>
        </c:txPr>
        <c:crossAx val="654634879"/>
        <c:crosses val="autoZero"/>
        <c:crossBetween val="midCat"/>
      </c:valAx>
      <c:spPr>
        <a:noFill/>
        <a:ln>
          <a:noFill/>
        </a:ln>
        <a:effectLst/>
      </c:spPr>
    </c:plotArea>
    <c:plotVisOnly val="0"/>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pPr>
      <a:endParaRPr lang="es-E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MODEL_MAINEFFECTS!$E$5</c:f>
          <c:strCache>
            <c:ptCount val="1"/>
          </c:strCache>
        </c:strRef>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spPr>
            <a:ln w="19050" cap="rnd">
              <a:solidFill>
                <a:schemeClr val="accent1"/>
              </a:solidFill>
              <a:round/>
            </a:ln>
            <a:effectLst/>
          </c:spPr>
          <c:marker>
            <c:symbol val="none"/>
          </c:marker>
          <c:xVal>
            <c:numRef>
              <c:f>MODEL_MAINEFFECTS!$E$6:$E$15</c:f>
              <c:numCache>
                <c:formatCode>General</c:formatCode>
                <c:ptCount val="10"/>
                <c:pt idx="0">
                  <c:v>#N/A</c:v>
                </c:pt>
                <c:pt idx="1">
                  <c:v>#N/A</c:v>
                </c:pt>
                <c:pt idx="2">
                  <c:v>#N/A</c:v>
                </c:pt>
                <c:pt idx="3">
                  <c:v>#N/A</c:v>
                </c:pt>
                <c:pt idx="4">
                  <c:v>#N/A</c:v>
                </c:pt>
                <c:pt idx="5">
                  <c:v>#N/A</c:v>
                </c:pt>
                <c:pt idx="6">
                  <c:v>#N/A</c:v>
                </c:pt>
                <c:pt idx="7">
                  <c:v>#N/A</c:v>
                </c:pt>
                <c:pt idx="8">
                  <c:v>#N/A</c:v>
                </c:pt>
              </c:numCache>
            </c:numRef>
          </c:xVal>
          <c:yVal>
            <c:numRef>
              <c:f>MODEL_MAINEFFECTS!$E$17:$E$25</c:f>
              <c:numCache>
                <c:formatCode>General</c:formatCode>
                <c:ptCount val="9"/>
                <c:pt idx="0">
                  <c:v>#N/A</c:v>
                </c:pt>
                <c:pt idx="1">
                  <c:v>#N/A</c:v>
                </c:pt>
                <c:pt idx="2">
                  <c:v>#N/A</c:v>
                </c:pt>
                <c:pt idx="3">
                  <c:v>#N/A</c:v>
                </c:pt>
                <c:pt idx="4">
                  <c:v>#N/A</c:v>
                </c:pt>
                <c:pt idx="5">
                  <c:v>#N/A</c:v>
                </c:pt>
                <c:pt idx="6">
                  <c:v>#N/A</c:v>
                </c:pt>
                <c:pt idx="7">
                  <c:v>#N/A</c:v>
                </c:pt>
                <c:pt idx="8">
                  <c:v>#N/A</c:v>
                </c:pt>
              </c:numCache>
            </c:numRef>
          </c:yVal>
          <c:smooth val="0"/>
          <c:extLst>
            <c:ext xmlns:c16="http://schemas.microsoft.com/office/drawing/2014/chart" uri="{C3380CC4-5D6E-409C-BE32-E72D297353CC}">
              <c16:uniqueId val="{00000000-0203-4471-8231-5335F23C1815}"/>
            </c:ext>
          </c:extLst>
        </c:ser>
        <c:ser>
          <c:idx val="1"/>
          <c:order val="1"/>
          <c:spPr>
            <a:ln w="19050" cap="rnd">
              <a:noFill/>
              <a:round/>
            </a:ln>
            <a:effectLst/>
          </c:spPr>
          <c:marker>
            <c:symbol val="circle"/>
            <c:size val="8"/>
            <c:spPr>
              <a:noFill/>
              <a:ln w="9525">
                <a:solidFill>
                  <a:schemeClr val="accent2"/>
                </a:solidFill>
              </a:ln>
              <a:effectLst/>
            </c:spPr>
          </c:marker>
          <c:xVal>
            <c:numRef>
              <c:f>MODEL_MAINEFFECTS!$E$28:$E$97</c:f>
              <c:numCache>
                <c:formatCode>General</c:formatCode>
                <c:ptCount val="7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numCache>
            </c:numRef>
          </c:xVal>
          <c:yVal>
            <c:numRef>
              <c:f>MODEL_MAINEFFECTS!$A$28:$A$97</c:f>
              <c:numCache>
                <c:formatCode>General</c:formatCode>
                <c:ptCount val="70"/>
                <c:pt idx="0">
                  <c:v>4.2919815187500001</c:v>
                </c:pt>
                <c:pt idx="1">
                  <c:v>4.00793976875</c:v>
                </c:pt>
                <c:pt idx="2">
                  <c:v>5.1804760187500003</c:v>
                </c:pt>
                <c:pt idx="3">
                  <c:v>4.6917005187500003</c:v>
                </c:pt>
                <c:pt idx="4">
                  <c:v>8.5331880187499998</c:v>
                </c:pt>
                <c:pt idx="5">
                  <c:v>4.3121690187499997</c:v>
                </c:pt>
                <c:pt idx="6">
                  <c:v>8.3170460187500002</c:v>
                </c:pt>
                <c:pt idx="7">
                  <c:v>4.2429670187499999</c:v>
                </c:pt>
                <c:pt idx="8">
                  <c:v>4.7379400187499998</c:v>
                </c:pt>
                <c:pt idx="9">
                  <c:v>3.8313652687499999</c:v>
                </c:pt>
                <c:pt idx="10">
                  <c:v>5.4280640187499998</c:v>
                </c:pt>
                <c:pt idx="11">
                  <c:v>4.8226030187499997</c:v>
                </c:pt>
                <c:pt idx="12">
                  <c:v>7.74115001875</c:v>
                </c:pt>
                <c:pt idx="13">
                  <c:v>5.2487835187499998</c:v>
                </c:pt>
                <c:pt idx="14">
                  <c:v>7.0982790187499996</c:v>
                </c:pt>
                <c:pt idx="15">
                  <c:v>5.84936901875</c:v>
                </c:pt>
                <c:pt idx="16">
                  <c:v>4.5330400187500004</c:v>
                </c:pt>
                <c:pt idx="17">
                  <c:v>5.7342475187500002</c:v>
                </c:pt>
                <c:pt idx="18">
                  <c:v>5.8781730187500001</c:v>
                </c:pt>
                <c:pt idx="19">
                  <c:v>5.2625435187500003</c:v>
                </c:pt>
                <c:pt idx="20">
                  <c:v>6.6597015187500004</c:v>
                </c:pt>
                <c:pt idx="21">
                  <c:v>8.10153251875</c:v>
                </c:pt>
                <c:pt idx="22">
                  <c:v>8.9268260187500008</c:v>
                </c:pt>
                <c:pt idx="23">
                  <c:v>7.0592920187499999</c:v>
                </c:pt>
                <c:pt idx="24">
                  <c:v>4.4412020187500003</c:v>
                </c:pt>
                <c:pt idx="25">
                  <c:v>4.1802867687500003</c:v>
                </c:pt>
                <c:pt idx="26">
                  <c:v>5.6820480187499998</c:v>
                </c:pt>
                <c:pt idx="27">
                  <c:v>5.7801725187499997</c:v>
                </c:pt>
                <c:pt idx="28">
                  <c:v>8.7397320187500007</c:v>
                </c:pt>
                <c:pt idx="29">
                  <c:v>7.8388045187499999</c:v>
                </c:pt>
                <c:pt idx="30">
                  <c:v>7.2539075187500002</c:v>
                </c:pt>
                <c:pt idx="31">
                  <c:v>7.2391970187499997</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numCache>
            </c:numRef>
          </c:yVal>
          <c:smooth val="0"/>
          <c:extLst>
            <c:ext xmlns:c16="http://schemas.microsoft.com/office/drawing/2014/chart" uri="{C3380CC4-5D6E-409C-BE32-E72D297353CC}">
              <c16:uniqueId val="{00000002-0203-4471-8231-5335F23C1815}"/>
            </c:ext>
          </c:extLst>
        </c:ser>
        <c:dLbls>
          <c:showLegendKey val="0"/>
          <c:showVal val="0"/>
          <c:showCatName val="0"/>
          <c:showSerName val="0"/>
          <c:showPercent val="0"/>
          <c:showBubbleSize val="0"/>
        </c:dLbls>
        <c:axId val="654634879"/>
        <c:axId val="654634463"/>
      </c:scatterChart>
      <c:valAx>
        <c:axId val="6546348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ES"/>
          </a:p>
        </c:txPr>
        <c:crossAx val="654634463"/>
        <c:crosses val="autoZero"/>
        <c:crossBetween val="midCat"/>
      </c:valAx>
      <c:valAx>
        <c:axId val="654634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ES"/>
          </a:p>
        </c:txPr>
        <c:crossAx val="654634879"/>
        <c:crosses val="autoZero"/>
        <c:crossBetween val="midCat"/>
      </c:valAx>
      <c:spPr>
        <a:noFill/>
        <a:ln>
          <a:noFill/>
        </a:ln>
        <a:effectLst/>
      </c:spPr>
    </c:plotArea>
    <c:plotVisOnly val="0"/>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pPr>
      <a:endParaRPr lang="es-E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MODEL_MAINEFFECTS!$F$5</c:f>
          <c:strCache>
            <c:ptCount val="1"/>
          </c:strCache>
        </c:strRef>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spPr>
            <a:ln w="19050" cap="rnd">
              <a:solidFill>
                <a:schemeClr val="accent1"/>
              </a:solidFill>
              <a:round/>
            </a:ln>
            <a:effectLst/>
          </c:spPr>
          <c:marker>
            <c:symbol val="none"/>
          </c:marker>
          <c:xVal>
            <c:numRef>
              <c:f>MODEL_MAINEFFECTS!$F$6:$F$15</c:f>
              <c:numCache>
                <c:formatCode>General</c:formatCode>
                <c:ptCount val="10"/>
                <c:pt idx="0">
                  <c:v>#N/A</c:v>
                </c:pt>
                <c:pt idx="1">
                  <c:v>#N/A</c:v>
                </c:pt>
                <c:pt idx="2">
                  <c:v>#N/A</c:v>
                </c:pt>
                <c:pt idx="3">
                  <c:v>#N/A</c:v>
                </c:pt>
                <c:pt idx="4">
                  <c:v>#N/A</c:v>
                </c:pt>
                <c:pt idx="5">
                  <c:v>#N/A</c:v>
                </c:pt>
                <c:pt idx="6">
                  <c:v>#N/A</c:v>
                </c:pt>
                <c:pt idx="7">
                  <c:v>#N/A</c:v>
                </c:pt>
                <c:pt idx="8">
                  <c:v>#N/A</c:v>
                </c:pt>
              </c:numCache>
            </c:numRef>
          </c:xVal>
          <c:yVal>
            <c:numRef>
              <c:f>MODEL_MAINEFFECTS!$F$17:$F$25</c:f>
              <c:numCache>
                <c:formatCode>General</c:formatCode>
                <c:ptCount val="9"/>
                <c:pt idx="0">
                  <c:v>#N/A</c:v>
                </c:pt>
                <c:pt idx="1">
                  <c:v>#N/A</c:v>
                </c:pt>
                <c:pt idx="2">
                  <c:v>#N/A</c:v>
                </c:pt>
                <c:pt idx="3">
                  <c:v>#N/A</c:v>
                </c:pt>
                <c:pt idx="4">
                  <c:v>#N/A</c:v>
                </c:pt>
                <c:pt idx="5">
                  <c:v>#N/A</c:v>
                </c:pt>
                <c:pt idx="6">
                  <c:v>#N/A</c:v>
                </c:pt>
                <c:pt idx="7">
                  <c:v>#N/A</c:v>
                </c:pt>
                <c:pt idx="8">
                  <c:v>#N/A</c:v>
                </c:pt>
              </c:numCache>
            </c:numRef>
          </c:yVal>
          <c:smooth val="0"/>
          <c:extLst>
            <c:ext xmlns:c16="http://schemas.microsoft.com/office/drawing/2014/chart" uri="{C3380CC4-5D6E-409C-BE32-E72D297353CC}">
              <c16:uniqueId val="{00000000-0203-4471-8231-5335F23C1815}"/>
            </c:ext>
          </c:extLst>
        </c:ser>
        <c:ser>
          <c:idx val="1"/>
          <c:order val="1"/>
          <c:spPr>
            <a:ln w="19050" cap="rnd">
              <a:noFill/>
              <a:round/>
            </a:ln>
            <a:effectLst/>
          </c:spPr>
          <c:marker>
            <c:symbol val="circle"/>
            <c:size val="8"/>
            <c:spPr>
              <a:noFill/>
              <a:ln w="9525">
                <a:solidFill>
                  <a:schemeClr val="accent2"/>
                </a:solidFill>
              </a:ln>
              <a:effectLst/>
            </c:spPr>
          </c:marker>
          <c:xVal>
            <c:numRef>
              <c:f>MODEL_MAINEFFECTS!$F$28:$F$97</c:f>
              <c:numCache>
                <c:formatCode>General</c:formatCode>
                <c:ptCount val="7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numCache>
            </c:numRef>
          </c:xVal>
          <c:yVal>
            <c:numRef>
              <c:f>MODEL_MAINEFFECTS!$A$28:$A$97</c:f>
              <c:numCache>
                <c:formatCode>General</c:formatCode>
                <c:ptCount val="70"/>
                <c:pt idx="0">
                  <c:v>4.2919815187500001</c:v>
                </c:pt>
                <c:pt idx="1">
                  <c:v>4.00793976875</c:v>
                </c:pt>
                <c:pt idx="2">
                  <c:v>5.1804760187500003</c:v>
                </c:pt>
                <c:pt idx="3">
                  <c:v>4.6917005187500003</c:v>
                </c:pt>
                <c:pt idx="4">
                  <c:v>8.5331880187499998</c:v>
                </c:pt>
                <c:pt idx="5">
                  <c:v>4.3121690187499997</c:v>
                </c:pt>
                <c:pt idx="6">
                  <c:v>8.3170460187500002</c:v>
                </c:pt>
                <c:pt idx="7">
                  <c:v>4.2429670187499999</c:v>
                </c:pt>
                <c:pt idx="8">
                  <c:v>4.7379400187499998</c:v>
                </c:pt>
                <c:pt idx="9">
                  <c:v>3.8313652687499999</c:v>
                </c:pt>
                <c:pt idx="10">
                  <c:v>5.4280640187499998</c:v>
                </c:pt>
                <c:pt idx="11">
                  <c:v>4.8226030187499997</c:v>
                </c:pt>
                <c:pt idx="12">
                  <c:v>7.74115001875</c:v>
                </c:pt>
                <c:pt idx="13">
                  <c:v>5.2487835187499998</c:v>
                </c:pt>
                <c:pt idx="14">
                  <c:v>7.0982790187499996</c:v>
                </c:pt>
                <c:pt idx="15">
                  <c:v>5.84936901875</c:v>
                </c:pt>
                <c:pt idx="16">
                  <c:v>4.5330400187500004</c:v>
                </c:pt>
                <c:pt idx="17">
                  <c:v>5.7342475187500002</c:v>
                </c:pt>
                <c:pt idx="18">
                  <c:v>5.8781730187500001</c:v>
                </c:pt>
                <c:pt idx="19">
                  <c:v>5.2625435187500003</c:v>
                </c:pt>
                <c:pt idx="20">
                  <c:v>6.6597015187500004</c:v>
                </c:pt>
                <c:pt idx="21">
                  <c:v>8.10153251875</c:v>
                </c:pt>
                <c:pt idx="22">
                  <c:v>8.9268260187500008</c:v>
                </c:pt>
                <c:pt idx="23">
                  <c:v>7.0592920187499999</c:v>
                </c:pt>
                <c:pt idx="24">
                  <c:v>4.4412020187500003</c:v>
                </c:pt>
                <c:pt idx="25">
                  <c:v>4.1802867687500003</c:v>
                </c:pt>
                <c:pt idx="26">
                  <c:v>5.6820480187499998</c:v>
                </c:pt>
                <c:pt idx="27">
                  <c:v>5.7801725187499997</c:v>
                </c:pt>
                <c:pt idx="28">
                  <c:v>8.7397320187500007</c:v>
                </c:pt>
                <c:pt idx="29">
                  <c:v>7.8388045187499999</c:v>
                </c:pt>
                <c:pt idx="30">
                  <c:v>7.2539075187500002</c:v>
                </c:pt>
                <c:pt idx="31">
                  <c:v>7.2391970187499997</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numCache>
            </c:numRef>
          </c:yVal>
          <c:smooth val="0"/>
          <c:extLst>
            <c:ext xmlns:c16="http://schemas.microsoft.com/office/drawing/2014/chart" uri="{C3380CC4-5D6E-409C-BE32-E72D297353CC}">
              <c16:uniqueId val="{00000002-0203-4471-8231-5335F23C1815}"/>
            </c:ext>
          </c:extLst>
        </c:ser>
        <c:dLbls>
          <c:showLegendKey val="0"/>
          <c:showVal val="0"/>
          <c:showCatName val="0"/>
          <c:showSerName val="0"/>
          <c:showPercent val="0"/>
          <c:showBubbleSize val="0"/>
        </c:dLbls>
        <c:axId val="654634879"/>
        <c:axId val="654634463"/>
      </c:scatterChart>
      <c:valAx>
        <c:axId val="6546348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ES"/>
          </a:p>
        </c:txPr>
        <c:crossAx val="654634463"/>
        <c:crosses val="autoZero"/>
        <c:crossBetween val="midCat"/>
      </c:valAx>
      <c:valAx>
        <c:axId val="654634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ES"/>
          </a:p>
        </c:txPr>
        <c:crossAx val="654634879"/>
        <c:crosses val="autoZero"/>
        <c:crossBetween val="midCat"/>
      </c:valAx>
      <c:spPr>
        <a:noFill/>
        <a:ln>
          <a:noFill/>
        </a:ln>
        <a:effectLst/>
      </c:spPr>
    </c:plotArea>
    <c:plotVisOnly val="0"/>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pPr>
      <a:endParaRPr lang="es-E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MODEL_MAINEFFECTS!$G$5</c:f>
          <c:strCache>
            <c:ptCount val="1"/>
          </c:strCache>
        </c:strRef>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spPr>
            <a:ln w="19050" cap="rnd">
              <a:solidFill>
                <a:schemeClr val="accent1"/>
              </a:solidFill>
              <a:round/>
            </a:ln>
            <a:effectLst/>
          </c:spPr>
          <c:marker>
            <c:symbol val="none"/>
          </c:marker>
          <c:xVal>
            <c:numRef>
              <c:f>MODEL_MAINEFFECTS!$G$6:$G$15</c:f>
              <c:numCache>
                <c:formatCode>General</c:formatCode>
                <c:ptCount val="10"/>
                <c:pt idx="0">
                  <c:v>#N/A</c:v>
                </c:pt>
                <c:pt idx="1">
                  <c:v>#N/A</c:v>
                </c:pt>
                <c:pt idx="2">
                  <c:v>#N/A</c:v>
                </c:pt>
                <c:pt idx="3">
                  <c:v>#N/A</c:v>
                </c:pt>
                <c:pt idx="4">
                  <c:v>#N/A</c:v>
                </c:pt>
                <c:pt idx="5">
                  <c:v>#N/A</c:v>
                </c:pt>
                <c:pt idx="6">
                  <c:v>#N/A</c:v>
                </c:pt>
                <c:pt idx="7">
                  <c:v>#N/A</c:v>
                </c:pt>
                <c:pt idx="8">
                  <c:v>#N/A</c:v>
                </c:pt>
              </c:numCache>
            </c:numRef>
          </c:xVal>
          <c:yVal>
            <c:numRef>
              <c:f>MODEL_MAINEFFECTS!$G$17:$G$25</c:f>
              <c:numCache>
                <c:formatCode>General</c:formatCode>
                <c:ptCount val="9"/>
                <c:pt idx="0">
                  <c:v>#N/A</c:v>
                </c:pt>
                <c:pt idx="1">
                  <c:v>#N/A</c:v>
                </c:pt>
                <c:pt idx="2">
                  <c:v>#N/A</c:v>
                </c:pt>
                <c:pt idx="3">
                  <c:v>#N/A</c:v>
                </c:pt>
                <c:pt idx="4">
                  <c:v>#N/A</c:v>
                </c:pt>
                <c:pt idx="5">
                  <c:v>#N/A</c:v>
                </c:pt>
                <c:pt idx="6">
                  <c:v>#N/A</c:v>
                </c:pt>
                <c:pt idx="7">
                  <c:v>#N/A</c:v>
                </c:pt>
                <c:pt idx="8">
                  <c:v>#N/A</c:v>
                </c:pt>
              </c:numCache>
            </c:numRef>
          </c:yVal>
          <c:smooth val="0"/>
          <c:extLst>
            <c:ext xmlns:c16="http://schemas.microsoft.com/office/drawing/2014/chart" uri="{C3380CC4-5D6E-409C-BE32-E72D297353CC}">
              <c16:uniqueId val="{00000000-0203-4471-8231-5335F23C1815}"/>
            </c:ext>
          </c:extLst>
        </c:ser>
        <c:ser>
          <c:idx val="1"/>
          <c:order val="1"/>
          <c:spPr>
            <a:ln w="19050" cap="rnd">
              <a:noFill/>
              <a:round/>
            </a:ln>
            <a:effectLst/>
          </c:spPr>
          <c:marker>
            <c:symbol val="circle"/>
            <c:size val="8"/>
            <c:spPr>
              <a:noFill/>
              <a:ln w="9525">
                <a:solidFill>
                  <a:schemeClr val="accent2"/>
                </a:solidFill>
              </a:ln>
              <a:effectLst/>
            </c:spPr>
          </c:marker>
          <c:xVal>
            <c:numRef>
              <c:f>MODEL_MAINEFFECTS!$G$28:$G$97</c:f>
              <c:numCache>
                <c:formatCode>General</c:formatCode>
                <c:ptCount val="7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numCache>
            </c:numRef>
          </c:xVal>
          <c:yVal>
            <c:numRef>
              <c:f>MODEL_MAINEFFECTS!$A$28:$A$97</c:f>
              <c:numCache>
                <c:formatCode>General</c:formatCode>
                <c:ptCount val="70"/>
                <c:pt idx="0">
                  <c:v>4.2919815187500001</c:v>
                </c:pt>
                <c:pt idx="1">
                  <c:v>4.00793976875</c:v>
                </c:pt>
                <c:pt idx="2">
                  <c:v>5.1804760187500003</c:v>
                </c:pt>
                <c:pt idx="3">
                  <c:v>4.6917005187500003</c:v>
                </c:pt>
                <c:pt idx="4">
                  <c:v>8.5331880187499998</c:v>
                </c:pt>
                <c:pt idx="5">
                  <c:v>4.3121690187499997</c:v>
                </c:pt>
                <c:pt idx="6">
                  <c:v>8.3170460187500002</c:v>
                </c:pt>
                <c:pt idx="7">
                  <c:v>4.2429670187499999</c:v>
                </c:pt>
                <c:pt idx="8">
                  <c:v>4.7379400187499998</c:v>
                </c:pt>
                <c:pt idx="9">
                  <c:v>3.8313652687499999</c:v>
                </c:pt>
                <c:pt idx="10">
                  <c:v>5.4280640187499998</c:v>
                </c:pt>
                <c:pt idx="11">
                  <c:v>4.8226030187499997</c:v>
                </c:pt>
                <c:pt idx="12">
                  <c:v>7.74115001875</c:v>
                </c:pt>
                <c:pt idx="13">
                  <c:v>5.2487835187499998</c:v>
                </c:pt>
                <c:pt idx="14">
                  <c:v>7.0982790187499996</c:v>
                </c:pt>
                <c:pt idx="15">
                  <c:v>5.84936901875</c:v>
                </c:pt>
                <c:pt idx="16">
                  <c:v>4.5330400187500004</c:v>
                </c:pt>
                <c:pt idx="17">
                  <c:v>5.7342475187500002</c:v>
                </c:pt>
                <c:pt idx="18">
                  <c:v>5.8781730187500001</c:v>
                </c:pt>
                <c:pt idx="19">
                  <c:v>5.2625435187500003</c:v>
                </c:pt>
                <c:pt idx="20">
                  <c:v>6.6597015187500004</c:v>
                </c:pt>
                <c:pt idx="21">
                  <c:v>8.10153251875</c:v>
                </c:pt>
                <c:pt idx="22">
                  <c:v>8.9268260187500008</c:v>
                </c:pt>
                <c:pt idx="23">
                  <c:v>7.0592920187499999</c:v>
                </c:pt>
                <c:pt idx="24">
                  <c:v>4.4412020187500003</c:v>
                </c:pt>
                <c:pt idx="25">
                  <c:v>4.1802867687500003</c:v>
                </c:pt>
                <c:pt idx="26">
                  <c:v>5.6820480187499998</c:v>
                </c:pt>
                <c:pt idx="27">
                  <c:v>5.7801725187499997</c:v>
                </c:pt>
                <c:pt idx="28">
                  <c:v>8.7397320187500007</c:v>
                </c:pt>
                <c:pt idx="29">
                  <c:v>7.8388045187499999</c:v>
                </c:pt>
                <c:pt idx="30">
                  <c:v>7.2539075187500002</c:v>
                </c:pt>
                <c:pt idx="31">
                  <c:v>7.2391970187499997</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numCache>
            </c:numRef>
          </c:yVal>
          <c:smooth val="0"/>
          <c:extLst>
            <c:ext xmlns:c16="http://schemas.microsoft.com/office/drawing/2014/chart" uri="{C3380CC4-5D6E-409C-BE32-E72D297353CC}">
              <c16:uniqueId val="{00000002-0203-4471-8231-5335F23C1815}"/>
            </c:ext>
          </c:extLst>
        </c:ser>
        <c:dLbls>
          <c:showLegendKey val="0"/>
          <c:showVal val="0"/>
          <c:showCatName val="0"/>
          <c:showSerName val="0"/>
          <c:showPercent val="0"/>
          <c:showBubbleSize val="0"/>
        </c:dLbls>
        <c:axId val="654634879"/>
        <c:axId val="654634463"/>
      </c:scatterChart>
      <c:valAx>
        <c:axId val="6546348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ES"/>
          </a:p>
        </c:txPr>
        <c:crossAx val="654634463"/>
        <c:crosses val="autoZero"/>
        <c:crossBetween val="midCat"/>
      </c:valAx>
      <c:valAx>
        <c:axId val="654634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ES"/>
          </a:p>
        </c:txPr>
        <c:crossAx val="654634879"/>
        <c:crosses val="autoZero"/>
        <c:crossBetween val="midCat"/>
      </c:valAx>
      <c:spPr>
        <a:noFill/>
        <a:ln>
          <a:noFill/>
        </a:ln>
        <a:effectLst/>
      </c:spPr>
    </c:plotArea>
    <c:plotVisOnly val="0"/>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pPr>
      <a:endParaRPr lang="es-E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MODEL_MAINEFFECTS!$H$5</c:f>
          <c:strCache>
            <c:ptCount val="1"/>
          </c:strCache>
        </c:strRef>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spPr>
            <a:ln w="19050" cap="rnd">
              <a:solidFill>
                <a:schemeClr val="accent1"/>
              </a:solidFill>
              <a:round/>
            </a:ln>
            <a:effectLst/>
          </c:spPr>
          <c:marker>
            <c:symbol val="none"/>
          </c:marker>
          <c:xVal>
            <c:numRef>
              <c:f>MODEL_MAINEFFECTS!$H$6:$H$15</c:f>
              <c:numCache>
                <c:formatCode>General</c:formatCode>
                <c:ptCount val="10"/>
                <c:pt idx="0">
                  <c:v>#N/A</c:v>
                </c:pt>
                <c:pt idx="1">
                  <c:v>#N/A</c:v>
                </c:pt>
                <c:pt idx="2">
                  <c:v>#N/A</c:v>
                </c:pt>
                <c:pt idx="3">
                  <c:v>#N/A</c:v>
                </c:pt>
                <c:pt idx="4">
                  <c:v>#N/A</c:v>
                </c:pt>
                <c:pt idx="5">
                  <c:v>#N/A</c:v>
                </c:pt>
                <c:pt idx="6">
                  <c:v>#N/A</c:v>
                </c:pt>
                <c:pt idx="7">
                  <c:v>#N/A</c:v>
                </c:pt>
                <c:pt idx="8">
                  <c:v>#N/A</c:v>
                </c:pt>
              </c:numCache>
            </c:numRef>
          </c:xVal>
          <c:yVal>
            <c:numRef>
              <c:f>MODEL_MAINEFFECTS!$H$17:$H$25</c:f>
              <c:numCache>
                <c:formatCode>General</c:formatCode>
                <c:ptCount val="9"/>
                <c:pt idx="0">
                  <c:v>#N/A</c:v>
                </c:pt>
                <c:pt idx="1">
                  <c:v>#N/A</c:v>
                </c:pt>
                <c:pt idx="2">
                  <c:v>#N/A</c:v>
                </c:pt>
                <c:pt idx="3">
                  <c:v>#N/A</c:v>
                </c:pt>
                <c:pt idx="4">
                  <c:v>#N/A</c:v>
                </c:pt>
                <c:pt idx="5">
                  <c:v>#N/A</c:v>
                </c:pt>
                <c:pt idx="6">
                  <c:v>#N/A</c:v>
                </c:pt>
                <c:pt idx="7">
                  <c:v>#N/A</c:v>
                </c:pt>
                <c:pt idx="8">
                  <c:v>#N/A</c:v>
                </c:pt>
              </c:numCache>
            </c:numRef>
          </c:yVal>
          <c:smooth val="0"/>
          <c:extLst>
            <c:ext xmlns:c16="http://schemas.microsoft.com/office/drawing/2014/chart" uri="{C3380CC4-5D6E-409C-BE32-E72D297353CC}">
              <c16:uniqueId val="{00000000-0203-4471-8231-5335F23C1815}"/>
            </c:ext>
          </c:extLst>
        </c:ser>
        <c:ser>
          <c:idx val="1"/>
          <c:order val="1"/>
          <c:spPr>
            <a:ln w="19050" cap="rnd">
              <a:noFill/>
              <a:round/>
            </a:ln>
            <a:effectLst/>
          </c:spPr>
          <c:marker>
            <c:symbol val="circle"/>
            <c:size val="8"/>
            <c:spPr>
              <a:noFill/>
              <a:ln w="9525">
                <a:solidFill>
                  <a:schemeClr val="accent2"/>
                </a:solidFill>
              </a:ln>
              <a:effectLst/>
            </c:spPr>
          </c:marker>
          <c:xVal>
            <c:numRef>
              <c:f>MODEL_MAINEFFECTS!$H$28:$H$97</c:f>
              <c:numCache>
                <c:formatCode>General</c:formatCode>
                <c:ptCount val="7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numCache>
            </c:numRef>
          </c:xVal>
          <c:yVal>
            <c:numRef>
              <c:f>MODEL_MAINEFFECTS!$A$28:$A$97</c:f>
              <c:numCache>
                <c:formatCode>General</c:formatCode>
                <c:ptCount val="70"/>
                <c:pt idx="0">
                  <c:v>4.2919815187500001</c:v>
                </c:pt>
                <c:pt idx="1">
                  <c:v>4.00793976875</c:v>
                </c:pt>
                <c:pt idx="2">
                  <c:v>5.1804760187500003</c:v>
                </c:pt>
                <c:pt idx="3">
                  <c:v>4.6917005187500003</c:v>
                </c:pt>
                <c:pt idx="4">
                  <c:v>8.5331880187499998</c:v>
                </c:pt>
                <c:pt idx="5">
                  <c:v>4.3121690187499997</c:v>
                </c:pt>
                <c:pt idx="6">
                  <c:v>8.3170460187500002</c:v>
                </c:pt>
                <c:pt idx="7">
                  <c:v>4.2429670187499999</c:v>
                </c:pt>
                <c:pt idx="8">
                  <c:v>4.7379400187499998</c:v>
                </c:pt>
                <c:pt idx="9">
                  <c:v>3.8313652687499999</c:v>
                </c:pt>
                <c:pt idx="10">
                  <c:v>5.4280640187499998</c:v>
                </c:pt>
                <c:pt idx="11">
                  <c:v>4.8226030187499997</c:v>
                </c:pt>
                <c:pt idx="12">
                  <c:v>7.74115001875</c:v>
                </c:pt>
                <c:pt idx="13">
                  <c:v>5.2487835187499998</c:v>
                </c:pt>
                <c:pt idx="14">
                  <c:v>7.0982790187499996</c:v>
                </c:pt>
                <c:pt idx="15">
                  <c:v>5.84936901875</c:v>
                </c:pt>
                <c:pt idx="16">
                  <c:v>4.5330400187500004</c:v>
                </c:pt>
                <c:pt idx="17">
                  <c:v>5.7342475187500002</c:v>
                </c:pt>
                <c:pt idx="18">
                  <c:v>5.8781730187500001</c:v>
                </c:pt>
                <c:pt idx="19">
                  <c:v>5.2625435187500003</c:v>
                </c:pt>
                <c:pt idx="20">
                  <c:v>6.6597015187500004</c:v>
                </c:pt>
                <c:pt idx="21">
                  <c:v>8.10153251875</c:v>
                </c:pt>
                <c:pt idx="22">
                  <c:v>8.9268260187500008</c:v>
                </c:pt>
                <c:pt idx="23">
                  <c:v>7.0592920187499999</c:v>
                </c:pt>
                <c:pt idx="24">
                  <c:v>4.4412020187500003</c:v>
                </c:pt>
                <c:pt idx="25">
                  <c:v>4.1802867687500003</c:v>
                </c:pt>
                <c:pt idx="26">
                  <c:v>5.6820480187499998</c:v>
                </c:pt>
                <c:pt idx="27">
                  <c:v>5.7801725187499997</c:v>
                </c:pt>
                <c:pt idx="28">
                  <c:v>8.7397320187500007</c:v>
                </c:pt>
                <c:pt idx="29">
                  <c:v>7.8388045187499999</c:v>
                </c:pt>
                <c:pt idx="30">
                  <c:v>7.2539075187500002</c:v>
                </c:pt>
                <c:pt idx="31">
                  <c:v>7.2391970187499997</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numCache>
            </c:numRef>
          </c:yVal>
          <c:smooth val="0"/>
          <c:extLst>
            <c:ext xmlns:c16="http://schemas.microsoft.com/office/drawing/2014/chart" uri="{C3380CC4-5D6E-409C-BE32-E72D297353CC}">
              <c16:uniqueId val="{00000002-0203-4471-8231-5335F23C1815}"/>
            </c:ext>
          </c:extLst>
        </c:ser>
        <c:dLbls>
          <c:showLegendKey val="0"/>
          <c:showVal val="0"/>
          <c:showCatName val="0"/>
          <c:showSerName val="0"/>
          <c:showPercent val="0"/>
          <c:showBubbleSize val="0"/>
        </c:dLbls>
        <c:axId val="654634879"/>
        <c:axId val="654634463"/>
      </c:scatterChart>
      <c:valAx>
        <c:axId val="6546348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ES"/>
          </a:p>
        </c:txPr>
        <c:crossAx val="654634463"/>
        <c:crosses val="autoZero"/>
        <c:crossBetween val="midCat"/>
      </c:valAx>
      <c:valAx>
        <c:axId val="654634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ES"/>
          </a:p>
        </c:txPr>
        <c:crossAx val="654634879"/>
        <c:crosses val="autoZero"/>
        <c:crossBetween val="midCat"/>
      </c:valAx>
      <c:spPr>
        <a:noFill/>
        <a:ln>
          <a:noFill/>
        </a:ln>
        <a:effectLst/>
      </c:spPr>
    </c:plotArea>
    <c:plotVisOnly val="0"/>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pPr>
      <a:endParaRPr lang="es-E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MODEL_MAINEFFECTS!$I$5</c:f>
          <c:strCache>
            <c:ptCount val="1"/>
          </c:strCache>
        </c:strRef>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spPr>
            <a:ln w="19050" cap="rnd">
              <a:solidFill>
                <a:schemeClr val="accent1"/>
              </a:solidFill>
              <a:round/>
            </a:ln>
            <a:effectLst/>
          </c:spPr>
          <c:marker>
            <c:symbol val="none"/>
          </c:marker>
          <c:xVal>
            <c:numRef>
              <c:f>MODEL_MAINEFFECTS!$I$6:$I$15</c:f>
              <c:numCache>
                <c:formatCode>General</c:formatCode>
                <c:ptCount val="10"/>
                <c:pt idx="0">
                  <c:v>#N/A</c:v>
                </c:pt>
                <c:pt idx="1">
                  <c:v>#N/A</c:v>
                </c:pt>
                <c:pt idx="2">
                  <c:v>#N/A</c:v>
                </c:pt>
                <c:pt idx="3">
                  <c:v>#N/A</c:v>
                </c:pt>
                <c:pt idx="4">
                  <c:v>#N/A</c:v>
                </c:pt>
                <c:pt idx="5">
                  <c:v>#N/A</c:v>
                </c:pt>
                <c:pt idx="6">
                  <c:v>#N/A</c:v>
                </c:pt>
                <c:pt idx="7">
                  <c:v>#N/A</c:v>
                </c:pt>
                <c:pt idx="8">
                  <c:v>#N/A</c:v>
                </c:pt>
              </c:numCache>
            </c:numRef>
          </c:xVal>
          <c:yVal>
            <c:numRef>
              <c:f>MODEL_MAINEFFECTS!$I$17:$I$25</c:f>
              <c:numCache>
                <c:formatCode>General</c:formatCode>
                <c:ptCount val="9"/>
                <c:pt idx="0">
                  <c:v>#N/A</c:v>
                </c:pt>
                <c:pt idx="1">
                  <c:v>#N/A</c:v>
                </c:pt>
                <c:pt idx="2">
                  <c:v>#N/A</c:v>
                </c:pt>
                <c:pt idx="3">
                  <c:v>#N/A</c:v>
                </c:pt>
                <c:pt idx="4">
                  <c:v>#N/A</c:v>
                </c:pt>
                <c:pt idx="5">
                  <c:v>#N/A</c:v>
                </c:pt>
                <c:pt idx="6">
                  <c:v>#N/A</c:v>
                </c:pt>
                <c:pt idx="7">
                  <c:v>#N/A</c:v>
                </c:pt>
                <c:pt idx="8">
                  <c:v>#N/A</c:v>
                </c:pt>
              </c:numCache>
            </c:numRef>
          </c:yVal>
          <c:smooth val="0"/>
          <c:extLst>
            <c:ext xmlns:c16="http://schemas.microsoft.com/office/drawing/2014/chart" uri="{C3380CC4-5D6E-409C-BE32-E72D297353CC}">
              <c16:uniqueId val="{00000000-0203-4471-8231-5335F23C1815}"/>
            </c:ext>
          </c:extLst>
        </c:ser>
        <c:ser>
          <c:idx val="1"/>
          <c:order val="1"/>
          <c:spPr>
            <a:ln w="19050" cap="rnd">
              <a:noFill/>
              <a:round/>
            </a:ln>
            <a:effectLst/>
          </c:spPr>
          <c:marker>
            <c:symbol val="circle"/>
            <c:size val="8"/>
            <c:spPr>
              <a:noFill/>
              <a:ln w="9525">
                <a:solidFill>
                  <a:schemeClr val="accent2"/>
                </a:solidFill>
              </a:ln>
              <a:effectLst/>
            </c:spPr>
          </c:marker>
          <c:xVal>
            <c:numRef>
              <c:f>MODEL_MAINEFFECTS!$I$28:$I$97</c:f>
              <c:numCache>
                <c:formatCode>General</c:formatCode>
                <c:ptCount val="7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numCache>
            </c:numRef>
          </c:xVal>
          <c:yVal>
            <c:numRef>
              <c:f>MODEL_MAINEFFECTS!$A$28:$A$97</c:f>
              <c:numCache>
                <c:formatCode>General</c:formatCode>
                <c:ptCount val="70"/>
                <c:pt idx="0">
                  <c:v>4.2919815187500001</c:v>
                </c:pt>
                <c:pt idx="1">
                  <c:v>4.00793976875</c:v>
                </c:pt>
                <c:pt idx="2">
                  <c:v>5.1804760187500003</c:v>
                </c:pt>
                <c:pt idx="3">
                  <c:v>4.6917005187500003</c:v>
                </c:pt>
                <c:pt idx="4">
                  <c:v>8.5331880187499998</c:v>
                </c:pt>
                <c:pt idx="5">
                  <c:v>4.3121690187499997</c:v>
                </c:pt>
                <c:pt idx="6">
                  <c:v>8.3170460187500002</c:v>
                </c:pt>
                <c:pt idx="7">
                  <c:v>4.2429670187499999</c:v>
                </c:pt>
                <c:pt idx="8">
                  <c:v>4.7379400187499998</c:v>
                </c:pt>
                <c:pt idx="9">
                  <c:v>3.8313652687499999</c:v>
                </c:pt>
                <c:pt idx="10">
                  <c:v>5.4280640187499998</c:v>
                </c:pt>
                <c:pt idx="11">
                  <c:v>4.8226030187499997</c:v>
                </c:pt>
                <c:pt idx="12">
                  <c:v>7.74115001875</c:v>
                </c:pt>
                <c:pt idx="13">
                  <c:v>5.2487835187499998</c:v>
                </c:pt>
                <c:pt idx="14">
                  <c:v>7.0982790187499996</c:v>
                </c:pt>
                <c:pt idx="15">
                  <c:v>5.84936901875</c:v>
                </c:pt>
                <c:pt idx="16">
                  <c:v>4.5330400187500004</c:v>
                </c:pt>
                <c:pt idx="17">
                  <c:v>5.7342475187500002</c:v>
                </c:pt>
                <c:pt idx="18">
                  <c:v>5.8781730187500001</c:v>
                </c:pt>
                <c:pt idx="19">
                  <c:v>5.2625435187500003</c:v>
                </c:pt>
                <c:pt idx="20">
                  <c:v>6.6597015187500004</c:v>
                </c:pt>
                <c:pt idx="21">
                  <c:v>8.10153251875</c:v>
                </c:pt>
                <c:pt idx="22">
                  <c:v>8.9268260187500008</c:v>
                </c:pt>
                <c:pt idx="23">
                  <c:v>7.0592920187499999</c:v>
                </c:pt>
                <c:pt idx="24">
                  <c:v>4.4412020187500003</c:v>
                </c:pt>
                <c:pt idx="25">
                  <c:v>4.1802867687500003</c:v>
                </c:pt>
                <c:pt idx="26">
                  <c:v>5.6820480187499998</c:v>
                </c:pt>
                <c:pt idx="27">
                  <c:v>5.7801725187499997</c:v>
                </c:pt>
                <c:pt idx="28">
                  <c:v>8.7397320187500007</c:v>
                </c:pt>
                <c:pt idx="29">
                  <c:v>7.8388045187499999</c:v>
                </c:pt>
                <c:pt idx="30">
                  <c:v>7.2539075187500002</c:v>
                </c:pt>
                <c:pt idx="31">
                  <c:v>7.2391970187499997</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numCache>
            </c:numRef>
          </c:yVal>
          <c:smooth val="0"/>
          <c:extLst>
            <c:ext xmlns:c16="http://schemas.microsoft.com/office/drawing/2014/chart" uri="{C3380CC4-5D6E-409C-BE32-E72D297353CC}">
              <c16:uniqueId val="{00000002-0203-4471-8231-5335F23C1815}"/>
            </c:ext>
          </c:extLst>
        </c:ser>
        <c:dLbls>
          <c:showLegendKey val="0"/>
          <c:showVal val="0"/>
          <c:showCatName val="0"/>
          <c:showSerName val="0"/>
          <c:showPercent val="0"/>
          <c:showBubbleSize val="0"/>
        </c:dLbls>
        <c:axId val="654634879"/>
        <c:axId val="654634463"/>
      </c:scatterChart>
      <c:valAx>
        <c:axId val="6546348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ES"/>
          </a:p>
        </c:txPr>
        <c:crossAx val="654634463"/>
        <c:crosses val="autoZero"/>
        <c:crossBetween val="midCat"/>
      </c:valAx>
      <c:valAx>
        <c:axId val="654634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ES"/>
          </a:p>
        </c:txPr>
        <c:crossAx val="654634879"/>
        <c:crosses val="autoZero"/>
        <c:crossBetween val="midCat"/>
      </c:valAx>
      <c:spPr>
        <a:noFill/>
        <a:ln>
          <a:noFill/>
        </a:ln>
        <a:effectLst/>
      </c:spPr>
    </c:plotArea>
    <c:plotVisOnly val="0"/>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pPr>
      <a:endParaRPr lang="es-E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MODEL_MAINEFFECTS!$J$5</c:f>
          <c:strCache>
            <c:ptCount val="1"/>
          </c:strCache>
        </c:strRef>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spPr>
            <a:ln w="19050" cap="rnd">
              <a:solidFill>
                <a:schemeClr val="accent1"/>
              </a:solidFill>
              <a:round/>
            </a:ln>
            <a:effectLst/>
          </c:spPr>
          <c:marker>
            <c:symbol val="none"/>
          </c:marker>
          <c:xVal>
            <c:numRef>
              <c:f>MODEL_MAINEFFECTS!$J$6:$J$15</c:f>
              <c:numCache>
                <c:formatCode>General</c:formatCode>
                <c:ptCount val="10"/>
                <c:pt idx="0">
                  <c:v>#N/A</c:v>
                </c:pt>
                <c:pt idx="1">
                  <c:v>#N/A</c:v>
                </c:pt>
                <c:pt idx="2">
                  <c:v>#N/A</c:v>
                </c:pt>
                <c:pt idx="3">
                  <c:v>#N/A</c:v>
                </c:pt>
                <c:pt idx="4">
                  <c:v>#N/A</c:v>
                </c:pt>
                <c:pt idx="5">
                  <c:v>#N/A</c:v>
                </c:pt>
                <c:pt idx="6">
                  <c:v>#N/A</c:v>
                </c:pt>
                <c:pt idx="7">
                  <c:v>#N/A</c:v>
                </c:pt>
                <c:pt idx="8">
                  <c:v>#N/A</c:v>
                </c:pt>
              </c:numCache>
            </c:numRef>
          </c:xVal>
          <c:yVal>
            <c:numRef>
              <c:f>MODEL_MAINEFFECTS!$J$17:$J$25</c:f>
              <c:numCache>
                <c:formatCode>General</c:formatCode>
                <c:ptCount val="9"/>
                <c:pt idx="0">
                  <c:v>#N/A</c:v>
                </c:pt>
                <c:pt idx="1">
                  <c:v>#N/A</c:v>
                </c:pt>
                <c:pt idx="2">
                  <c:v>#N/A</c:v>
                </c:pt>
                <c:pt idx="3">
                  <c:v>#N/A</c:v>
                </c:pt>
                <c:pt idx="4">
                  <c:v>#N/A</c:v>
                </c:pt>
                <c:pt idx="5">
                  <c:v>#N/A</c:v>
                </c:pt>
                <c:pt idx="6">
                  <c:v>#N/A</c:v>
                </c:pt>
                <c:pt idx="7">
                  <c:v>#N/A</c:v>
                </c:pt>
                <c:pt idx="8">
                  <c:v>#N/A</c:v>
                </c:pt>
              </c:numCache>
            </c:numRef>
          </c:yVal>
          <c:smooth val="0"/>
          <c:extLst>
            <c:ext xmlns:c16="http://schemas.microsoft.com/office/drawing/2014/chart" uri="{C3380CC4-5D6E-409C-BE32-E72D297353CC}">
              <c16:uniqueId val="{00000000-0203-4471-8231-5335F23C1815}"/>
            </c:ext>
          </c:extLst>
        </c:ser>
        <c:ser>
          <c:idx val="1"/>
          <c:order val="1"/>
          <c:spPr>
            <a:ln w="19050" cap="rnd">
              <a:noFill/>
              <a:round/>
            </a:ln>
            <a:effectLst/>
          </c:spPr>
          <c:marker>
            <c:symbol val="circle"/>
            <c:size val="8"/>
            <c:spPr>
              <a:noFill/>
              <a:ln w="9525">
                <a:solidFill>
                  <a:schemeClr val="accent2"/>
                </a:solidFill>
              </a:ln>
              <a:effectLst/>
            </c:spPr>
          </c:marker>
          <c:xVal>
            <c:numRef>
              <c:f>MODEL_MAINEFFECTS!$J$28:$J$97</c:f>
              <c:numCache>
                <c:formatCode>General</c:formatCode>
                <c:ptCount val="7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numCache>
            </c:numRef>
          </c:xVal>
          <c:yVal>
            <c:numRef>
              <c:f>MODEL_MAINEFFECTS!$A$28:$A$97</c:f>
              <c:numCache>
                <c:formatCode>General</c:formatCode>
                <c:ptCount val="70"/>
                <c:pt idx="0">
                  <c:v>4.2919815187500001</c:v>
                </c:pt>
                <c:pt idx="1">
                  <c:v>4.00793976875</c:v>
                </c:pt>
                <c:pt idx="2">
                  <c:v>5.1804760187500003</c:v>
                </c:pt>
                <c:pt idx="3">
                  <c:v>4.6917005187500003</c:v>
                </c:pt>
                <c:pt idx="4">
                  <c:v>8.5331880187499998</c:v>
                </c:pt>
                <c:pt idx="5">
                  <c:v>4.3121690187499997</c:v>
                </c:pt>
                <c:pt idx="6">
                  <c:v>8.3170460187500002</c:v>
                </c:pt>
                <c:pt idx="7">
                  <c:v>4.2429670187499999</c:v>
                </c:pt>
                <c:pt idx="8">
                  <c:v>4.7379400187499998</c:v>
                </c:pt>
                <c:pt idx="9">
                  <c:v>3.8313652687499999</c:v>
                </c:pt>
                <c:pt idx="10">
                  <c:v>5.4280640187499998</c:v>
                </c:pt>
                <c:pt idx="11">
                  <c:v>4.8226030187499997</c:v>
                </c:pt>
                <c:pt idx="12">
                  <c:v>7.74115001875</c:v>
                </c:pt>
                <c:pt idx="13">
                  <c:v>5.2487835187499998</c:v>
                </c:pt>
                <c:pt idx="14">
                  <c:v>7.0982790187499996</c:v>
                </c:pt>
                <c:pt idx="15">
                  <c:v>5.84936901875</c:v>
                </c:pt>
                <c:pt idx="16">
                  <c:v>4.5330400187500004</c:v>
                </c:pt>
                <c:pt idx="17">
                  <c:v>5.7342475187500002</c:v>
                </c:pt>
                <c:pt idx="18">
                  <c:v>5.8781730187500001</c:v>
                </c:pt>
                <c:pt idx="19">
                  <c:v>5.2625435187500003</c:v>
                </c:pt>
                <c:pt idx="20">
                  <c:v>6.6597015187500004</c:v>
                </c:pt>
                <c:pt idx="21">
                  <c:v>8.10153251875</c:v>
                </c:pt>
                <c:pt idx="22">
                  <c:v>8.9268260187500008</c:v>
                </c:pt>
                <c:pt idx="23">
                  <c:v>7.0592920187499999</c:v>
                </c:pt>
                <c:pt idx="24">
                  <c:v>4.4412020187500003</c:v>
                </c:pt>
                <c:pt idx="25">
                  <c:v>4.1802867687500003</c:v>
                </c:pt>
                <c:pt idx="26">
                  <c:v>5.6820480187499998</c:v>
                </c:pt>
                <c:pt idx="27">
                  <c:v>5.7801725187499997</c:v>
                </c:pt>
                <c:pt idx="28">
                  <c:v>8.7397320187500007</c:v>
                </c:pt>
                <c:pt idx="29">
                  <c:v>7.8388045187499999</c:v>
                </c:pt>
                <c:pt idx="30">
                  <c:v>7.2539075187500002</c:v>
                </c:pt>
                <c:pt idx="31">
                  <c:v>7.2391970187499997</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numCache>
            </c:numRef>
          </c:yVal>
          <c:smooth val="0"/>
          <c:extLst>
            <c:ext xmlns:c16="http://schemas.microsoft.com/office/drawing/2014/chart" uri="{C3380CC4-5D6E-409C-BE32-E72D297353CC}">
              <c16:uniqueId val="{00000002-0203-4471-8231-5335F23C1815}"/>
            </c:ext>
          </c:extLst>
        </c:ser>
        <c:dLbls>
          <c:showLegendKey val="0"/>
          <c:showVal val="0"/>
          <c:showCatName val="0"/>
          <c:showSerName val="0"/>
          <c:showPercent val="0"/>
          <c:showBubbleSize val="0"/>
        </c:dLbls>
        <c:axId val="654634879"/>
        <c:axId val="654634463"/>
      </c:scatterChart>
      <c:valAx>
        <c:axId val="6546348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ES"/>
          </a:p>
        </c:txPr>
        <c:crossAx val="654634463"/>
        <c:crosses val="autoZero"/>
        <c:crossBetween val="midCat"/>
      </c:valAx>
      <c:valAx>
        <c:axId val="654634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ES"/>
          </a:p>
        </c:txPr>
        <c:crossAx val="654634879"/>
        <c:crosses val="autoZero"/>
        <c:crossBetween val="midCat"/>
      </c:valAx>
      <c:spPr>
        <a:noFill/>
        <a:ln>
          <a:noFill/>
        </a:ln>
        <a:effectLst/>
      </c:spPr>
    </c:plotArea>
    <c:plotVisOnly val="0"/>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pPr>
      <a:endParaRPr lang="es-E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MODEL_MAINEFFECTS!$K$5</c:f>
          <c:strCache>
            <c:ptCount val="1"/>
          </c:strCache>
        </c:strRef>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spPr>
            <a:ln w="19050" cap="rnd">
              <a:solidFill>
                <a:schemeClr val="accent1"/>
              </a:solidFill>
              <a:round/>
            </a:ln>
            <a:effectLst/>
          </c:spPr>
          <c:marker>
            <c:symbol val="none"/>
          </c:marker>
          <c:xVal>
            <c:numRef>
              <c:f>MODEL_MAINEFFECTS!$K$6:$K$15</c:f>
              <c:numCache>
                <c:formatCode>General</c:formatCode>
                <c:ptCount val="10"/>
                <c:pt idx="0">
                  <c:v>#N/A</c:v>
                </c:pt>
                <c:pt idx="1">
                  <c:v>#N/A</c:v>
                </c:pt>
                <c:pt idx="2">
                  <c:v>#N/A</c:v>
                </c:pt>
                <c:pt idx="3">
                  <c:v>#N/A</c:v>
                </c:pt>
                <c:pt idx="4">
                  <c:v>#N/A</c:v>
                </c:pt>
                <c:pt idx="5">
                  <c:v>#N/A</c:v>
                </c:pt>
                <c:pt idx="6">
                  <c:v>#N/A</c:v>
                </c:pt>
                <c:pt idx="7">
                  <c:v>#N/A</c:v>
                </c:pt>
                <c:pt idx="8">
                  <c:v>#N/A</c:v>
                </c:pt>
              </c:numCache>
            </c:numRef>
          </c:xVal>
          <c:yVal>
            <c:numRef>
              <c:f>MODEL_MAINEFFECTS!$K$17:$K$25</c:f>
              <c:numCache>
                <c:formatCode>General</c:formatCode>
                <c:ptCount val="9"/>
                <c:pt idx="0">
                  <c:v>#N/A</c:v>
                </c:pt>
                <c:pt idx="1">
                  <c:v>#N/A</c:v>
                </c:pt>
                <c:pt idx="2">
                  <c:v>#N/A</c:v>
                </c:pt>
                <c:pt idx="3">
                  <c:v>#N/A</c:v>
                </c:pt>
                <c:pt idx="4">
                  <c:v>#N/A</c:v>
                </c:pt>
                <c:pt idx="5">
                  <c:v>#N/A</c:v>
                </c:pt>
                <c:pt idx="6">
                  <c:v>#N/A</c:v>
                </c:pt>
                <c:pt idx="7">
                  <c:v>#N/A</c:v>
                </c:pt>
                <c:pt idx="8">
                  <c:v>#N/A</c:v>
                </c:pt>
              </c:numCache>
            </c:numRef>
          </c:yVal>
          <c:smooth val="0"/>
          <c:extLst>
            <c:ext xmlns:c16="http://schemas.microsoft.com/office/drawing/2014/chart" uri="{C3380CC4-5D6E-409C-BE32-E72D297353CC}">
              <c16:uniqueId val="{00000000-0203-4471-8231-5335F23C1815}"/>
            </c:ext>
          </c:extLst>
        </c:ser>
        <c:ser>
          <c:idx val="1"/>
          <c:order val="1"/>
          <c:spPr>
            <a:ln w="19050" cap="rnd">
              <a:noFill/>
              <a:round/>
            </a:ln>
            <a:effectLst/>
          </c:spPr>
          <c:marker>
            <c:symbol val="circle"/>
            <c:size val="8"/>
            <c:spPr>
              <a:noFill/>
              <a:ln w="9525">
                <a:solidFill>
                  <a:schemeClr val="accent2"/>
                </a:solidFill>
              </a:ln>
              <a:effectLst/>
            </c:spPr>
          </c:marker>
          <c:xVal>
            <c:numRef>
              <c:f>MODEL_MAINEFFECTS!$K$28:$K$97</c:f>
              <c:numCache>
                <c:formatCode>General</c:formatCode>
                <c:ptCount val="7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numCache>
            </c:numRef>
          </c:xVal>
          <c:yVal>
            <c:numRef>
              <c:f>MODEL_MAINEFFECTS!$A$28:$A$97</c:f>
              <c:numCache>
                <c:formatCode>General</c:formatCode>
                <c:ptCount val="70"/>
                <c:pt idx="0">
                  <c:v>4.2919815187500001</c:v>
                </c:pt>
                <c:pt idx="1">
                  <c:v>4.00793976875</c:v>
                </c:pt>
                <c:pt idx="2">
                  <c:v>5.1804760187500003</c:v>
                </c:pt>
                <c:pt idx="3">
                  <c:v>4.6917005187500003</c:v>
                </c:pt>
                <c:pt idx="4">
                  <c:v>8.5331880187499998</c:v>
                </c:pt>
                <c:pt idx="5">
                  <c:v>4.3121690187499997</c:v>
                </c:pt>
                <c:pt idx="6">
                  <c:v>8.3170460187500002</c:v>
                </c:pt>
                <c:pt idx="7">
                  <c:v>4.2429670187499999</c:v>
                </c:pt>
                <c:pt idx="8">
                  <c:v>4.7379400187499998</c:v>
                </c:pt>
                <c:pt idx="9">
                  <c:v>3.8313652687499999</c:v>
                </c:pt>
                <c:pt idx="10">
                  <c:v>5.4280640187499998</c:v>
                </c:pt>
                <c:pt idx="11">
                  <c:v>4.8226030187499997</c:v>
                </c:pt>
                <c:pt idx="12">
                  <c:v>7.74115001875</c:v>
                </c:pt>
                <c:pt idx="13">
                  <c:v>5.2487835187499998</c:v>
                </c:pt>
                <c:pt idx="14">
                  <c:v>7.0982790187499996</c:v>
                </c:pt>
                <c:pt idx="15">
                  <c:v>5.84936901875</c:v>
                </c:pt>
                <c:pt idx="16">
                  <c:v>4.5330400187500004</c:v>
                </c:pt>
                <c:pt idx="17">
                  <c:v>5.7342475187500002</c:v>
                </c:pt>
                <c:pt idx="18">
                  <c:v>5.8781730187500001</c:v>
                </c:pt>
                <c:pt idx="19">
                  <c:v>5.2625435187500003</c:v>
                </c:pt>
                <c:pt idx="20">
                  <c:v>6.6597015187500004</c:v>
                </c:pt>
                <c:pt idx="21">
                  <c:v>8.10153251875</c:v>
                </c:pt>
                <c:pt idx="22">
                  <c:v>8.9268260187500008</c:v>
                </c:pt>
                <c:pt idx="23">
                  <c:v>7.0592920187499999</c:v>
                </c:pt>
                <c:pt idx="24">
                  <c:v>4.4412020187500003</c:v>
                </c:pt>
                <c:pt idx="25">
                  <c:v>4.1802867687500003</c:v>
                </c:pt>
                <c:pt idx="26">
                  <c:v>5.6820480187499998</c:v>
                </c:pt>
                <c:pt idx="27">
                  <c:v>5.7801725187499997</c:v>
                </c:pt>
                <c:pt idx="28">
                  <c:v>8.7397320187500007</c:v>
                </c:pt>
                <c:pt idx="29">
                  <c:v>7.8388045187499999</c:v>
                </c:pt>
                <c:pt idx="30">
                  <c:v>7.2539075187500002</c:v>
                </c:pt>
                <c:pt idx="31">
                  <c:v>7.2391970187499997</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numCache>
            </c:numRef>
          </c:yVal>
          <c:smooth val="0"/>
          <c:extLst>
            <c:ext xmlns:c16="http://schemas.microsoft.com/office/drawing/2014/chart" uri="{C3380CC4-5D6E-409C-BE32-E72D297353CC}">
              <c16:uniqueId val="{00000002-0203-4471-8231-5335F23C1815}"/>
            </c:ext>
          </c:extLst>
        </c:ser>
        <c:dLbls>
          <c:showLegendKey val="0"/>
          <c:showVal val="0"/>
          <c:showCatName val="0"/>
          <c:showSerName val="0"/>
          <c:showPercent val="0"/>
          <c:showBubbleSize val="0"/>
        </c:dLbls>
        <c:axId val="654634879"/>
        <c:axId val="654634463"/>
      </c:scatterChart>
      <c:valAx>
        <c:axId val="6546348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ES"/>
          </a:p>
        </c:txPr>
        <c:crossAx val="654634463"/>
        <c:crosses val="autoZero"/>
        <c:crossBetween val="midCat"/>
      </c:valAx>
      <c:valAx>
        <c:axId val="654634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ES"/>
          </a:p>
        </c:txPr>
        <c:crossAx val="654634879"/>
        <c:crosses val="autoZero"/>
        <c:crossBetween val="midCat"/>
      </c:valAx>
      <c:spPr>
        <a:noFill/>
        <a:ln>
          <a:noFill/>
        </a:ln>
        <a:effectLst/>
      </c:spPr>
    </c:plotArea>
    <c:plotVisOnly val="0"/>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pPr>
      <a:endParaRPr lang="es-E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MODEL_MAINEFFECTS!$L$5</c:f>
          <c:strCache>
            <c:ptCount val="1"/>
          </c:strCache>
        </c:strRef>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spPr>
            <a:ln w="19050" cap="rnd">
              <a:solidFill>
                <a:schemeClr val="accent1"/>
              </a:solidFill>
              <a:round/>
            </a:ln>
            <a:effectLst/>
          </c:spPr>
          <c:marker>
            <c:symbol val="none"/>
          </c:marker>
          <c:xVal>
            <c:numRef>
              <c:f>MODEL_MAINEFFECTS!$L$6:$L$15</c:f>
              <c:numCache>
                <c:formatCode>General</c:formatCode>
                <c:ptCount val="10"/>
                <c:pt idx="0">
                  <c:v>#N/A</c:v>
                </c:pt>
                <c:pt idx="1">
                  <c:v>#N/A</c:v>
                </c:pt>
                <c:pt idx="2">
                  <c:v>#N/A</c:v>
                </c:pt>
                <c:pt idx="3">
                  <c:v>#N/A</c:v>
                </c:pt>
                <c:pt idx="4">
                  <c:v>#N/A</c:v>
                </c:pt>
                <c:pt idx="5">
                  <c:v>#N/A</c:v>
                </c:pt>
                <c:pt idx="6">
                  <c:v>#N/A</c:v>
                </c:pt>
                <c:pt idx="7">
                  <c:v>#N/A</c:v>
                </c:pt>
                <c:pt idx="8">
                  <c:v>#N/A</c:v>
                </c:pt>
              </c:numCache>
            </c:numRef>
          </c:xVal>
          <c:yVal>
            <c:numRef>
              <c:f>MODEL_MAINEFFECTS!$L$17:$L$25</c:f>
              <c:numCache>
                <c:formatCode>General</c:formatCode>
                <c:ptCount val="9"/>
                <c:pt idx="0">
                  <c:v>#N/A</c:v>
                </c:pt>
                <c:pt idx="1">
                  <c:v>#N/A</c:v>
                </c:pt>
                <c:pt idx="2">
                  <c:v>#N/A</c:v>
                </c:pt>
                <c:pt idx="3">
                  <c:v>#N/A</c:v>
                </c:pt>
                <c:pt idx="4">
                  <c:v>#N/A</c:v>
                </c:pt>
                <c:pt idx="5">
                  <c:v>#N/A</c:v>
                </c:pt>
                <c:pt idx="6">
                  <c:v>#N/A</c:v>
                </c:pt>
                <c:pt idx="7">
                  <c:v>#N/A</c:v>
                </c:pt>
                <c:pt idx="8">
                  <c:v>#N/A</c:v>
                </c:pt>
              </c:numCache>
            </c:numRef>
          </c:yVal>
          <c:smooth val="0"/>
          <c:extLst>
            <c:ext xmlns:c16="http://schemas.microsoft.com/office/drawing/2014/chart" uri="{C3380CC4-5D6E-409C-BE32-E72D297353CC}">
              <c16:uniqueId val="{00000000-0203-4471-8231-5335F23C1815}"/>
            </c:ext>
          </c:extLst>
        </c:ser>
        <c:ser>
          <c:idx val="1"/>
          <c:order val="1"/>
          <c:spPr>
            <a:ln w="19050" cap="rnd">
              <a:noFill/>
              <a:round/>
            </a:ln>
            <a:effectLst/>
          </c:spPr>
          <c:marker>
            <c:symbol val="circle"/>
            <c:size val="8"/>
            <c:spPr>
              <a:noFill/>
              <a:ln w="9525">
                <a:solidFill>
                  <a:schemeClr val="accent2"/>
                </a:solidFill>
              </a:ln>
              <a:effectLst/>
            </c:spPr>
          </c:marker>
          <c:xVal>
            <c:numRef>
              <c:f>MODEL_MAINEFFECTS!$L$28:$L$97</c:f>
              <c:numCache>
                <c:formatCode>General</c:formatCode>
                <c:ptCount val="7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numCache>
            </c:numRef>
          </c:xVal>
          <c:yVal>
            <c:numRef>
              <c:f>MODEL_MAINEFFECTS!$A$28:$A$97</c:f>
              <c:numCache>
                <c:formatCode>General</c:formatCode>
                <c:ptCount val="70"/>
                <c:pt idx="0">
                  <c:v>4.2919815187500001</c:v>
                </c:pt>
                <c:pt idx="1">
                  <c:v>4.00793976875</c:v>
                </c:pt>
                <c:pt idx="2">
                  <c:v>5.1804760187500003</c:v>
                </c:pt>
                <c:pt idx="3">
                  <c:v>4.6917005187500003</c:v>
                </c:pt>
                <c:pt idx="4">
                  <c:v>8.5331880187499998</c:v>
                </c:pt>
                <c:pt idx="5">
                  <c:v>4.3121690187499997</c:v>
                </c:pt>
                <c:pt idx="6">
                  <c:v>8.3170460187500002</c:v>
                </c:pt>
                <c:pt idx="7">
                  <c:v>4.2429670187499999</c:v>
                </c:pt>
                <c:pt idx="8">
                  <c:v>4.7379400187499998</c:v>
                </c:pt>
                <c:pt idx="9">
                  <c:v>3.8313652687499999</c:v>
                </c:pt>
                <c:pt idx="10">
                  <c:v>5.4280640187499998</c:v>
                </c:pt>
                <c:pt idx="11">
                  <c:v>4.8226030187499997</c:v>
                </c:pt>
                <c:pt idx="12">
                  <c:v>7.74115001875</c:v>
                </c:pt>
                <c:pt idx="13">
                  <c:v>5.2487835187499998</c:v>
                </c:pt>
                <c:pt idx="14">
                  <c:v>7.0982790187499996</c:v>
                </c:pt>
                <c:pt idx="15">
                  <c:v>5.84936901875</c:v>
                </c:pt>
                <c:pt idx="16">
                  <c:v>4.5330400187500004</c:v>
                </c:pt>
                <c:pt idx="17">
                  <c:v>5.7342475187500002</c:v>
                </c:pt>
                <c:pt idx="18">
                  <c:v>5.8781730187500001</c:v>
                </c:pt>
                <c:pt idx="19">
                  <c:v>5.2625435187500003</c:v>
                </c:pt>
                <c:pt idx="20">
                  <c:v>6.6597015187500004</c:v>
                </c:pt>
                <c:pt idx="21">
                  <c:v>8.10153251875</c:v>
                </c:pt>
                <c:pt idx="22">
                  <c:v>8.9268260187500008</c:v>
                </c:pt>
                <c:pt idx="23">
                  <c:v>7.0592920187499999</c:v>
                </c:pt>
                <c:pt idx="24">
                  <c:v>4.4412020187500003</c:v>
                </c:pt>
                <c:pt idx="25">
                  <c:v>4.1802867687500003</c:v>
                </c:pt>
                <c:pt idx="26">
                  <c:v>5.6820480187499998</c:v>
                </c:pt>
                <c:pt idx="27">
                  <c:v>5.7801725187499997</c:v>
                </c:pt>
                <c:pt idx="28">
                  <c:v>8.7397320187500007</c:v>
                </c:pt>
                <c:pt idx="29">
                  <c:v>7.8388045187499999</c:v>
                </c:pt>
                <c:pt idx="30">
                  <c:v>7.2539075187500002</c:v>
                </c:pt>
                <c:pt idx="31">
                  <c:v>7.2391970187499997</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numCache>
            </c:numRef>
          </c:yVal>
          <c:smooth val="0"/>
          <c:extLst>
            <c:ext xmlns:c16="http://schemas.microsoft.com/office/drawing/2014/chart" uri="{C3380CC4-5D6E-409C-BE32-E72D297353CC}">
              <c16:uniqueId val="{00000002-0203-4471-8231-5335F23C1815}"/>
            </c:ext>
          </c:extLst>
        </c:ser>
        <c:dLbls>
          <c:showLegendKey val="0"/>
          <c:showVal val="0"/>
          <c:showCatName val="0"/>
          <c:showSerName val="0"/>
          <c:showPercent val="0"/>
          <c:showBubbleSize val="0"/>
        </c:dLbls>
        <c:axId val="654634879"/>
        <c:axId val="654634463"/>
      </c:scatterChart>
      <c:valAx>
        <c:axId val="6546348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ES"/>
          </a:p>
        </c:txPr>
        <c:crossAx val="654634463"/>
        <c:crosses val="autoZero"/>
        <c:crossBetween val="midCat"/>
      </c:valAx>
      <c:valAx>
        <c:axId val="654634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ES"/>
          </a:p>
        </c:txPr>
        <c:crossAx val="654634879"/>
        <c:crosses val="autoZero"/>
        <c:crossBetween val="midCat"/>
      </c:valAx>
      <c:spPr>
        <a:noFill/>
        <a:ln>
          <a:noFill/>
        </a:ln>
        <a:effectLst/>
      </c:spPr>
    </c:plotArea>
    <c:plotVisOnly val="0"/>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pPr>
      <a:endParaRPr lang="es-E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MODEL_MAINEFFECTS!$M$5</c:f>
          <c:strCache>
            <c:ptCount val="1"/>
          </c:strCache>
        </c:strRef>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spPr>
            <a:ln w="19050" cap="rnd">
              <a:solidFill>
                <a:schemeClr val="accent1"/>
              </a:solidFill>
              <a:round/>
            </a:ln>
            <a:effectLst/>
          </c:spPr>
          <c:marker>
            <c:symbol val="none"/>
          </c:marker>
          <c:xVal>
            <c:numRef>
              <c:f>MODEL_MAINEFFECTS!$M$6:$M$15</c:f>
              <c:numCache>
                <c:formatCode>General</c:formatCode>
                <c:ptCount val="10"/>
                <c:pt idx="0">
                  <c:v>#N/A</c:v>
                </c:pt>
                <c:pt idx="1">
                  <c:v>#N/A</c:v>
                </c:pt>
                <c:pt idx="2">
                  <c:v>#N/A</c:v>
                </c:pt>
                <c:pt idx="3">
                  <c:v>#N/A</c:v>
                </c:pt>
                <c:pt idx="4">
                  <c:v>#N/A</c:v>
                </c:pt>
                <c:pt idx="5">
                  <c:v>#N/A</c:v>
                </c:pt>
                <c:pt idx="6">
                  <c:v>#N/A</c:v>
                </c:pt>
                <c:pt idx="7">
                  <c:v>#N/A</c:v>
                </c:pt>
                <c:pt idx="8">
                  <c:v>#N/A</c:v>
                </c:pt>
              </c:numCache>
            </c:numRef>
          </c:xVal>
          <c:yVal>
            <c:numRef>
              <c:f>MODEL_MAINEFFECTS!$M$17:$M$25</c:f>
              <c:numCache>
                <c:formatCode>General</c:formatCode>
                <c:ptCount val="9"/>
                <c:pt idx="0">
                  <c:v>#N/A</c:v>
                </c:pt>
                <c:pt idx="1">
                  <c:v>#N/A</c:v>
                </c:pt>
                <c:pt idx="2">
                  <c:v>#N/A</c:v>
                </c:pt>
                <c:pt idx="3">
                  <c:v>#N/A</c:v>
                </c:pt>
                <c:pt idx="4">
                  <c:v>#N/A</c:v>
                </c:pt>
                <c:pt idx="5">
                  <c:v>#N/A</c:v>
                </c:pt>
                <c:pt idx="6">
                  <c:v>#N/A</c:v>
                </c:pt>
                <c:pt idx="7">
                  <c:v>#N/A</c:v>
                </c:pt>
                <c:pt idx="8">
                  <c:v>#N/A</c:v>
                </c:pt>
              </c:numCache>
            </c:numRef>
          </c:yVal>
          <c:smooth val="0"/>
          <c:extLst>
            <c:ext xmlns:c16="http://schemas.microsoft.com/office/drawing/2014/chart" uri="{C3380CC4-5D6E-409C-BE32-E72D297353CC}">
              <c16:uniqueId val="{00000000-0203-4471-8231-5335F23C1815}"/>
            </c:ext>
          </c:extLst>
        </c:ser>
        <c:ser>
          <c:idx val="1"/>
          <c:order val="1"/>
          <c:spPr>
            <a:ln w="19050" cap="rnd">
              <a:noFill/>
              <a:round/>
            </a:ln>
            <a:effectLst/>
          </c:spPr>
          <c:marker>
            <c:symbol val="circle"/>
            <c:size val="8"/>
            <c:spPr>
              <a:noFill/>
              <a:ln w="9525">
                <a:solidFill>
                  <a:schemeClr val="accent2"/>
                </a:solidFill>
              </a:ln>
              <a:effectLst/>
            </c:spPr>
          </c:marker>
          <c:xVal>
            <c:numRef>
              <c:f>MODEL_MAINEFFECTS!$M$28:$M$97</c:f>
              <c:numCache>
                <c:formatCode>General</c:formatCode>
                <c:ptCount val="7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numCache>
            </c:numRef>
          </c:xVal>
          <c:yVal>
            <c:numRef>
              <c:f>MODEL_MAINEFFECTS!$A$28:$A$97</c:f>
              <c:numCache>
                <c:formatCode>General</c:formatCode>
                <c:ptCount val="70"/>
                <c:pt idx="0">
                  <c:v>4.2919815187500001</c:v>
                </c:pt>
                <c:pt idx="1">
                  <c:v>4.00793976875</c:v>
                </c:pt>
                <c:pt idx="2">
                  <c:v>5.1804760187500003</c:v>
                </c:pt>
                <c:pt idx="3">
                  <c:v>4.6917005187500003</c:v>
                </c:pt>
                <c:pt idx="4">
                  <c:v>8.5331880187499998</c:v>
                </c:pt>
                <c:pt idx="5">
                  <c:v>4.3121690187499997</c:v>
                </c:pt>
                <c:pt idx="6">
                  <c:v>8.3170460187500002</c:v>
                </c:pt>
                <c:pt idx="7">
                  <c:v>4.2429670187499999</c:v>
                </c:pt>
                <c:pt idx="8">
                  <c:v>4.7379400187499998</c:v>
                </c:pt>
                <c:pt idx="9">
                  <c:v>3.8313652687499999</c:v>
                </c:pt>
                <c:pt idx="10">
                  <c:v>5.4280640187499998</c:v>
                </c:pt>
                <c:pt idx="11">
                  <c:v>4.8226030187499997</c:v>
                </c:pt>
                <c:pt idx="12">
                  <c:v>7.74115001875</c:v>
                </c:pt>
                <c:pt idx="13">
                  <c:v>5.2487835187499998</c:v>
                </c:pt>
                <c:pt idx="14">
                  <c:v>7.0982790187499996</c:v>
                </c:pt>
                <c:pt idx="15">
                  <c:v>5.84936901875</c:v>
                </c:pt>
                <c:pt idx="16">
                  <c:v>4.5330400187500004</c:v>
                </c:pt>
                <c:pt idx="17">
                  <c:v>5.7342475187500002</c:v>
                </c:pt>
                <c:pt idx="18">
                  <c:v>5.8781730187500001</c:v>
                </c:pt>
                <c:pt idx="19">
                  <c:v>5.2625435187500003</c:v>
                </c:pt>
                <c:pt idx="20">
                  <c:v>6.6597015187500004</c:v>
                </c:pt>
                <c:pt idx="21">
                  <c:v>8.10153251875</c:v>
                </c:pt>
                <c:pt idx="22">
                  <c:v>8.9268260187500008</c:v>
                </c:pt>
                <c:pt idx="23">
                  <c:v>7.0592920187499999</c:v>
                </c:pt>
                <c:pt idx="24">
                  <c:v>4.4412020187500003</c:v>
                </c:pt>
                <c:pt idx="25">
                  <c:v>4.1802867687500003</c:v>
                </c:pt>
                <c:pt idx="26">
                  <c:v>5.6820480187499998</c:v>
                </c:pt>
                <c:pt idx="27">
                  <c:v>5.7801725187499997</c:v>
                </c:pt>
                <c:pt idx="28">
                  <c:v>8.7397320187500007</c:v>
                </c:pt>
                <c:pt idx="29">
                  <c:v>7.8388045187499999</c:v>
                </c:pt>
                <c:pt idx="30">
                  <c:v>7.2539075187500002</c:v>
                </c:pt>
                <c:pt idx="31">
                  <c:v>7.2391970187499997</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numCache>
            </c:numRef>
          </c:yVal>
          <c:smooth val="0"/>
          <c:extLst>
            <c:ext xmlns:c16="http://schemas.microsoft.com/office/drawing/2014/chart" uri="{C3380CC4-5D6E-409C-BE32-E72D297353CC}">
              <c16:uniqueId val="{00000002-0203-4471-8231-5335F23C1815}"/>
            </c:ext>
          </c:extLst>
        </c:ser>
        <c:dLbls>
          <c:showLegendKey val="0"/>
          <c:showVal val="0"/>
          <c:showCatName val="0"/>
          <c:showSerName val="0"/>
          <c:showPercent val="0"/>
          <c:showBubbleSize val="0"/>
        </c:dLbls>
        <c:axId val="654634879"/>
        <c:axId val="654634463"/>
      </c:scatterChart>
      <c:valAx>
        <c:axId val="6546348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ES"/>
          </a:p>
        </c:txPr>
        <c:crossAx val="654634463"/>
        <c:crosses val="autoZero"/>
        <c:crossBetween val="midCat"/>
      </c:valAx>
      <c:valAx>
        <c:axId val="654634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ES"/>
          </a:p>
        </c:txPr>
        <c:crossAx val="654634879"/>
        <c:crosses val="autoZero"/>
        <c:crossBetween val="midCat"/>
      </c:valAx>
      <c:spPr>
        <a:noFill/>
        <a:ln>
          <a:noFill/>
        </a:ln>
        <a:effectLst/>
      </c:spPr>
    </c:plotArea>
    <c:plotVisOnly val="0"/>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pPr>
      <a:endParaRPr lang="es-E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MODEL_MAINEFFECTS!$N$5</c:f>
          <c:strCache>
            <c:ptCount val="1"/>
          </c:strCache>
        </c:strRef>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spPr>
            <a:ln w="19050" cap="rnd">
              <a:solidFill>
                <a:schemeClr val="accent1"/>
              </a:solidFill>
              <a:round/>
            </a:ln>
            <a:effectLst/>
          </c:spPr>
          <c:marker>
            <c:symbol val="none"/>
          </c:marker>
          <c:xVal>
            <c:numRef>
              <c:f>MODEL_MAINEFFECTS!$N$6:$N$15</c:f>
              <c:numCache>
                <c:formatCode>General</c:formatCode>
                <c:ptCount val="10"/>
                <c:pt idx="0">
                  <c:v>#N/A</c:v>
                </c:pt>
                <c:pt idx="1">
                  <c:v>#N/A</c:v>
                </c:pt>
                <c:pt idx="2">
                  <c:v>#N/A</c:v>
                </c:pt>
                <c:pt idx="3">
                  <c:v>#N/A</c:v>
                </c:pt>
                <c:pt idx="4">
                  <c:v>#N/A</c:v>
                </c:pt>
                <c:pt idx="5">
                  <c:v>#N/A</c:v>
                </c:pt>
                <c:pt idx="6">
                  <c:v>#N/A</c:v>
                </c:pt>
                <c:pt idx="7">
                  <c:v>#N/A</c:v>
                </c:pt>
                <c:pt idx="8">
                  <c:v>#N/A</c:v>
                </c:pt>
              </c:numCache>
            </c:numRef>
          </c:xVal>
          <c:yVal>
            <c:numRef>
              <c:f>MODEL_MAINEFFECTS!$N$17:$N$25</c:f>
              <c:numCache>
                <c:formatCode>General</c:formatCode>
                <c:ptCount val="9"/>
                <c:pt idx="0">
                  <c:v>#N/A</c:v>
                </c:pt>
                <c:pt idx="1">
                  <c:v>#N/A</c:v>
                </c:pt>
                <c:pt idx="2">
                  <c:v>#N/A</c:v>
                </c:pt>
                <c:pt idx="3">
                  <c:v>#N/A</c:v>
                </c:pt>
                <c:pt idx="4">
                  <c:v>#N/A</c:v>
                </c:pt>
                <c:pt idx="5">
                  <c:v>#N/A</c:v>
                </c:pt>
                <c:pt idx="6">
                  <c:v>#N/A</c:v>
                </c:pt>
                <c:pt idx="7">
                  <c:v>#N/A</c:v>
                </c:pt>
                <c:pt idx="8">
                  <c:v>#N/A</c:v>
                </c:pt>
              </c:numCache>
            </c:numRef>
          </c:yVal>
          <c:smooth val="0"/>
          <c:extLst>
            <c:ext xmlns:c16="http://schemas.microsoft.com/office/drawing/2014/chart" uri="{C3380CC4-5D6E-409C-BE32-E72D297353CC}">
              <c16:uniqueId val="{00000000-0203-4471-8231-5335F23C1815}"/>
            </c:ext>
          </c:extLst>
        </c:ser>
        <c:ser>
          <c:idx val="1"/>
          <c:order val="1"/>
          <c:spPr>
            <a:ln w="19050" cap="rnd">
              <a:noFill/>
              <a:round/>
            </a:ln>
            <a:effectLst/>
          </c:spPr>
          <c:marker>
            <c:symbol val="circle"/>
            <c:size val="8"/>
            <c:spPr>
              <a:noFill/>
              <a:ln w="9525">
                <a:solidFill>
                  <a:schemeClr val="accent2"/>
                </a:solidFill>
              </a:ln>
              <a:effectLst/>
            </c:spPr>
          </c:marker>
          <c:xVal>
            <c:numRef>
              <c:f>MODEL_MAINEFFECTS!$N$28:$N$97</c:f>
              <c:numCache>
                <c:formatCode>General</c:formatCode>
                <c:ptCount val="7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numCache>
            </c:numRef>
          </c:xVal>
          <c:yVal>
            <c:numRef>
              <c:f>MODEL_MAINEFFECTS!$A$28:$A$97</c:f>
              <c:numCache>
                <c:formatCode>General</c:formatCode>
                <c:ptCount val="70"/>
                <c:pt idx="0">
                  <c:v>4.2919815187500001</c:v>
                </c:pt>
                <c:pt idx="1">
                  <c:v>4.00793976875</c:v>
                </c:pt>
                <c:pt idx="2">
                  <c:v>5.1804760187500003</c:v>
                </c:pt>
                <c:pt idx="3">
                  <c:v>4.6917005187500003</c:v>
                </c:pt>
                <c:pt idx="4">
                  <c:v>8.5331880187499998</c:v>
                </c:pt>
                <c:pt idx="5">
                  <c:v>4.3121690187499997</c:v>
                </c:pt>
                <c:pt idx="6">
                  <c:v>8.3170460187500002</c:v>
                </c:pt>
                <c:pt idx="7">
                  <c:v>4.2429670187499999</c:v>
                </c:pt>
                <c:pt idx="8">
                  <c:v>4.7379400187499998</c:v>
                </c:pt>
                <c:pt idx="9">
                  <c:v>3.8313652687499999</c:v>
                </c:pt>
                <c:pt idx="10">
                  <c:v>5.4280640187499998</c:v>
                </c:pt>
                <c:pt idx="11">
                  <c:v>4.8226030187499997</c:v>
                </c:pt>
                <c:pt idx="12">
                  <c:v>7.74115001875</c:v>
                </c:pt>
                <c:pt idx="13">
                  <c:v>5.2487835187499998</c:v>
                </c:pt>
                <c:pt idx="14">
                  <c:v>7.0982790187499996</c:v>
                </c:pt>
                <c:pt idx="15">
                  <c:v>5.84936901875</c:v>
                </c:pt>
                <c:pt idx="16">
                  <c:v>4.5330400187500004</c:v>
                </c:pt>
                <c:pt idx="17">
                  <c:v>5.7342475187500002</c:v>
                </c:pt>
                <c:pt idx="18">
                  <c:v>5.8781730187500001</c:v>
                </c:pt>
                <c:pt idx="19">
                  <c:v>5.2625435187500003</c:v>
                </c:pt>
                <c:pt idx="20">
                  <c:v>6.6597015187500004</c:v>
                </c:pt>
                <c:pt idx="21">
                  <c:v>8.10153251875</c:v>
                </c:pt>
                <c:pt idx="22">
                  <c:v>8.9268260187500008</c:v>
                </c:pt>
                <c:pt idx="23">
                  <c:v>7.0592920187499999</c:v>
                </c:pt>
                <c:pt idx="24">
                  <c:v>4.4412020187500003</c:v>
                </c:pt>
                <c:pt idx="25">
                  <c:v>4.1802867687500003</c:v>
                </c:pt>
                <c:pt idx="26">
                  <c:v>5.6820480187499998</c:v>
                </c:pt>
                <c:pt idx="27">
                  <c:v>5.7801725187499997</c:v>
                </c:pt>
                <c:pt idx="28">
                  <c:v>8.7397320187500007</c:v>
                </c:pt>
                <c:pt idx="29">
                  <c:v>7.8388045187499999</c:v>
                </c:pt>
                <c:pt idx="30">
                  <c:v>7.2539075187500002</c:v>
                </c:pt>
                <c:pt idx="31">
                  <c:v>7.2391970187499997</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numCache>
            </c:numRef>
          </c:yVal>
          <c:smooth val="0"/>
          <c:extLst>
            <c:ext xmlns:c16="http://schemas.microsoft.com/office/drawing/2014/chart" uri="{C3380CC4-5D6E-409C-BE32-E72D297353CC}">
              <c16:uniqueId val="{00000002-0203-4471-8231-5335F23C1815}"/>
            </c:ext>
          </c:extLst>
        </c:ser>
        <c:dLbls>
          <c:showLegendKey val="0"/>
          <c:showVal val="0"/>
          <c:showCatName val="0"/>
          <c:showSerName val="0"/>
          <c:showPercent val="0"/>
          <c:showBubbleSize val="0"/>
        </c:dLbls>
        <c:axId val="654634879"/>
        <c:axId val="654634463"/>
      </c:scatterChart>
      <c:valAx>
        <c:axId val="6546348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ES"/>
          </a:p>
        </c:txPr>
        <c:crossAx val="654634463"/>
        <c:crosses val="autoZero"/>
        <c:crossBetween val="midCat"/>
      </c:valAx>
      <c:valAx>
        <c:axId val="654634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ES"/>
          </a:p>
        </c:txPr>
        <c:crossAx val="654634879"/>
        <c:crosses val="autoZero"/>
        <c:crossBetween val="midCat"/>
      </c:valAx>
      <c:spPr>
        <a:noFill/>
        <a:ln>
          <a:noFill/>
        </a:ln>
        <a:effectLst/>
      </c:spPr>
    </c:plotArea>
    <c:plotVisOnly val="0"/>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pPr>
      <a:endParaRPr lang="es-E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MODEL_MAINEFFECTS!$O$5</c:f>
          <c:strCache>
            <c:ptCount val="1"/>
          </c:strCache>
        </c:strRef>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spPr>
            <a:ln w="19050" cap="rnd">
              <a:solidFill>
                <a:schemeClr val="accent1"/>
              </a:solidFill>
              <a:round/>
            </a:ln>
            <a:effectLst/>
          </c:spPr>
          <c:marker>
            <c:symbol val="none"/>
          </c:marker>
          <c:xVal>
            <c:numRef>
              <c:f>MODEL_MAINEFFECTS!$O$6:$O$15</c:f>
              <c:numCache>
                <c:formatCode>General</c:formatCode>
                <c:ptCount val="10"/>
                <c:pt idx="0">
                  <c:v>#N/A</c:v>
                </c:pt>
                <c:pt idx="1">
                  <c:v>#N/A</c:v>
                </c:pt>
                <c:pt idx="2">
                  <c:v>#N/A</c:v>
                </c:pt>
                <c:pt idx="3">
                  <c:v>#N/A</c:v>
                </c:pt>
                <c:pt idx="4">
                  <c:v>#N/A</c:v>
                </c:pt>
                <c:pt idx="5">
                  <c:v>#N/A</c:v>
                </c:pt>
                <c:pt idx="6">
                  <c:v>#N/A</c:v>
                </c:pt>
                <c:pt idx="7">
                  <c:v>#N/A</c:v>
                </c:pt>
                <c:pt idx="8">
                  <c:v>#N/A</c:v>
                </c:pt>
              </c:numCache>
            </c:numRef>
          </c:xVal>
          <c:yVal>
            <c:numRef>
              <c:f>MODEL_MAINEFFECTS!$O$17:$O$25</c:f>
              <c:numCache>
                <c:formatCode>General</c:formatCode>
                <c:ptCount val="9"/>
                <c:pt idx="0">
                  <c:v>#N/A</c:v>
                </c:pt>
                <c:pt idx="1">
                  <c:v>#N/A</c:v>
                </c:pt>
                <c:pt idx="2">
                  <c:v>#N/A</c:v>
                </c:pt>
                <c:pt idx="3">
                  <c:v>#N/A</c:v>
                </c:pt>
                <c:pt idx="4">
                  <c:v>#N/A</c:v>
                </c:pt>
                <c:pt idx="5">
                  <c:v>#N/A</c:v>
                </c:pt>
                <c:pt idx="6">
                  <c:v>#N/A</c:v>
                </c:pt>
                <c:pt idx="7">
                  <c:v>#N/A</c:v>
                </c:pt>
                <c:pt idx="8">
                  <c:v>#N/A</c:v>
                </c:pt>
              </c:numCache>
            </c:numRef>
          </c:yVal>
          <c:smooth val="0"/>
          <c:extLst>
            <c:ext xmlns:c16="http://schemas.microsoft.com/office/drawing/2014/chart" uri="{C3380CC4-5D6E-409C-BE32-E72D297353CC}">
              <c16:uniqueId val="{00000000-0203-4471-8231-5335F23C1815}"/>
            </c:ext>
          </c:extLst>
        </c:ser>
        <c:ser>
          <c:idx val="1"/>
          <c:order val="1"/>
          <c:spPr>
            <a:ln w="19050" cap="rnd">
              <a:noFill/>
              <a:round/>
            </a:ln>
            <a:effectLst/>
          </c:spPr>
          <c:marker>
            <c:symbol val="circle"/>
            <c:size val="8"/>
            <c:spPr>
              <a:noFill/>
              <a:ln w="9525">
                <a:solidFill>
                  <a:schemeClr val="accent2"/>
                </a:solidFill>
              </a:ln>
              <a:effectLst/>
            </c:spPr>
          </c:marker>
          <c:xVal>
            <c:numRef>
              <c:f>MODEL_MAINEFFECTS!$O$28:$O$97</c:f>
              <c:numCache>
                <c:formatCode>General</c:formatCode>
                <c:ptCount val="7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numCache>
            </c:numRef>
          </c:xVal>
          <c:yVal>
            <c:numRef>
              <c:f>MODEL_MAINEFFECTS!$A$28:$A$97</c:f>
              <c:numCache>
                <c:formatCode>General</c:formatCode>
                <c:ptCount val="70"/>
                <c:pt idx="0">
                  <c:v>4.2919815187500001</c:v>
                </c:pt>
                <c:pt idx="1">
                  <c:v>4.00793976875</c:v>
                </c:pt>
                <c:pt idx="2">
                  <c:v>5.1804760187500003</c:v>
                </c:pt>
                <c:pt idx="3">
                  <c:v>4.6917005187500003</c:v>
                </c:pt>
                <c:pt idx="4">
                  <c:v>8.5331880187499998</c:v>
                </c:pt>
                <c:pt idx="5">
                  <c:v>4.3121690187499997</c:v>
                </c:pt>
                <c:pt idx="6">
                  <c:v>8.3170460187500002</c:v>
                </c:pt>
                <c:pt idx="7">
                  <c:v>4.2429670187499999</c:v>
                </c:pt>
                <c:pt idx="8">
                  <c:v>4.7379400187499998</c:v>
                </c:pt>
                <c:pt idx="9">
                  <c:v>3.8313652687499999</c:v>
                </c:pt>
                <c:pt idx="10">
                  <c:v>5.4280640187499998</c:v>
                </c:pt>
                <c:pt idx="11">
                  <c:v>4.8226030187499997</c:v>
                </c:pt>
                <c:pt idx="12">
                  <c:v>7.74115001875</c:v>
                </c:pt>
                <c:pt idx="13">
                  <c:v>5.2487835187499998</c:v>
                </c:pt>
                <c:pt idx="14">
                  <c:v>7.0982790187499996</c:v>
                </c:pt>
                <c:pt idx="15">
                  <c:v>5.84936901875</c:v>
                </c:pt>
                <c:pt idx="16">
                  <c:v>4.5330400187500004</c:v>
                </c:pt>
                <c:pt idx="17">
                  <c:v>5.7342475187500002</c:v>
                </c:pt>
                <c:pt idx="18">
                  <c:v>5.8781730187500001</c:v>
                </c:pt>
                <c:pt idx="19">
                  <c:v>5.2625435187500003</c:v>
                </c:pt>
                <c:pt idx="20">
                  <c:v>6.6597015187500004</c:v>
                </c:pt>
                <c:pt idx="21">
                  <c:v>8.10153251875</c:v>
                </c:pt>
                <c:pt idx="22">
                  <c:v>8.9268260187500008</c:v>
                </c:pt>
                <c:pt idx="23">
                  <c:v>7.0592920187499999</c:v>
                </c:pt>
                <c:pt idx="24">
                  <c:v>4.4412020187500003</c:v>
                </c:pt>
                <c:pt idx="25">
                  <c:v>4.1802867687500003</c:v>
                </c:pt>
                <c:pt idx="26">
                  <c:v>5.6820480187499998</c:v>
                </c:pt>
                <c:pt idx="27">
                  <c:v>5.7801725187499997</c:v>
                </c:pt>
                <c:pt idx="28">
                  <c:v>8.7397320187500007</c:v>
                </c:pt>
                <c:pt idx="29">
                  <c:v>7.8388045187499999</c:v>
                </c:pt>
                <c:pt idx="30">
                  <c:v>7.2539075187500002</c:v>
                </c:pt>
                <c:pt idx="31">
                  <c:v>7.2391970187499997</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numCache>
            </c:numRef>
          </c:yVal>
          <c:smooth val="0"/>
          <c:extLst>
            <c:ext xmlns:c16="http://schemas.microsoft.com/office/drawing/2014/chart" uri="{C3380CC4-5D6E-409C-BE32-E72D297353CC}">
              <c16:uniqueId val="{00000002-0203-4471-8231-5335F23C1815}"/>
            </c:ext>
          </c:extLst>
        </c:ser>
        <c:dLbls>
          <c:showLegendKey val="0"/>
          <c:showVal val="0"/>
          <c:showCatName val="0"/>
          <c:showSerName val="0"/>
          <c:showPercent val="0"/>
          <c:showBubbleSize val="0"/>
        </c:dLbls>
        <c:axId val="654634879"/>
        <c:axId val="654634463"/>
      </c:scatterChart>
      <c:valAx>
        <c:axId val="6546348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ES"/>
          </a:p>
        </c:txPr>
        <c:crossAx val="654634463"/>
        <c:crosses val="autoZero"/>
        <c:crossBetween val="midCat"/>
      </c:valAx>
      <c:valAx>
        <c:axId val="654634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ES"/>
          </a:p>
        </c:txPr>
        <c:crossAx val="654634879"/>
        <c:crosses val="autoZero"/>
        <c:crossBetween val="midCat"/>
      </c:valAx>
      <c:spPr>
        <a:noFill/>
        <a:ln>
          <a:noFill/>
        </a:ln>
        <a:effectLst/>
      </c:spPr>
    </c:plotArea>
    <c:plotVisOnly val="0"/>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pPr>
      <a:endParaRPr lang="es-E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MODEL_MAINEFFECTS!$P$5</c:f>
          <c:strCache>
            <c:ptCount val="1"/>
          </c:strCache>
        </c:strRef>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spPr>
            <a:ln w="19050" cap="rnd">
              <a:solidFill>
                <a:schemeClr val="accent1"/>
              </a:solidFill>
              <a:round/>
            </a:ln>
            <a:effectLst/>
          </c:spPr>
          <c:marker>
            <c:symbol val="none"/>
          </c:marker>
          <c:xVal>
            <c:numRef>
              <c:f>MODEL_MAINEFFECTS!$P$6:$P$15</c:f>
              <c:numCache>
                <c:formatCode>General</c:formatCode>
                <c:ptCount val="10"/>
                <c:pt idx="0">
                  <c:v>#N/A</c:v>
                </c:pt>
                <c:pt idx="1">
                  <c:v>#N/A</c:v>
                </c:pt>
                <c:pt idx="2">
                  <c:v>#N/A</c:v>
                </c:pt>
                <c:pt idx="3">
                  <c:v>#N/A</c:v>
                </c:pt>
                <c:pt idx="4">
                  <c:v>#N/A</c:v>
                </c:pt>
                <c:pt idx="5">
                  <c:v>#N/A</c:v>
                </c:pt>
                <c:pt idx="6">
                  <c:v>#N/A</c:v>
                </c:pt>
                <c:pt idx="7">
                  <c:v>#N/A</c:v>
                </c:pt>
                <c:pt idx="8">
                  <c:v>#N/A</c:v>
                </c:pt>
              </c:numCache>
            </c:numRef>
          </c:xVal>
          <c:yVal>
            <c:numRef>
              <c:f>MODEL_MAINEFFECTS!$P$17:$P$25</c:f>
              <c:numCache>
                <c:formatCode>General</c:formatCode>
                <c:ptCount val="9"/>
                <c:pt idx="0">
                  <c:v>#N/A</c:v>
                </c:pt>
                <c:pt idx="1">
                  <c:v>#N/A</c:v>
                </c:pt>
                <c:pt idx="2">
                  <c:v>#N/A</c:v>
                </c:pt>
                <c:pt idx="3">
                  <c:v>#N/A</c:v>
                </c:pt>
                <c:pt idx="4">
                  <c:v>#N/A</c:v>
                </c:pt>
                <c:pt idx="5">
                  <c:v>#N/A</c:v>
                </c:pt>
                <c:pt idx="6">
                  <c:v>#N/A</c:v>
                </c:pt>
                <c:pt idx="7">
                  <c:v>#N/A</c:v>
                </c:pt>
                <c:pt idx="8">
                  <c:v>#N/A</c:v>
                </c:pt>
              </c:numCache>
            </c:numRef>
          </c:yVal>
          <c:smooth val="0"/>
          <c:extLst>
            <c:ext xmlns:c16="http://schemas.microsoft.com/office/drawing/2014/chart" uri="{C3380CC4-5D6E-409C-BE32-E72D297353CC}">
              <c16:uniqueId val="{00000000-0203-4471-8231-5335F23C1815}"/>
            </c:ext>
          </c:extLst>
        </c:ser>
        <c:ser>
          <c:idx val="1"/>
          <c:order val="1"/>
          <c:spPr>
            <a:ln w="19050" cap="rnd">
              <a:noFill/>
              <a:round/>
            </a:ln>
            <a:effectLst/>
          </c:spPr>
          <c:marker>
            <c:symbol val="circle"/>
            <c:size val="8"/>
            <c:spPr>
              <a:noFill/>
              <a:ln w="9525">
                <a:solidFill>
                  <a:schemeClr val="accent2"/>
                </a:solidFill>
              </a:ln>
              <a:effectLst/>
            </c:spPr>
          </c:marker>
          <c:xVal>
            <c:numRef>
              <c:f>MODEL_MAINEFFECTS!$P$28:$P$97</c:f>
              <c:numCache>
                <c:formatCode>General</c:formatCode>
                <c:ptCount val="7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numCache>
            </c:numRef>
          </c:xVal>
          <c:yVal>
            <c:numRef>
              <c:f>MODEL_MAINEFFECTS!$A$28:$A$97</c:f>
              <c:numCache>
                <c:formatCode>General</c:formatCode>
                <c:ptCount val="70"/>
                <c:pt idx="0">
                  <c:v>4.2919815187500001</c:v>
                </c:pt>
                <c:pt idx="1">
                  <c:v>4.00793976875</c:v>
                </c:pt>
                <c:pt idx="2">
                  <c:v>5.1804760187500003</c:v>
                </c:pt>
                <c:pt idx="3">
                  <c:v>4.6917005187500003</c:v>
                </c:pt>
                <c:pt idx="4">
                  <c:v>8.5331880187499998</c:v>
                </c:pt>
                <c:pt idx="5">
                  <c:v>4.3121690187499997</c:v>
                </c:pt>
                <c:pt idx="6">
                  <c:v>8.3170460187500002</c:v>
                </c:pt>
                <c:pt idx="7">
                  <c:v>4.2429670187499999</c:v>
                </c:pt>
                <c:pt idx="8">
                  <c:v>4.7379400187499998</c:v>
                </c:pt>
                <c:pt idx="9">
                  <c:v>3.8313652687499999</c:v>
                </c:pt>
                <c:pt idx="10">
                  <c:v>5.4280640187499998</c:v>
                </c:pt>
                <c:pt idx="11">
                  <c:v>4.8226030187499997</c:v>
                </c:pt>
                <c:pt idx="12">
                  <c:v>7.74115001875</c:v>
                </c:pt>
                <c:pt idx="13">
                  <c:v>5.2487835187499998</c:v>
                </c:pt>
                <c:pt idx="14">
                  <c:v>7.0982790187499996</c:v>
                </c:pt>
                <c:pt idx="15">
                  <c:v>5.84936901875</c:v>
                </c:pt>
                <c:pt idx="16">
                  <c:v>4.5330400187500004</c:v>
                </c:pt>
                <c:pt idx="17">
                  <c:v>5.7342475187500002</c:v>
                </c:pt>
                <c:pt idx="18">
                  <c:v>5.8781730187500001</c:v>
                </c:pt>
                <c:pt idx="19">
                  <c:v>5.2625435187500003</c:v>
                </c:pt>
                <c:pt idx="20">
                  <c:v>6.6597015187500004</c:v>
                </c:pt>
                <c:pt idx="21">
                  <c:v>8.10153251875</c:v>
                </c:pt>
                <c:pt idx="22">
                  <c:v>8.9268260187500008</c:v>
                </c:pt>
                <c:pt idx="23">
                  <c:v>7.0592920187499999</c:v>
                </c:pt>
                <c:pt idx="24">
                  <c:v>4.4412020187500003</c:v>
                </c:pt>
                <c:pt idx="25">
                  <c:v>4.1802867687500003</c:v>
                </c:pt>
                <c:pt idx="26">
                  <c:v>5.6820480187499998</c:v>
                </c:pt>
                <c:pt idx="27">
                  <c:v>5.7801725187499997</c:v>
                </c:pt>
                <c:pt idx="28">
                  <c:v>8.7397320187500007</c:v>
                </c:pt>
                <c:pt idx="29">
                  <c:v>7.8388045187499999</c:v>
                </c:pt>
                <c:pt idx="30">
                  <c:v>7.2539075187500002</c:v>
                </c:pt>
                <c:pt idx="31">
                  <c:v>7.2391970187499997</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numCache>
            </c:numRef>
          </c:yVal>
          <c:smooth val="0"/>
          <c:extLst>
            <c:ext xmlns:c16="http://schemas.microsoft.com/office/drawing/2014/chart" uri="{C3380CC4-5D6E-409C-BE32-E72D297353CC}">
              <c16:uniqueId val="{00000002-0203-4471-8231-5335F23C1815}"/>
            </c:ext>
          </c:extLst>
        </c:ser>
        <c:dLbls>
          <c:showLegendKey val="0"/>
          <c:showVal val="0"/>
          <c:showCatName val="0"/>
          <c:showSerName val="0"/>
          <c:showPercent val="0"/>
          <c:showBubbleSize val="0"/>
        </c:dLbls>
        <c:axId val="654634879"/>
        <c:axId val="654634463"/>
      </c:scatterChart>
      <c:valAx>
        <c:axId val="6546348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ES"/>
          </a:p>
        </c:txPr>
        <c:crossAx val="654634463"/>
        <c:crosses val="autoZero"/>
        <c:crossBetween val="midCat"/>
      </c:valAx>
      <c:valAx>
        <c:axId val="654634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ES"/>
          </a:p>
        </c:txPr>
        <c:crossAx val="654634879"/>
        <c:crosses val="autoZero"/>
        <c:crossBetween val="midCat"/>
      </c:valAx>
      <c:spPr>
        <a:noFill/>
        <a:ln>
          <a:noFill/>
        </a:ln>
        <a:effectLst/>
      </c:spPr>
    </c:plotArea>
    <c:plotVisOnly val="0"/>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pPr>
      <a:endParaRPr lang="es-E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MODEL_INTERACTIONS!$O$7</c:f>
          <c:strCache>
            <c:ptCount val="1"/>
            <c:pt idx="0">
              <c:v>AC</c:v>
            </c:pt>
          </c:strCache>
        </c:strRef>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6.6123963516196371E-2"/>
          <c:y val="0.16251981430033746"/>
          <c:w val="0.86301910272783533"/>
          <c:h val="0.6673615424811441"/>
        </c:manualLayout>
      </c:layout>
      <c:scatterChart>
        <c:scatterStyle val="lineMarker"/>
        <c:varyColors val="0"/>
        <c:ser>
          <c:idx val="1"/>
          <c:order val="0"/>
          <c:tx>
            <c:strRef>
              <c:f>MODEL_INTERACTIONS!$P$18</c:f>
              <c:strCache>
                <c:ptCount val="1"/>
                <c:pt idx="0">
                  <c:v>C = -1</c:v>
                </c:pt>
              </c:strCache>
            </c:strRef>
          </c:tx>
          <c:spPr>
            <a:ln w="25400" cap="rnd">
              <a:solidFill>
                <a:schemeClr val="accent2"/>
              </a:solidFill>
              <a:round/>
            </a:ln>
            <a:effectLst/>
          </c:spPr>
          <c:marker>
            <c:symbol val="plus"/>
            <c:size val="8"/>
            <c:spPr>
              <a:noFill/>
              <a:ln w="12700">
                <a:solidFill>
                  <a:schemeClr val="accent2"/>
                </a:solidFill>
              </a:ln>
              <a:effectLst/>
            </c:spPr>
          </c:marker>
          <c:dLbls>
            <c:dLbl>
              <c:idx val="0"/>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1-E511-42CC-93E1-BBFC9173B83C}"/>
                </c:ext>
              </c:extLst>
            </c:dLbl>
            <c:spPr>
              <a:noFill/>
              <a:ln>
                <a:noFill/>
              </a:ln>
              <a:effectLst/>
            </c:spPr>
            <c:txPr>
              <a:bodyPr rot="0" spcFirstLastPara="1" vertOverflow="ellipsis" vert="horz" wrap="square" anchor="ctr" anchorCtr="1"/>
              <a:lstStyle/>
              <a:p>
                <a:pPr>
                  <a:defRPr sz="1200" b="0" i="0" u="none" strike="noStrike" kern="1200" baseline="0">
                    <a:ln>
                      <a:noFill/>
                    </a:ln>
                    <a:solidFill>
                      <a:schemeClr val="accent2"/>
                    </a:solidFill>
                    <a:latin typeface="+mn-lt"/>
                    <a:ea typeface="+mn-ea"/>
                    <a:cs typeface="+mn-cs"/>
                  </a:defRPr>
                </a:pPr>
                <a:endParaRPr lang="es-E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MODEL_INTERACTIONS!$O$9:$O$17</c:f>
              <c:numCache>
                <c:formatCode>General</c:formatCode>
                <c:ptCount val="9"/>
                <c:pt idx="0">
                  <c:v>-1</c:v>
                </c:pt>
                <c:pt idx="1">
                  <c:v>1</c:v>
                </c:pt>
                <c:pt idx="2">
                  <c:v>#N/A</c:v>
                </c:pt>
                <c:pt idx="3">
                  <c:v>#N/A</c:v>
                </c:pt>
                <c:pt idx="4">
                  <c:v>#N/A</c:v>
                </c:pt>
                <c:pt idx="5">
                  <c:v>#N/A</c:v>
                </c:pt>
                <c:pt idx="6">
                  <c:v>#N/A</c:v>
                </c:pt>
                <c:pt idx="7">
                  <c:v>#N/A</c:v>
                </c:pt>
                <c:pt idx="8">
                  <c:v>#N/A</c:v>
                </c:pt>
              </c:numCache>
            </c:numRef>
          </c:xVal>
          <c:yVal>
            <c:numRef>
              <c:f>MODEL_INTERACTIONS!$P$9:$P$17</c:f>
              <c:numCache>
                <c:formatCode>General</c:formatCode>
                <c:ptCount val="9"/>
                <c:pt idx="0">
                  <c:v>5.0216155812500007</c:v>
                </c:pt>
                <c:pt idx="1">
                  <c:v>4.7888573624999999</c:v>
                </c:pt>
                <c:pt idx="2">
                  <c:v>#N/A</c:v>
                </c:pt>
                <c:pt idx="3">
                  <c:v>#N/A</c:v>
                </c:pt>
                <c:pt idx="4">
                  <c:v>#N/A</c:v>
                </c:pt>
                <c:pt idx="5">
                  <c:v>#N/A</c:v>
                </c:pt>
                <c:pt idx="6">
                  <c:v>#N/A</c:v>
                </c:pt>
                <c:pt idx="7">
                  <c:v>#N/A</c:v>
                </c:pt>
                <c:pt idx="8">
                  <c:v>#N/A</c:v>
                </c:pt>
              </c:numCache>
            </c:numRef>
          </c:yVal>
          <c:smooth val="0"/>
          <c:extLst>
            <c:ext xmlns:c16="http://schemas.microsoft.com/office/drawing/2014/chart" uri="{C3380CC4-5D6E-409C-BE32-E72D297353CC}">
              <c16:uniqueId val="{00000001-73FF-4927-91CC-4A0A1C37764C}"/>
            </c:ext>
          </c:extLst>
        </c:ser>
        <c:ser>
          <c:idx val="2"/>
          <c:order val="1"/>
          <c:tx>
            <c:strRef>
              <c:f>MODEL_INTERACTIONS!$Q$18</c:f>
              <c:strCache>
                <c:ptCount val="1"/>
                <c:pt idx="0">
                  <c:v>C = 1</c:v>
                </c:pt>
              </c:strCache>
            </c:strRef>
          </c:tx>
          <c:spPr>
            <a:ln w="25400" cap="rnd">
              <a:solidFill>
                <a:srgbClr val="4472C4"/>
              </a:solidFill>
              <a:round/>
            </a:ln>
            <a:effectLst/>
          </c:spPr>
          <c:marker>
            <c:symbol val="plus"/>
            <c:size val="8"/>
            <c:spPr>
              <a:noFill/>
              <a:ln w="12700">
                <a:solidFill>
                  <a:srgbClr val="4472C4"/>
                </a:solidFill>
              </a:ln>
              <a:effectLst/>
            </c:spPr>
          </c:marker>
          <c:dLbls>
            <c:dLbl>
              <c:idx val="0"/>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E511-42CC-93E1-BBFC9173B83C}"/>
                </c:ext>
              </c:extLst>
            </c:dLbl>
            <c:spPr>
              <a:noFill/>
              <a:ln>
                <a:noFill/>
              </a:ln>
              <a:effectLst/>
            </c:spPr>
            <c:txPr>
              <a:bodyPr rot="0" spcFirstLastPara="1" vertOverflow="ellipsis" vert="horz" wrap="square" anchor="ctr" anchorCtr="1"/>
              <a:lstStyle/>
              <a:p>
                <a:pPr>
                  <a:defRPr sz="1200" b="0" i="0" u="none" strike="noStrike" kern="1200" baseline="0">
                    <a:solidFill>
                      <a:schemeClr val="accent1"/>
                    </a:solidFill>
                    <a:latin typeface="+mn-lt"/>
                    <a:ea typeface="+mn-ea"/>
                    <a:cs typeface="+mn-cs"/>
                  </a:defRPr>
                </a:pPr>
                <a:endParaRPr lang="es-E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MODEL_INTERACTIONS!$O$9:$O$17</c:f>
              <c:numCache>
                <c:formatCode>General</c:formatCode>
                <c:ptCount val="9"/>
                <c:pt idx="0">
                  <c:v>-1</c:v>
                </c:pt>
                <c:pt idx="1">
                  <c:v>1</c:v>
                </c:pt>
                <c:pt idx="2">
                  <c:v>#N/A</c:v>
                </c:pt>
                <c:pt idx="3">
                  <c:v>#N/A</c:v>
                </c:pt>
                <c:pt idx="4">
                  <c:v>#N/A</c:v>
                </c:pt>
                <c:pt idx="5">
                  <c:v>#N/A</c:v>
                </c:pt>
                <c:pt idx="6">
                  <c:v>#N/A</c:v>
                </c:pt>
                <c:pt idx="7">
                  <c:v>#N/A</c:v>
                </c:pt>
                <c:pt idx="8">
                  <c:v>#N/A</c:v>
                </c:pt>
              </c:numCache>
            </c:numRef>
          </c:xVal>
          <c:yVal>
            <c:numRef>
              <c:f>MODEL_INTERACTIONS!$Q$9:$Q$17</c:f>
              <c:numCache>
                <c:formatCode>General</c:formatCode>
                <c:ptCount val="9"/>
                <c:pt idx="0">
                  <c:v>7.9087287687499987</c:v>
                </c:pt>
                <c:pt idx="1">
                  <c:v>6.2365143312499995</c:v>
                </c:pt>
                <c:pt idx="2">
                  <c:v>#N/A</c:v>
                </c:pt>
                <c:pt idx="3">
                  <c:v>#N/A</c:v>
                </c:pt>
                <c:pt idx="4">
                  <c:v>#N/A</c:v>
                </c:pt>
                <c:pt idx="5">
                  <c:v>#N/A</c:v>
                </c:pt>
                <c:pt idx="6">
                  <c:v>#N/A</c:v>
                </c:pt>
                <c:pt idx="7">
                  <c:v>#N/A</c:v>
                </c:pt>
                <c:pt idx="8">
                  <c:v>#N/A</c:v>
                </c:pt>
              </c:numCache>
            </c:numRef>
          </c:yVal>
          <c:smooth val="0"/>
          <c:extLst>
            <c:ext xmlns:c16="http://schemas.microsoft.com/office/drawing/2014/chart" uri="{C3380CC4-5D6E-409C-BE32-E72D297353CC}">
              <c16:uniqueId val="{00000002-73FF-4927-91CC-4A0A1C37764C}"/>
            </c:ext>
          </c:extLst>
        </c:ser>
        <c:ser>
          <c:idx val="3"/>
          <c:order val="2"/>
          <c:tx>
            <c:strRef>
              <c:f>MODEL_INTERACTIONS!$R$18</c:f>
              <c:strCache>
                <c:ptCount val="1"/>
                <c:pt idx="0">
                  <c:v>#N/D</c:v>
                </c:pt>
              </c:strCache>
            </c:strRef>
          </c:tx>
          <c:spPr>
            <a:ln w="25400" cap="rnd">
              <a:solidFill>
                <a:schemeClr val="accent4"/>
              </a:solidFill>
              <a:round/>
            </a:ln>
            <a:effectLst/>
          </c:spPr>
          <c:marker>
            <c:symbol val="plus"/>
            <c:size val="8"/>
            <c:spPr>
              <a:noFill/>
              <a:ln w="9525">
                <a:solidFill>
                  <a:schemeClr val="accent4"/>
                </a:solidFill>
              </a:ln>
              <a:effectLst/>
            </c:spPr>
          </c:marker>
          <c:dLbls>
            <c:dLbl>
              <c:idx val="0"/>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511A-4BB1-BEF3-CA6DCFF0497C}"/>
                </c:ext>
              </c:extLst>
            </c:dLbl>
            <c:spPr>
              <a:noFill/>
              <a:ln>
                <a:noFill/>
              </a:ln>
              <a:effectLst/>
            </c:spPr>
            <c:txPr>
              <a:bodyPr rot="0" spcFirstLastPara="1" vertOverflow="ellipsis" vert="horz" wrap="square" anchor="ctr" anchorCtr="1"/>
              <a:lstStyle/>
              <a:p>
                <a:pPr>
                  <a:defRPr sz="1200" b="0" i="0" u="none" strike="noStrike" kern="1200" baseline="0">
                    <a:solidFill>
                      <a:schemeClr val="accent4"/>
                    </a:solidFill>
                    <a:latin typeface="+mn-lt"/>
                    <a:ea typeface="+mn-ea"/>
                    <a:cs typeface="+mn-cs"/>
                  </a:defRPr>
                </a:pPr>
                <a:endParaRPr lang="es-E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MODEL_INTERACTIONS!$O$9:$O$17</c:f>
              <c:numCache>
                <c:formatCode>General</c:formatCode>
                <c:ptCount val="9"/>
                <c:pt idx="0">
                  <c:v>-1</c:v>
                </c:pt>
                <c:pt idx="1">
                  <c:v>1</c:v>
                </c:pt>
                <c:pt idx="2">
                  <c:v>#N/A</c:v>
                </c:pt>
                <c:pt idx="3">
                  <c:v>#N/A</c:v>
                </c:pt>
                <c:pt idx="4">
                  <c:v>#N/A</c:v>
                </c:pt>
                <c:pt idx="5">
                  <c:v>#N/A</c:v>
                </c:pt>
                <c:pt idx="6">
                  <c:v>#N/A</c:v>
                </c:pt>
                <c:pt idx="7">
                  <c:v>#N/A</c:v>
                </c:pt>
                <c:pt idx="8">
                  <c:v>#N/A</c:v>
                </c:pt>
              </c:numCache>
            </c:numRef>
          </c:xVal>
          <c:yVal>
            <c:numRef>
              <c:f>MODEL_INTERACTIONS!$R$9:$R$17</c:f>
              <c:numCache>
                <c:formatCode>General</c:formatCode>
                <c:ptCount val="9"/>
                <c:pt idx="0">
                  <c:v>#N/A</c:v>
                </c:pt>
                <c:pt idx="1">
                  <c:v>#N/A</c:v>
                </c:pt>
                <c:pt idx="2">
                  <c:v>#N/A</c:v>
                </c:pt>
                <c:pt idx="3">
                  <c:v>#N/A</c:v>
                </c:pt>
                <c:pt idx="4">
                  <c:v>#N/A</c:v>
                </c:pt>
                <c:pt idx="5">
                  <c:v>#N/A</c:v>
                </c:pt>
                <c:pt idx="6">
                  <c:v>#N/A</c:v>
                </c:pt>
                <c:pt idx="7">
                  <c:v>#N/A</c:v>
                </c:pt>
                <c:pt idx="8">
                  <c:v>#N/A</c:v>
                </c:pt>
              </c:numCache>
            </c:numRef>
          </c:yVal>
          <c:smooth val="0"/>
          <c:extLst>
            <c:ext xmlns:c16="http://schemas.microsoft.com/office/drawing/2014/chart" uri="{C3380CC4-5D6E-409C-BE32-E72D297353CC}">
              <c16:uniqueId val="{00000003-73FF-4927-91CC-4A0A1C37764C}"/>
            </c:ext>
          </c:extLst>
        </c:ser>
        <c:ser>
          <c:idx val="4"/>
          <c:order val="3"/>
          <c:tx>
            <c:strRef>
              <c:f>MODEL_INTERACTIONS!$S$18</c:f>
              <c:strCache>
                <c:ptCount val="1"/>
                <c:pt idx="0">
                  <c:v>#N/D</c:v>
                </c:pt>
              </c:strCache>
            </c:strRef>
          </c:tx>
          <c:spPr>
            <a:ln w="25400" cap="rnd">
              <a:solidFill>
                <a:schemeClr val="accent5"/>
              </a:solidFill>
              <a:round/>
            </a:ln>
            <a:effectLst/>
          </c:spPr>
          <c:marker>
            <c:symbol val="plus"/>
            <c:size val="8"/>
            <c:spPr>
              <a:noFill/>
              <a:ln w="12700">
                <a:solidFill>
                  <a:schemeClr val="accent5"/>
                </a:solidFill>
              </a:ln>
              <a:effectLst/>
            </c:spPr>
          </c:marker>
          <c:dLbls>
            <c:dLbl>
              <c:idx val="0"/>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1-511A-4BB1-BEF3-CA6DCFF0497C}"/>
                </c:ext>
              </c:extLst>
            </c:dLbl>
            <c:spPr>
              <a:noFill/>
              <a:ln>
                <a:noFill/>
              </a:ln>
              <a:effectLst/>
            </c:spPr>
            <c:txPr>
              <a:bodyPr rot="0" spcFirstLastPara="1" vertOverflow="ellipsis" vert="horz" wrap="square" anchor="ctr" anchorCtr="1"/>
              <a:lstStyle/>
              <a:p>
                <a:pPr>
                  <a:defRPr sz="1200" b="0" i="0" u="none" strike="noStrike" kern="1200" baseline="0">
                    <a:solidFill>
                      <a:schemeClr val="accent5"/>
                    </a:solidFill>
                    <a:latin typeface="+mn-lt"/>
                    <a:ea typeface="+mn-ea"/>
                    <a:cs typeface="+mn-cs"/>
                  </a:defRPr>
                </a:pPr>
                <a:endParaRPr lang="es-E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MODEL_INTERACTIONS!$O$9:$O$17</c:f>
              <c:numCache>
                <c:formatCode>General</c:formatCode>
                <c:ptCount val="9"/>
                <c:pt idx="0">
                  <c:v>-1</c:v>
                </c:pt>
                <c:pt idx="1">
                  <c:v>1</c:v>
                </c:pt>
                <c:pt idx="2">
                  <c:v>#N/A</c:v>
                </c:pt>
                <c:pt idx="3">
                  <c:v>#N/A</c:v>
                </c:pt>
                <c:pt idx="4">
                  <c:v>#N/A</c:v>
                </c:pt>
                <c:pt idx="5">
                  <c:v>#N/A</c:v>
                </c:pt>
                <c:pt idx="6">
                  <c:v>#N/A</c:v>
                </c:pt>
                <c:pt idx="7">
                  <c:v>#N/A</c:v>
                </c:pt>
                <c:pt idx="8">
                  <c:v>#N/A</c:v>
                </c:pt>
              </c:numCache>
            </c:numRef>
          </c:xVal>
          <c:yVal>
            <c:numRef>
              <c:f>MODEL_INTERACTIONS!$S$9:$S$17</c:f>
              <c:numCache>
                <c:formatCode>General</c:formatCode>
                <c:ptCount val="9"/>
                <c:pt idx="0">
                  <c:v>#N/A</c:v>
                </c:pt>
                <c:pt idx="1">
                  <c:v>#N/A</c:v>
                </c:pt>
                <c:pt idx="2">
                  <c:v>#N/A</c:v>
                </c:pt>
                <c:pt idx="3">
                  <c:v>#N/A</c:v>
                </c:pt>
                <c:pt idx="4">
                  <c:v>#N/A</c:v>
                </c:pt>
                <c:pt idx="5">
                  <c:v>#N/A</c:v>
                </c:pt>
                <c:pt idx="6">
                  <c:v>#N/A</c:v>
                </c:pt>
                <c:pt idx="7">
                  <c:v>#N/A</c:v>
                </c:pt>
                <c:pt idx="8">
                  <c:v>#N/A</c:v>
                </c:pt>
              </c:numCache>
            </c:numRef>
          </c:yVal>
          <c:smooth val="0"/>
          <c:extLst>
            <c:ext xmlns:c16="http://schemas.microsoft.com/office/drawing/2014/chart" uri="{C3380CC4-5D6E-409C-BE32-E72D297353CC}">
              <c16:uniqueId val="{00000004-73FF-4927-91CC-4A0A1C37764C}"/>
            </c:ext>
          </c:extLst>
        </c:ser>
        <c:ser>
          <c:idx val="5"/>
          <c:order val="4"/>
          <c:tx>
            <c:strRef>
              <c:f>MODEL_INTERACTIONS!$T$18</c:f>
              <c:strCache>
                <c:ptCount val="1"/>
                <c:pt idx="0">
                  <c:v>#N/D</c:v>
                </c:pt>
              </c:strCache>
            </c:strRef>
          </c:tx>
          <c:spPr>
            <a:ln w="25400" cap="rnd">
              <a:solidFill>
                <a:schemeClr val="accent6"/>
              </a:solidFill>
              <a:round/>
            </a:ln>
            <a:effectLst/>
          </c:spPr>
          <c:marker>
            <c:symbol val="plus"/>
            <c:size val="8"/>
            <c:spPr>
              <a:noFill/>
              <a:ln w="12700">
                <a:solidFill>
                  <a:schemeClr val="accent6"/>
                </a:solidFill>
              </a:ln>
              <a:effectLst/>
            </c:spPr>
          </c:marker>
          <c:dLbls>
            <c:dLbl>
              <c:idx val="0"/>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511A-4BB1-BEF3-CA6DCFF0497C}"/>
                </c:ext>
              </c:extLst>
            </c:dLbl>
            <c:spPr>
              <a:noFill/>
              <a:ln>
                <a:noFill/>
              </a:ln>
              <a:effectLst/>
            </c:spPr>
            <c:txPr>
              <a:bodyPr rot="0" spcFirstLastPara="1" vertOverflow="ellipsis" vert="horz" wrap="square" anchor="ctr" anchorCtr="1"/>
              <a:lstStyle/>
              <a:p>
                <a:pPr>
                  <a:defRPr sz="1200" b="0" i="0" u="none" strike="noStrike" kern="1200" baseline="0">
                    <a:solidFill>
                      <a:schemeClr val="accent6"/>
                    </a:solidFill>
                    <a:latin typeface="+mn-lt"/>
                    <a:ea typeface="+mn-ea"/>
                    <a:cs typeface="+mn-cs"/>
                  </a:defRPr>
                </a:pPr>
                <a:endParaRPr lang="es-E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MODEL_INTERACTIONS!$O$9:$O$17</c:f>
              <c:numCache>
                <c:formatCode>General</c:formatCode>
                <c:ptCount val="9"/>
                <c:pt idx="0">
                  <c:v>-1</c:v>
                </c:pt>
                <c:pt idx="1">
                  <c:v>1</c:v>
                </c:pt>
                <c:pt idx="2">
                  <c:v>#N/A</c:v>
                </c:pt>
                <c:pt idx="3">
                  <c:v>#N/A</c:v>
                </c:pt>
                <c:pt idx="4">
                  <c:v>#N/A</c:v>
                </c:pt>
                <c:pt idx="5">
                  <c:v>#N/A</c:v>
                </c:pt>
                <c:pt idx="6">
                  <c:v>#N/A</c:v>
                </c:pt>
                <c:pt idx="7">
                  <c:v>#N/A</c:v>
                </c:pt>
                <c:pt idx="8">
                  <c:v>#N/A</c:v>
                </c:pt>
              </c:numCache>
            </c:numRef>
          </c:xVal>
          <c:yVal>
            <c:numRef>
              <c:f>MODEL_INTERACTIONS!$T$9:$T$17</c:f>
              <c:numCache>
                <c:formatCode>General</c:formatCode>
                <c:ptCount val="9"/>
                <c:pt idx="0">
                  <c:v>#N/A</c:v>
                </c:pt>
                <c:pt idx="1">
                  <c:v>#N/A</c:v>
                </c:pt>
                <c:pt idx="2">
                  <c:v>#N/A</c:v>
                </c:pt>
                <c:pt idx="3">
                  <c:v>#N/A</c:v>
                </c:pt>
                <c:pt idx="4">
                  <c:v>#N/A</c:v>
                </c:pt>
                <c:pt idx="5">
                  <c:v>#N/A</c:v>
                </c:pt>
                <c:pt idx="6">
                  <c:v>#N/A</c:v>
                </c:pt>
                <c:pt idx="7">
                  <c:v>#N/A</c:v>
                </c:pt>
                <c:pt idx="8">
                  <c:v>#N/A</c:v>
                </c:pt>
              </c:numCache>
            </c:numRef>
          </c:yVal>
          <c:smooth val="0"/>
          <c:extLst>
            <c:ext xmlns:c16="http://schemas.microsoft.com/office/drawing/2014/chart" uri="{C3380CC4-5D6E-409C-BE32-E72D297353CC}">
              <c16:uniqueId val="{00000005-73FF-4927-91CC-4A0A1C37764C}"/>
            </c:ext>
          </c:extLst>
        </c:ser>
        <c:ser>
          <c:idx val="6"/>
          <c:order val="5"/>
          <c:tx>
            <c:strRef>
              <c:f>MODEL_INTERACTIONS!$U$18</c:f>
              <c:strCache>
                <c:ptCount val="1"/>
                <c:pt idx="0">
                  <c:v>#N/D</c:v>
                </c:pt>
              </c:strCache>
            </c:strRef>
          </c:tx>
          <c:spPr>
            <a:ln w="25400" cap="rnd">
              <a:solidFill>
                <a:schemeClr val="accent1">
                  <a:lumMod val="60000"/>
                </a:schemeClr>
              </a:solidFill>
              <a:round/>
            </a:ln>
            <a:effectLst/>
          </c:spPr>
          <c:marker>
            <c:symbol val="plus"/>
            <c:size val="8"/>
            <c:spPr>
              <a:noFill/>
              <a:ln w="12700">
                <a:solidFill>
                  <a:schemeClr val="accent1">
                    <a:lumMod val="60000"/>
                  </a:schemeClr>
                </a:solidFill>
              </a:ln>
              <a:effectLst/>
            </c:spPr>
          </c:marker>
          <c:dLbls>
            <c:dLbl>
              <c:idx val="0"/>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511A-4BB1-BEF3-CA6DCFF0497C}"/>
                </c:ext>
              </c:extLst>
            </c:dLbl>
            <c:spPr>
              <a:noFill/>
              <a:ln>
                <a:noFill/>
              </a:ln>
              <a:effectLst/>
            </c:spPr>
            <c:txPr>
              <a:bodyPr rot="0" spcFirstLastPara="1" vertOverflow="ellipsis" vert="horz" wrap="square" anchor="ctr" anchorCtr="1"/>
              <a:lstStyle/>
              <a:p>
                <a:pPr>
                  <a:defRPr sz="1200" b="0" i="0" u="none" strike="noStrike" kern="1200" baseline="0">
                    <a:solidFill>
                      <a:schemeClr val="accent1">
                        <a:lumMod val="50000"/>
                      </a:schemeClr>
                    </a:solidFill>
                    <a:latin typeface="+mn-lt"/>
                    <a:ea typeface="+mn-ea"/>
                    <a:cs typeface="+mn-cs"/>
                  </a:defRPr>
                </a:pPr>
                <a:endParaRPr lang="es-E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MODEL_INTERACTIONS!$O$9:$O$17</c:f>
              <c:numCache>
                <c:formatCode>General</c:formatCode>
                <c:ptCount val="9"/>
                <c:pt idx="0">
                  <c:v>-1</c:v>
                </c:pt>
                <c:pt idx="1">
                  <c:v>1</c:v>
                </c:pt>
                <c:pt idx="2">
                  <c:v>#N/A</c:v>
                </c:pt>
                <c:pt idx="3">
                  <c:v>#N/A</c:v>
                </c:pt>
                <c:pt idx="4">
                  <c:v>#N/A</c:v>
                </c:pt>
                <c:pt idx="5">
                  <c:v>#N/A</c:v>
                </c:pt>
                <c:pt idx="6">
                  <c:v>#N/A</c:v>
                </c:pt>
                <c:pt idx="7">
                  <c:v>#N/A</c:v>
                </c:pt>
                <c:pt idx="8">
                  <c:v>#N/A</c:v>
                </c:pt>
              </c:numCache>
            </c:numRef>
          </c:xVal>
          <c:yVal>
            <c:numRef>
              <c:f>MODEL_INTERACTIONS!$U$9:$U$17</c:f>
              <c:numCache>
                <c:formatCode>General</c:formatCode>
                <c:ptCount val="9"/>
                <c:pt idx="0">
                  <c:v>#N/A</c:v>
                </c:pt>
                <c:pt idx="1">
                  <c:v>#N/A</c:v>
                </c:pt>
                <c:pt idx="2">
                  <c:v>#N/A</c:v>
                </c:pt>
                <c:pt idx="3">
                  <c:v>#N/A</c:v>
                </c:pt>
                <c:pt idx="4">
                  <c:v>#N/A</c:v>
                </c:pt>
                <c:pt idx="5">
                  <c:v>#N/A</c:v>
                </c:pt>
                <c:pt idx="6">
                  <c:v>#N/A</c:v>
                </c:pt>
                <c:pt idx="7">
                  <c:v>#N/A</c:v>
                </c:pt>
                <c:pt idx="8">
                  <c:v>#N/A</c:v>
                </c:pt>
              </c:numCache>
            </c:numRef>
          </c:yVal>
          <c:smooth val="0"/>
          <c:extLst>
            <c:ext xmlns:c16="http://schemas.microsoft.com/office/drawing/2014/chart" uri="{C3380CC4-5D6E-409C-BE32-E72D297353CC}">
              <c16:uniqueId val="{00000006-73FF-4927-91CC-4A0A1C37764C}"/>
            </c:ext>
          </c:extLst>
        </c:ser>
        <c:ser>
          <c:idx val="7"/>
          <c:order val="6"/>
          <c:tx>
            <c:strRef>
              <c:f>MODEL_INTERACTIONS!$V$18</c:f>
              <c:strCache>
                <c:ptCount val="1"/>
                <c:pt idx="0">
                  <c:v>#N/D</c:v>
                </c:pt>
              </c:strCache>
            </c:strRef>
          </c:tx>
          <c:spPr>
            <a:ln w="25400" cap="rnd">
              <a:solidFill>
                <a:schemeClr val="accent2">
                  <a:lumMod val="60000"/>
                </a:schemeClr>
              </a:solidFill>
              <a:round/>
            </a:ln>
            <a:effectLst/>
          </c:spPr>
          <c:marker>
            <c:symbol val="plus"/>
            <c:size val="8"/>
            <c:spPr>
              <a:noFill/>
              <a:ln w="12700">
                <a:solidFill>
                  <a:schemeClr val="accent2">
                    <a:lumMod val="60000"/>
                  </a:schemeClr>
                </a:solidFill>
              </a:ln>
              <a:effectLst/>
            </c:spPr>
          </c:marker>
          <c:dLbls>
            <c:dLbl>
              <c:idx val="0"/>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511A-4BB1-BEF3-CA6DCFF0497C}"/>
                </c:ext>
              </c:extLst>
            </c:dLbl>
            <c:spPr>
              <a:noFill/>
              <a:ln>
                <a:noFill/>
              </a:ln>
              <a:effectLst/>
            </c:spPr>
            <c:txPr>
              <a:bodyPr rot="0" spcFirstLastPara="1" vertOverflow="ellipsis" vert="horz" wrap="square" anchor="ctr" anchorCtr="1"/>
              <a:lstStyle/>
              <a:p>
                <a:pPr>
                  <a:defRPr sz="1200" b="0" i="0" u="none" strike="noStrike" kern="1200" baseline="0">
                    <a:solidFill>
                      <a:schemeClr val="accent2">
                        <a:lumMod val="50000"/>
                      </a:schemeClr>
                    </a:solidFill>
                    <a:latin typeface="+mn-lt"/>
                    <a:ea typeface="+mn-ea"/>
                    <a:cs typeface="+mn-cs"/>
                  </a:defRPr>
                </a:pPr>
                <a:endParaRPr lang="es-E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MODEL_INTERACTIONS!$O$9:$O$17</c:f>
              <c:numCache>
                <c:formatCode>General</c:formatCode>
                <c:ptCount val="9"/>
                <c:pt idx="0">
                  <c:v>-1</c:v>
                </c:pt>
                <c:pt idx="1">
                  <c:v>1</c:v>
                </c:pt>
                <c:pt idx="2">
                  <c:v>#N/A</c:v>
                </c:pt>
                <c:pt idx="3">
                  <c:v>#N/A</c:v>
                </c:pt>
                <c:pt idx="4">
                  <c:v>#N/A</c:v>
                </c:pt>
                <c:pt idx="5">
                  <c:v>#N/A</c:v>
                </c:pt>
                <c:pt idx="6">
                  <c:v>#N/A</c:v>
                </c:pt>
                <c:pt idx="7">
                  <c:v>#N/A</c:v>
                </c:pt>
                <c:pt idx="8">
                  <c:v>#N/A</c:v>
                </c:pt>
              </c:numCache>
            </c:numRef>
          </c:xVal>
          <c:yVal>
            <c:numRef>
              <c:f>MODEL_INTERACTIONS!$V$9:$V$17</c:f>
              <c:numCache>
                <c:formatCode>General</c:formatCode>
                <c:ptCount val="9"/>
                <c:pt idx="0">
                  <c:v>#N/A</c:v>
                </c:pt>
                <c:pt idx="1">
                  <c:v>#N/A</c:v>
                </c:pt>
                <c:pt idx="2">
                  <c:v>#N/A</c:v>
                </c:pt>
                <c:pt idx="3">
                  <c:v>#N/A</c:v>
                </c:pt>
                <c:pt idx="4">
                  <c:v>#N/A</c:v>
                </c:pt>
                <c:pt idx="5">
                  <c:v>#N/A</c:v>
                </c:pt>
                <c:pt idx="6">
                  <c:v>#N/A</c:v>
                </c:pt>
                <c:pt idx="7">
                  <c:v>#N/A</c:v>
                </c:pt>
                <c:pt idx="8">
                  <c:v>#N/A</c:v>
                </c:pt>
              </c:numCache>
            </c:numRef>
          </c:yVal>
          <c:smooth val="0"/>
          <c:extLst>
            <c:ext xmlns:c16="http://schemas.microsoft.com/office/drawing/2014/chart" uri="{C3380CC4-5D6E-409C-BE32-E72D297353CC}">
              <c16:uniqueId val="{00000007-73FF-4927-91CC-4A0A1C37764C}"/>
            </c:ext>
          </c:extLst>
        </c:ser>
        <c:ser>
          <c:idx val="8"/>
          <c:order val="7"/>
          <c:tx>
            <c:strRef>
              <c:f>MODEL_INTERACTIONS!$W$18</c:f>
              <c:strCache>
                <c:ptCount val="1"/>
                <c:pt idx="0">
                  <c:v>#N/D</c:v>
                </c:pt>
              </c:strCache>
            </c:strRef>
          </c:tx>
          <c:spPr>
            <a:ln w="25400" cap="rnd">
              <a:solidFill>
                <a:schemeClr val="accent3">
                  <a:lumMod val="60000"/>
                </a:schemeClr>
              </a:solidFill>
              <a:round/>
            </a:ln>
            <a:effectLst/>
          </c:spPr>
          <c:marker>
            <c:symbol val="plus"/>
            <c:size val="8"/>
            <c:spPr>
              <a:noFill/>
              <a:ln w="12700">
                <a:solidFill>
                  <a:schemeClr val="accent3">
                    <a:lumMod val="60000"/>
                  </a:schemeClr>
                </a:solidFill>
              </a:ln>
              <a:effectLst/>
            </c:spPr>
          </c:marker>
          <c:dLbls>
            <c:dLbl>
              <c:idx val="0"/>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511A-4BB1-BEF3-CA6DCFF0497C}"/>
                </c:ext>
              </c:extLst>
            </c:dLbl>
            <c:spPr>
              <a:noFill/>
              <a:ln>
                <a:noFill/>
              </a:ln>
              <a:effectLst/>
            </c:spPr>
            <c:txPr>
              <a:bodyPr rot="0" spcFirstLastPara="1" vertOverflow="ellipsis" vert="horz" wrap="square" anchor="ctr" anchorCtr="1"/>
              <a:lstStyle/>
              <a:p>
                <a:pPr>
                  <a:defRPr sz="1200" b="0" i="0" u="none" strike="noStrike" kern="1200" baseline="0">
                    <a:solidFill>
                      <a:schemeClr val="accent3">
                        <a:lumMod val="50000"/>
                      </a:schemeClr>
                    </a:solidFill>
                    <a:latin typeface="+mn-lt"/>
                    <a:ea typeface="+mn-ea"/>
                    <a:cs typeface="+mn-cs"/>
                  </a:defRPr>
                </a:pPr>
                <a:endParaRPr lang="es-E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MODEL_INTERACTIONS!$O$9:$O$17</c:f>
              <c:numCache>
                <c:formatCode>General</c:formatCode>
                <c:ptCount val="9"/>
                <c:pt idx="0">
                  <c:v>-1</c:v>
                </c:pt>
                <c:pt idx="1">
                  <c:v>1</c:v>
                </c:pt>
                <c:pt idx="2">
                  <c:v>#N/A</c:v>
                </c:pt>
                <c:pt idx="3">
                  <c:v>#N/A</c:v>
                </c:pt>
                <c:pt idx="4">
                  <c:v>#N/A</c:v>
                </c:pt>
                <c:pt idx="5">
                  <c:v>#N/A</c:v>
                </c:pt>
                <c:pt idx="6">
                  <c:v>#N/A</c:v>
                </c:pt>
                <c:pt idx="7">
                  <c:v>#N/A</c:v>
                </c:pt>
                <c:pt idx="8">
                  <c:v>#N/A</c:v>
                </c:pt>
              </c:numCache>
            </c:numRef>
          </c:xVal>
          <c:yVal>
            <c:numRef>
              <c:f>MODEL_INTERACTIONS!$W$9:$W$17</c:f>
              <c:numCache>
                <c:formatCode>General</c:formatCode>
                <c:ptCount val="9"/>
                <c:pt idx="0">
                  <c:v>#N/A</c:v>
                </c:pt>
                <c:pt idx="1">
                  <c:v>#N/A</c:v>
                </c:pt>
                <c:pt idx="2">
                  <c:v>#N/A</c:v>
                </c:pt>
                <c:pt idx="3">
                  <c:v>#N/A</c:v>
                </c:pt>
                <c:pt idx="4">
                  <c:v>#N/A</c:v>
                </c:pt>
                <c:pt idx="5">
                  <c:v>#N/A</c:v>
                </c:pt>
                <c:pt idx="6">
                  <c:v>#N/A</c:v>
                </c:pt>
                <c:pt idx="7">
                  <c:v>#N/A</c:v>
                </c:pt>
                <c:pt idx="8">
                  <c:v>#N/A</c:v>
                </c:pt>
              </c:numCache>
            </c:numRef>
          </c:yVal>
          <c:smooth val="0"/>
          <c:extLst>
            <c:ext xmlns:c16="http://schemas.microsoft.com/office/drawing/2014/chart" uri="{C3380CC4-5D6E-409C-BE32-E72D297353CC}">
              <c16:uniqueId val="{00000008-73FF-4927-91CC-4A0A1C37764C}"/>
            </c:ext>
          </c:extLst>
        </c:ser>
        <c:ser>
          <c:idx val="9"/>
          <c:order val="8"/>
          <c:tx>
            <c:strRef>
              <c:f>MODEL_INTERACTIONS!$X$18</c:f>
              <c:strCache>
                <c:ptCount val="1"/>
                <c:pt idx="0">
                  <c:v>#N/D</c:v>
                </c:pt>
              </c:strCache>
            </c:strRef>
          </c:tx>
          <c:spPr>
            <a:ln w="25400" cap="rnd">
              <a:solidFill>
                <a:schemeClr val="accent4">
                  <a:lumMod val="60000"/>
                </a:schemeClr>
              </a:solidFill>
              <a:round/>
            </a:ln>
            <a:effectLst/>
          </c:spPr>
          <c:marker>
            <c:symbol val="plus"/>
            <c:size val="8"/>
            <c:spPr>
              <a:noFill/>
              <a:ln w="12700">
                <a:solidFill>
                  <a:schemeClr val="accent4">
                    <a:lumMod val="60000"/>
                  </a:schemeClr>
                </a:solidFill>
              </a:ln>
              <a:effectLst/>
            </c:spPr>
          </c:marker>
          <c:dLbls>
            <c:dLbl>
              <c:idx val="0"/>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511A-4BB1-BEF3-CA6DCFF0497C}"/>
                </c:ext>
              </c:extLst>
            </c:dLbl>
            <c:spPr>
              <a:noFill/>
              <a:ln>
                <a:noFill/>
              </a:ln>
              <a:effectLst/>
            </c:spPr>
            <c:txPr>
              <a:bodyPr rot="0" spcFirstLastPara="1" vertOverflow="ellipsis" vert="horz" wrap="square" anchor="ctr" anchorCtr="1"/>
              <a:lstStyle/>
              <a:p>
                <a:pPr>
                  <a:defRPr sz="1200" b="0" i="0" u="none" strike="noStrike" kern="1200" baseline="0">
                    <a:solidFill>
                      <a:schemeClr val="accent4">
                        <a:lumMod val="50000"/>
                      </a:schemeClr>
                    </a:solidFill>
                    <a:latin typeface="+mn-lt"/>
                    <a:ea typeface="+mn-ea"/>
                    <a:cs typeface="+mn-cs"/>
                  </a:defRPr>
                </a:pPr>
                <a:endParaRPr lang="es-E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MODEL_INTERACTIONS!$O$9:$O$17</c:f>
              <c:numCache>
                <c:formatCode>General</c:formatCode>
                <c:ptCount val="9"/>
                <c:pt idx="0">
                  <c:v>-1</c:v>
                </c:pt>
                <c:pt idx="1">
                  <c:v>1</c:v>
                </c:pt>
                <c:pt idx="2">
                  <c:v>#N/A</c:v>
                </c:pt>
                <c:pt idx="3">
                  <c:v>#N/A</c:v>
                </c:pt>
                <c:pt idx="4">
                  <c:v>#N/A</c:v>
                </c:pt>
                <c:pt idx="5">
                  <c:v>#N/A</c:v>
                </c:pt>
                <c:pt idx="6">
                  <c:v>#N/A</c:v>
                </c:pt>
                <c:pt idx="7">
                  <c:v>#N/A</c:v>
                </c:pt>
                <c:pt idx="8">
                  <c:v>#N/A</c:v>
                </c:pt>
              </c:numCache>
            </c:numRef>
          </c:xVal>
          <c:yVal>
            <c:numRef>
              <c:f>MODEL_INTERACTIONS!$X$9:$X$17</c:f>
              <c:numCache>
                <c:formatCode>General</c:formatCode>
                <c:ptCount val="9"/>
                <c:pt idx="0">
                  <c:v>#N/A</c:v>
                </c:pt>
                <c:pt idx="1">
                  <c:v>#N/A</c:v>
                </c:pt>
                <c:pt idx="2">
                  <c:v>#N/A</c:v>
                </c:pt>
                <c:pt idx="3">
                  <c:v>#N/A</c:v>
                </c:pt>
                <c:pt idx="4">
                  <c:v>#N/A</c:v>
                </c:pt>
                <c:pt idx="5">
                  <c:v>#N/A</c:v>
                </c:pt>
                <c:pt idx="6">
                  <c:v>#N/A</c:v>
                </c:pt>
                <c:pt idx="7">
                  <c:v>#N/A</c:v>
                </c:pt>
                <c:pt idx="8">
                  <c:v>#N/A</c:v>
                </c:pt>
              </c:numCache>
            </c:numRef>
          </c:yVal>
          <c:smooth val="0"/>
          <c:extLst>
            <c:ext xmlns:c16="http://schemas.microsoft.com/office/drawing/2014/chart" uri="{C3380CC4-5D6E-409C-BE32-E72D297353CC}">
              <c16:uniqueId val="{00000009-73FF-4927-91CC-4A0A1C37764C}"/>
            </c:ext>
          </c:extLst>
        </c:ser>
        <c:ser>
          <c:idx val="0"/>
          <c:order val="9"/>
          <c:spPr>
            <a:ln w="19050" cap="rnd">
              <a:solidFill>
                <a:schemeClr val="accent1"/>
              </a:solidFill>
              <a:round/>
            </a:ln>
            <a:effectLst/>
          </c:spPr>
          <c:marker>
            <c:symbol val="none"/>
          </c:marker>
          <c:xVal>
            <c:numRef>
              <c:f>MODEL_INTERACTIONS!$I$8:$I$9</c:f>
              <c:numCache>
                <c:formatCode>General</c:formatCode>
                <c:ptCount val="2"/>
                <c:pt idx="0">
                  <c:v>0</c:v>
                </c:pt>
                <c:pt idx="1">
                  <c:v>0</c:v>
                </c:pt>
              </c:numCache>
            </c:numRef>
          </c:xVal>
          <c:yVal>
            <c:numRef>
              <c:f>MODEL_INTERACTIONS!$K$8:$K$9</c:f>
              <c:numCache>
                <c:formatCode>General</c:formatCode>
                <c:ptCount val="2"/>
                <c:pt idx="0">
                  <c:v>3.8313652687499999</c:v>
                </c:pt>
                <c:pt idx="1">
                  <c:v>8.9268260187500008</c:v>
                </c:pt>
              </c:numCache>
            </c:numRef>
          </c:yVal>
          <c:smooth val="0"/>
          <c:extLst>
            <c:ext xmlns:c16="http://schemas.microsoft.com/office/drawing/2014/chart" uri="{C3380CC4-5D6E-409C-BE32-E72D297353CC}">
              <c16:uniqueId val="{0000000A-73FF-4927-91CC-4A0A1C37764C}"/>
            </c:ext>
          </c:extLst>
        </c:ser>
        <c:dLbls>
          <c:showLegendKey val="0"/>
          <c:showVal val="0"/>
          <c:showCatName val="0"/>
          <c:showSerName val="0"/>
          <c:showPercent val="0"/>
          <c:showBubbleSize val="0"/>
        </c:dLbls>
        <c:axId val="673249359"/>
        <c:axId val="673248111"/>
      </c:scatterChart>
      <c:valAx>
        <c:axId val="673249359"/>
        <c:scaling>
          <c:orientation val="minMax"/>
        </c:scaling>
        <c:delete val="0"/>
        <c:axPos val="b"/>
        <c:majorGridlines>
          <c:spPr>
            <a:ln w="6350" cap="flat" cmpd="sng" algn="ctr">
              <a:solidFill>
                <a:srgbClr val="A5A5A5">
                  <a:lumMod val="40000"/>
                  <a:lumOff val="60000"/>
                </a:srgb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ES"/>
          </a:p>
        </c:txPr>
        <c:crossAx val="673248111"/>
        <c:crosses val="autoZero"/>
        <c:crossBetween val="midCat"/>
      </c:valAx>
      <c:valAx>
        <c:axId val="673248111"/>
        <c:scaling>
          <c:orientation val="minMax"/>
        </c:scaling>
        <c:delete val="0"/>
        <c:axPos val="l"/>
        <c:majorGridlines>
          <c:spPr>
            <a:ln w="6350" cap="flat" cmpd="sng" algn="ctr">
              <a:solidFill>
                <a:srgbClr val="A5A5A5">
                  <a:lumMod val="40000"/>
                  <a:lumOff val="60000"/>
                </a:srgb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ES"/>
          </a:p>
        </c:txPr>
        <c:crossAx val="673249359"/>
        <c:crosses val="autoZero"/>
        <c:crossBetween val="midCat"/>
      </c:valAx>
      <c:spPr>
        <a:noFill/>
        <a:ln>
          <a:noFill/>
        </a:ln>
        <a:effectLst/>
      </c:spPr>
    </c:plotArea>
    <c:plotVisOnly val="0"/>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pPr>
      <a:endParaRPr lang="es-ES"/>
    </a:p>
  </c:txPr>
  <c:printSettings>
    <c:headerFooter/>
    <c:pageMargins b="0.75" l="0.7" r="0.7" t="0.75" header="0.3" footer="0.3"/>
    <c:pageSetup/>
  </c:printSettings>
  <c:userShapes r:id="rId4"/>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MODEL_INTERACTIONS!$O$20</c:f>
          <c:strCache>
            <c:ptCount val="1"/>
            <c:pt idx="0">
              <c:v>CA</c:v>
            </c:pt>
          </c:strCache>
        </c:strRef>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6.6123963516196371E-2"/>
          <c:y val="0.16251981430033746"/>
          <c:w val="0.86301910272783533"/>
          <c:h val="0.6673615424811441"/>
        </c:manualLayout>
      </c:layout>
      <c:scatterChart>
        <c:scatterStyle val="lineMarker"/>
        <c:varyColors val="0"/>
        <c:ser>
          <c:idx val="1"/>
          <c:order val="0"/>
          <c:tx>
            <c:strRef>
              <c:f>MODEL_INTERACTIONS!$P$31</c:f>
              <c:strCache>
                <c:ptCount val="1"/>
                <c:pt idx="0">
                  <c:v>A = -1</c:v>
                </c:pt>
              </c:strCache>
            </c:strRef>
          </c:tx>
          <c:spPr>
            <a:ln w="25400" cap="rnd">
              <a:solidFill>
                <a:schemeClr val="accent2"/>
              </a:solidFill>
              <a:round/>
            </a:ln>
            <a:effectLst/>
          </c:spPr>
          <c:marker>
            <c:symbol val="plus"/>
            <c:size val="8"/>
            <c:spPr>
              <a:noFill/>
              <a:ln w="12700">
                <a:solidFill>
                  <a:schemeClr val="accent2"/>
                </a:solidFill>
              </a:ln>
              <a:effectLst/>
            </c:spPr>
          </c:marker>
          <c:dLbls>
            <c:dLbl>
              <c:idx val="0"/>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1-E511-42CC-93E1-BBFC9173B83C}"/>
                </c:ext>
              </c:extLst>
            </c:dLbl>
            <c:spPr>
              <a:noFill/>
              <a:ln>
                <a:noFill/>
              </a:ln>
              <a:effectLst/>
            </c:spPr>
            <c:txPr>
              <a:bodyPr rot="0" spcFirstLastPara="1" vertOverflow="ellipsis" vert="horz" wrap="square" anchor="ctr" anchorCtr="1"/>
              <a:lstStyle/>
              <a:p>
                <a:pPr>
                  <a:defRPr sz="1200" b="0" i="0" u="none" strike="noStrike" kern="1200" baseline="0">
                    <a:ln>
                      <a:noFill/>
                    </a:ln>
                    <a:solidFill>
                      <a:schemeClr val="accent2"/>
                    </a:solidFill>
                    <a:latin typeface="+mn-lt"/>
                    <a:ea typeface="+mn-ea"/>
                    <a:cs typeface="+mn-cs"/>
                  </a:defRPr>
                </a:pPr>
                <a:endParaRPr lang="es-E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MODEL_INTERACTIONS!$O$22:$O$30</c:f>
              <c:numCache>
                <c:formatCode>General</c:formatCode>
                <c:ptCount val="9"/>
                <c:pt idx="0">
                  <c:v>-1</c:v>
                </c:pt>
                <c:pt idx="1">
                  <c:v>1</c:v>
                </c:pt>
                <c:pt idx="2">
                  <c:v>#N/A</c:v>
                </c:pt>
                <c:pt idx="3">
                  <c:v>#N/A</c:v>
                </c:pt>
                <c:pt idx="4">
                  <c:v>#N/A</c:v>
                </c:pt>
                <c:pt idx="5">
                  <c:v>#N/A</c:v>
                </c:pt>
                <c:pt idx="6">
                  <c:v>#N/A</c:v>
                </c:pt>
                <c:pt idx="7">
                  <c:v>#N/A</c:v>
                </c:pt>
                <c:pt idx="8">
                  <c:v>#N/A</c:v>
                </c:pt>
              </c:numCache>
            </c:numRef>
          </c:xVal>
          <c:yVal>
            <c:numRef>
              <c:f>MODEL_INTERACTIONS!$P$22:$P$30</c:f>
              <c:numCache>
                <c:formatCode>General</c:formatCode>
                <c:ptCount val="9"/>
                <c:pt idx="0">
                  <c:v>5.0216155812500007</c:v>
                </c:pt>
                <c:pt idx="1">
                  <c:v>7.9087287687499987</c:v>
                </c:pt>
                <c:pt idx="2">
                  <c:v>#N/A</c:v>
                </c:pt>
                <c:pt idx="3">
                  <c:v>#N/A</c:v>
                </c:pt>
                <c:pt idx="4">
                  <c:v>#N/A</c:v>
                </c:pt>
                <c:pt idx="5">
                  <c:v>#N/A</c:v>
                </c:pt>
                <c:pt idx="6">
                  <c:v>#N/A</c:v>
                </c:pt>
                <c:pt idx="7">
                  <c:v>#N/A</c:v>
                </c:pt>
                <c:pt idx="8">
                  <c:v>#N/A</c:v>
                </c:pt>
              </c:numCache>
            </c:numRef>
          </c:yVal>
          <c:smooth val="0"/>
          <c:extLst>
            <c:ext xmlns:c16="http://schemas.microsoft.com/office/drawing/2014/chart" uri="{C3380CC4-5D6E-409C-BE32-E72D297353CC}">
              <c16:uniqueId val="{00000001-73FF-4927-91CC-4A0A1C37764C}"/>
            </c:ext>
          </c:extLst>
        </c:ser>
        <c:ser>
          <c:idx val="2"/>
          <c:order val="1"/>
          <c:tx>
            <c:strRef>
              <c:f>MODEL_INTERACTIONS!$Q$31</c:f>
              <c:strCache>
                <c:ptCount val="1"/>
                <c:pt idx="0">
                  <c:v>A = 1</c:v>
                </c:pt>
              </c:strCache>
            </c:strRef>
          </c:tx>
          <c:spPr>
            <a:ln w="25400" cap="rnd">
              <a:solidFill>
                <a:srgbClr val="4472C4"/>
              </a:solidFill>
              <a:round/>
            </a:ln>
            <a:effectLst/>
          </c:spPr>
          <c:marker>
            <c:symbol val="plus"/>
            <c:size val="8"/>
            <c:spPr>
              <a:noFill/>
              <a:ln w="12700">
                <a:solidFill>
                  <a:srgbClr val="4472C4"/>
                </a:solidFill>
              </a:ln>
              <a:effectLst/>
            </c:spPr>
          </c:marker>
          <c:dLbls>
            <c:dLbl>
              <c:idx val="0"/>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E511-42CC-93E1-BBFC9173B83C}"/>
                </c:ext>
              </c:extLst>
            </c:dLbl>
            <c:spPr>
              <a:noFill/>
              <a:ln>
                <a:noFill/>
              </a:ln>
              <a:effectLst/>
            </c:spPr>
            <c:txPr>
              <a:bodyPr rot="0" spcFirstLastPara="1" vertOverflow="ellipsis" vert="horz" wrap="square" anchor="ctr" anchorCtr="1"/>
              <a:lstStyle/>
              <a:p>
                <a:pPr>
                  <a:defRPr sz="1200" b="0" i="0" u="none" strike="noStrike" kern="1200" baseline="0">
                    <a:solidFill>
                      <a:schemeClr val="accent1"/>
                    </a:solidFill>
                    <a:latin typeface="+mn-lt"/>
                    <a:ea typeface="+mn-ea"/>
                    <a:cs typeface="+mn-cs"/>
                  </a:defRPr>
                </a:pPr>
                <a:endParaRPr lang="es-E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MODEL_INTERACTIONS!$O$22:$O$30</c:f>
              <c:numCache>
                <c:formatCode>General</c:formatCode>
                <c:ptCount val="9"/>
                <c:pt idx="0">
                  <c:v>-1</c:v>
                </c:pt>
                <c:pt idx="1">
                  <c:v>1</c:v>
                </c:pt>
                <c:pt idx="2">
                  <c:v>#N/A</c:v>
                </c:pt>
                <c:pt idx="3">
                  <c:v>#N/A</c:v>
                </c:pt>
                <c:pt idx="4">
                  <c:v>#N/A</c:v>
                </c:pt>
                <c:pt idx="5">
                  <c:v>#N/A</c:v>
                </c:pt>
                <c:pt idx="6">
                  <c:v>#N/A</c:v>
                </c:pt>
                <c:pt idx="7">
                  <c:v>#N/A</c:v>
                </c:pt>
                <c:pt idx="8">
                  <c:v>#N/A</c:v>
                </c:pt>
              </c:numCache>
            </c:numRef>
          </c:xVal>
          <c:yVal>
            <c:numRef>
              <c:f>MODEL_INTERACTIONS!$Q$22:$Q$30</c:f>
              <c:numCache>
                <c:formatCode>General</c:formatCode>
                <c:ptCount val="9"/>
                <c:pt idx="0">
                  <c:v>4.7888573624999999</c:v>
                </c:pt>
                <c:pt idx="1">
                  <c:v>6.2365143312499995</c:v>
                </c:pt>
                <c:pt idx="2">
                  <c:v>#N/A</c:v>
                </c:pt>
                <c:pt idx="3">
                  <c:v>#N/A</c:v>
                </c:pt>
                <c:pt idx="4">
                  <c:v>#N/A</c:v>
                </c:pt>
                <c:pt idx="5">
                  <c:v>#N/A</c:v>
                </c:pt>
                <c:pt idx="6">
                  <c:v>#N/A</c:v>
                </c:pt>
                <c:pt idx="7">
                  <c:v>#N/A</c:v>
                </c:pt>
                <c:pt idx="8">
                  <c:v>#N/A</c:v>
                </c:pt>
              </c:numCache>
            </c:numRef>
          </c:yVal>
          <c:smooth val="0"/>
          <c:extLst>
            <c:ext xmlns:c16="http://schemas.microsoft.com/office/drawing/2014/chart" uri="{C3380CC4-5D6E-409C-BE32-E72D297353CC}">
              <c16:uniqueId val="{00000002-73FF-4927-91CC-4A0A1C37764C}"/>
            </c:ext>
          </c:extLst>
        </c:ser>
        <c:ser>
          <c:idx val="3"/>
          <c:order val="2"/>
          <c:tx>
            <c:strRef>
              <c:f>MODEL_INTERACTIONS!$R$31</c:f>
              <c:strCache>
                <c:ptCount val="1"/>
                <c:pt idx="0">
                  <c:v>#N/D</c:v>
                </c:pt>
              </c:strCache>
            </c:strRef>
          </c:tx>
          <c:spPr>
            <a:ln w="25400" cap="rnd">
              <a:solidFill>
                <a:schemeClr val="accent4"/>
              </a:solidFill>
              <a:round/>
            </a:ln>
            <a:effectLst/>
          </c:spPr>
          <c:marker>
            <c:symbol val="plus"/>
            <c:size val="8"/>
            <c:spPr>
              <a:noFill/>
              <a:ln w="12700">
                <a:solidFill>
                  <a:schemeClr val="accent4"/>
                </a:solidFill>
              </a:ln>
              <a:effectLst/>
            </c:spPr>
          </c:marker>
          <c:dLbls>
            <c:dLbl>
              <c:idx val="0"/>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5A6B-436A-8668-2DB874229712}"/>
                </c:ext>
              </c:extLst>
            </c:dLbl>
            <c:spPr>
              <a:noFill/>
              <a:ln>
                <a:noFill/>
              </a:ln>
              <a:effectLst/>
            </c:spPr>
            <c:txPr>
              <a:bodyPr rot="0" spcFirstLastPara="1" vertOverflow="ellipsis" vert="horz" wrap="square" anchor="ctr" anchorCtr="1"/>
              <a:lstStyle/>
              <a:p>
                <a:pPr>
                  <a:defRPr sz="1200" b="0" i="0" u="none" strike="noStrike" kern="1200" baseline="0">
                    <a:solidFill>
                      <a:schemeClr val="accent4"/>
                    </a:solidFill>
                    <a:latin typeface="+mn-lt"/>
                    <a:ea typeface="+mn-ea"/>
                    <a:cs typeface="+mn-cs"/>
                  </a:defRPr>
                </a:pPr>
                <a:endParaRPr lang="es-E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MODEL_INTERACTIONS!$O$22:$O$30</c:f>
              <c:numCache>
                <c:formatCode>General</c:formatCode>
                <c:ptCount val="9"/>
                <c:pt idx="0">
                  <c:v>-1</c:v>
                </c:pt>
                <c:pt idx="1">
                  <c:v>1</c:v>
                </c:pt>
                <c:pt idx="2">
                  <c:v>#N/A</c:v>
                </c:pt>
                <c:pt idx="3">
                  <c:v>#N/A</c:v>
                </c:pt>
                <c:pt idx="4">
                  <c:v>#N/A</c:v>
                </c:pt>
                <c:pt idx="5">
                  <c:v>#N/A</c:v>
                </c:pt>
                <c:pt idx="6">
                  <c:v>#N/A</c:v>
                </c:pt>
                <c:pt idx="7">
                  <c:v>#N/A</c:v>
                </c:pt>
                <c:pt idx="8">
                  <c:v>#N/A</c:v>
                </c:pt>
              </c:numCache>
            </c:numRef>
          </c:xVal>
          <c:yVal>
            <c:numRef>
              <c:f>MODEL_INTERACTIONS!$R$22:$R$30</c:f>
              <c:numCache>
                <c:formatCode>General</c:formatCode>
                <c:ptCount val="9"/>
                <c:pt idx="0">
                  <c:v>#N/A</c:v>
                </c:pt>
                <c:pt idx="1">
                  <c:v>#N/A</c:v>
                </c:pt>
                <c:pt idx="2">
                  <c:v>#N/A</c:v>
                </c:pt>
                <c:pt idx="3">
                  <c:v>#N/A</c:v>
                </c:pt>
                <c:pt idx="4">
                  <c:v>#N/A</c:v>
                </c:pt>
                <c:pt idx="5">
                  <c:v>#N/A</c:v>
                </c:pt>
                <c:pt idx="6">
                  <c:v>#N/A</c:v>
                </c:pt>
                <c:pt idx="7">
                  <c:v>#N/A</c:v>
                </c:pt>
                <c:pt idx="8">
                  <c:v>#N/A</c:v>
                </c:pt>
              </c:numCache>
            </c:numRef>
          </c:yVal>
          <c:smooth val="0"/>
          <c:extLst>
            <c:ext xmlns:c16="http://schemas.microsoft.com/office/drawing/2014/chart" uri="{C3380CC4-5D6E-409C-BE32-E72D297353CC}">
              <c16:uniqueId val="{00000003-73FF-4927-91CC-4A0A1C37764C}"/>
            </c:ext>
          </c:extLst>
        </c:ser>
        <c:ser>
          <c:idx val="4"/>
          <c:order val="3"/>
          <c:tx>
            <c:strRef>
              <c:f>MODEL_INTERACTIONS!$S$31</c:f>
              <c:strCache>
                <c:ptCount val="1"/>
                <c:pt idx="0">
                  <c:v>#N/D</c:v>
                </c:pt>
              </c:strCache>
            </c:strRef>
          </c:tx>
          <c:spPr>
            <a:ln w="25400" cap="rnd">
              <a:solidFill>
                <a:schemeClr val="accent5"/>
              </a:solidFill>
              <a:round/>
            </a:ln>
            <a:effectLst/>
          </c:spPr>
          <c:marker>
            <c:symbol val="plus"/>
            <c:size val="8"/>
            <c:spPr>
              <a:noFill/>
              <a:ln w="12700">
                <a:solidFill>
                  <a:schemeClr val="accent5"/>
                </a:solidFill>
              </a:ln>
              <a:effectLst/>
            </c:spPr>
          </c:marker>
          <c:dLbls>
            <c:dLbl>
              <c:idx val="0"/>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1-5A6B-436A-8668-2DB874229712}"/>
                </c:ext>
              </c:extLst>
            </c:dLbl>
            <c:spPr>
              <a:noFill/>
              <a:ln>
                <a:noFill/>
              </a:ln>
              <a:effectLst/>
            </c:spPr>
            <c:txPr>
              <a:bodyPr rot="0" spcFirstLastPara="1" vertOverflow="ellipsis" vert="horz" wrap="square" anchor="ctr" anchorCtr="1"/>
              <a:lstStyle/>
              <a:p>
                <a:pPr>
                  <a:defRPr sz="1200" b="0" i="0" u="none" strike="noStrike" kern="1200" baseline="0">
                    <a:solidFill>
                      <a:schemeClr val="accent5"/>
                    </a:solidFill>
                    <a:latin typeface="+mn-lt"/>
                    <a:ea typeface="+mn-ea"/>
                    <a:cs typeface="+mn-cs"/>
                  </a:defRPr>
                </a:pPr>
                <a:endParaRPr lang="es-E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MODEL_INTERACTIONS!$O$22:$O$30</c:f>
              <c:numCache>
                <c:formatCode>General</c:formatCode>
                <c:ptCount val="9"/>
                <c:pt idx="0">
                  <c:v>-1</c:v>
                </c:pt>
                <c:pt idx="1">
                  <c:v>1</c:v>
                </c:pt>
                <c:pt idx="2">
                  <c:v>#N/A</c:v>
                </c:pt>
                <c:pt idx="3">
                  <c:v>#N/A</c:v>
                </c:pt>
                <c:pt idx="4">
                  <c:v>#N/A</c:v>
                </c:pt>
                <c:pt idx="5">
                  <c:v>#N/A</c:v>
                </c:pt>
                <c:pt idx="6">
                  <c:v>#N/A</c:v>
                </c:pt>
                <c:pt idx="7">
                  <c:v>#N/A</c:v>
                </c:pt>
                <c:pt idx="8">
                  <c:v>#N/A</c:v>
                </c:pt>
              </c:numCache>
            </c:numRef>
          </c:xVal>
          <c:yVal>
            <c:numRef>
              <c:f>MODEL_INTERACTIONS!$S$22:$S$30</c:f>
              <c:numCache>
                <c:formatCode>General</c:formatCode>
                <c:ptCount val="9"/>
                <c:pt idx="0">
                  <c:v>#N/A</c:v>
                </c:pt>
                <c:pt idx="1">
                  <c:v>#N/A</c:v>
                </c:pt>
                <c:pt idx="2">
                  <c:v>#N/A</c:v>
                </c:pt>
                <c:pt idx="3">
                  <c:v>#N/A</c:v>
                </c:pt>
                <c:pt idx="4">
                  <c:v>#N/A</c:v>
                </c:pt>
                <c:pt idx="5">
                  <c:v>#N/A</c:v>
                </c:pt>
                <c:pt idx="6">
                  <c:v>#N/A</c:v>
                </c:pt>
                <c:pt idx="7">
                  <c:v>#N/A</c:v>
                </c:pt>
                <c:pt idx="8">
                  <c:v>#N/A</c:v>
                </c:pt>
              </c:numCache>
            </c:numRef>
          </c:yVal>
          <c:smooth val="0"/>
          <c:extLst>
            <c:ext xmlns:c16="http://schemas.microsoft.com/office/drawing/2014/chart" uri="{C3380CC4-5D6E-409C-BE32-E72D297353CC}">
              <c16:uniqueId val="{00000004-73FF-4927-91CC-4A0A1C37764C}"/>
            </c:ext>
          </c:extLst>
        </c:ser>
        <c:ser>
          <c:idx val="5"/>
          <c:order val="4"/>
          <c:tx>
            <c:strRef>
              <c:f>MODEL_INTERACTIONS!$T$31</c:f>
              <c:strCache>
                <c:ptCount val="1"/>
                <c:pt idx="0">
                  <c:v>#N/D</c:v>
                </c:pt>
              </c:strCache>
            </c:strRef>
          </c:tx>
          <c:spPr>
            <a:ln w="25400" cap="rnd">
              <a:solidFill>
                <a:schemeClr val="accent6"/>
              </a:solidFill>
              <a:round/>
            </a:ln>
            <a:effectLst/>
          </c:spPr>
          <c:marker>
            <c:symbol val="plus"/>
            <c:size val="8"/>
            <c:spPr>
              <a:noFill/>
              <a:ln w="12700">
                <a:solidFill>
                  <a:schemeClr val="accent6"/>
                </a:solidFill>
              </a:ln>
              <a:effectLst/>
            </c:spPr>
          </c:marker>
          <c:dLbls>
            <c:dLbl>
              <c:idx val="0"/>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5A6B-436A-8668-2DB874229712}"/>
                </c:ext>
              </c:extLst>
            </c:dLbl>
            <c:spPr>
              <a:noFill/>
              <a:ln>
                <a:noFill/>
              </a:ln>
              <a:effectLst/>
            </c:spPr>
            <c:txPr>
              <a:bodyPr rot="0" spcFirstLastPara="1" vertOverflow="ellipsis" vert="horz" wrap="square" anchor="ctr" anchorCtr="1"/>
              <a:lstStyle/>
              <a:p>
                <a:pPr>
                  <a:defRPr sz="1200" b="0" i="0" u="none" strike="noStrike" kern="1200" baseline="0">
                    <a:solidFill>
                      <a:schemeClr val="accent6"/>
                    </a:solidFill>
                    <a:latin typeface="+mn-lt"/>
                    <a:ea typeface="+mn-ea"/>
                    <a:cs typeface="+mn-cs"/>
                  </a:defRPr>
                </a:pPr>
                <a:endParaRPr lang="es-E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MODEL_INTERACTIONS!$O$22:$O$30</c:f>
              <c:numCache>
                <c:formatCode>General</c:formatCode>
                <c:ptCount val="9"/>
                <c:pt idx="0">
                  <c:v>-1</c:v>
                </c:pt>
                <c:pt idx="1">
                  <c:v>1</c:v>
                </c:pt>
                <c:pt idx="2">
                  <c:v>#N/A</c:v>
                </c:pt>
                <c:pt idx="3">
                  <c:v>#N/A</c:v>
                </c:pt>
                <c:pt idx="4">
                  <c:v>#N/A</c:v>
                </c:pt>
                <c:pt idx="5">
                  <c:v>#N/A</c:v>
                </c:pt>
                <c:pt idx="6">
                  <c:v>#N/A</c:v>
                </c:pt>
                <c:pt idx="7">
                  <c:v>#N/A</c:v>
                </c:pt>
                <c:pt idx="8">
                  <c:v>#N/A</c:v>
                </c:pt>
              </c:numCache>
            </c:numRef>
          </c:xVal>
          <c:yVal>
            <c:numRef>
              <c:f>MODEL_INTERACTIONS!$T$22:$T$30</c:f>
              <c:numCache>
                <c:formatCode>General</c:formatCode>
                <c:ptCount val="9"/>
                <c:pt idx="0">
                  <c:v>#N/A</c:v>
                </c:pt>
                <c:pt idx="1">
                  <c:v>#N/A</c:v>
                </c:pt>
                <c:pt idx="2">
                  <c:v>#N/A</c:v>
                </c:pt>
                <c:pt idx="3">
                  <c:v>#N/A</c:v>
                </c:pt>
                <c:pt idx="4">
                  <c:v>#N/A</c:v>
                </c:pt>
                <c:pt idx="5">
                  <c:v>#N/A</c:v>
                </c:pt>
                <c:pt idx="6">
                  <c:v>#N/A</c:v>
                </c:pt>
                <c:pt idx="7">
                  <c:v>#N/A</c:v>
                </c:pt>
                <c:pt idx="8">
                  <c:v>#N/A</c:v>
                </c:pt>
              </c:numCache>
            </c:numRef>
          </c:yVal>
          <c:smooth val="0"/>
          <c:extLst>
            <c:ext xmlns:c16="http://schemas.microsoft.com/office/drawing/2014/chart" uri="{C3380CC4-5D6E-409C-BE32-E72D297353CC}">
              <c16:uniqueId val="{00000005-73FF-4927-91CC-4A0A1C37764C}"/>
            </c:ext>
          </c:extLst>
        </c:ser>
        <c:ser>
          <c:idx val="6"/>
          <c:order val="5"/>
          <c:tx>
            <c:strRef>
              <c:f>MODEL_INTERACTIONS!$U$31</c:f>
              <c:strCache>
                <c:ptCount val="1"/>
                <c:pt idx="0">
                  <c:v>#N/D</c:v>
                </c:pt>
              </c:strCache>
            </c:strRef>
          </c:tx>
          <c:spPr>
            <a:ln w="25400" cap="rnd">
              <a:solidFill>
                <a:schemeClr val="accent1">
                  <a:lumMod val="60000"/>
                </a:schemeClr>
              </a:solidFill>
              <a:round/>
            </a:ln>
            <a:effectLst/>
          </c:spPr>
          <c:marker>
            <c:symbol val="plus"/>
            <c:size val="8"/>
            <c:spPr>
              <a:noFill/>
              <a:ln w="12700">
                <a:solidFill>
                  <a:schemeClr val="accent1">
                    <a:lumMod val="60000"/>
                  </a:schemeClr>
                </a:solidFill>
              </a:ln>
              <a:effectLst/>
            </c:spPr>
          </c:marker>
          <c:dLbls>
            <c:dLbl>
              <c:idx val="0"/>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5A6B-436A-8668-2DB874229712}"/>
                </c:ext>
              </c:extLst>
            </c:dLbl>
            <c:spPr>
              <a:noFill/>
              <a:ln>
                <a:noFill/>
              </a:ln>
              <a:effectLst/>
            </c:spPr>
            <c:txPr>
              <a:bodyPr rot="0" spcFirstLastPara="1" vertOverflow="ellipsis" vert="horz" wrap="square" anchor="ctr" anchorCtr="1"/>
              <a:lstStyle/>
              <a:p>
                <a:pPr>
                  <a:defRPr sz="1200" b="0" i="0" u="none" strike="noStrike" kern="1200" baseline="0">
                    <a:solidFill>
                      <a:schemeClr val="accent1">
                        <a:lumMod val="50000"/>
                      </a:schemeClr>
                    </a:solidFill>
                    <a:latin typeface="+mn-lt"/>
                    <a:ea typeface="+mn-ea"/>
                    <a:cs typeface="+mn-cs"/>
                  </a:defRPr>
                </a:pPr>
                <a:endParaRPr lang="es-E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MODEL_INTERACTIONS!$O$22:$O$30</c:f>
              <c:numCache>
                <c:formatCode>General</c:formatCode>
                <c:ptCount val="9"/>
                <c:pt idx="0">
                  <c:v>-1</c:v>
                </c:pt>
                <c:pt idx="1">
                  <c:v>1</c:v>
                </c:pt>
                <c:pt idx="2">
                  <c:v>#N/A</c:v>
                </c:pt>
                <c:pt idx="3">
                  <c:v>#N/A</c:v>
                </c:pt>
                <c:pt idx="4">
                  <c:v>#N/A</c:v>
                </c:pt>
                <c:pt idx="5">
                  <c:v>#N/A</c:v>
                </c:pt>
                <c:pt idx="6">
                  <c:v>#N/A</c:v>
                </c:pt>
                <c:pt idx="7">
                  <c:v>#N/A</c:v>
                </c:pt>
                <c:pt idx="8">
                  <c:v>#N/A</c:v>
                </c:pt>
              </c:numCache>
            </c:numRef>
          </c:xVal>
          <c:yVal>
            <c:numRef>
              <c:f>MODEL_INTERACTIONS!$U$22:$U$30</c:f>
              <c:numCache>
                <c:formatCode>General</c:formatCode>
                <c:ptCount val="9"/>
                <c:pt idx="0">
                  <c:v>#N/A</c:v>
                </c:pt>
                <c:pt idx="1">
                  <c:v>#N/A</c:v>
                </c:pt>
                <c:pt idx="2">
                  <c:v>#N/A</c:v>
                </c:pt>
                <c:pt idx="3">
                  <c:v>#N/A</c:v>
                </c:pt>
                <c:pt idx="4">
                  <c:v>#N/A</c:v>
                </c:pt>
                <c:pt idx="5">
                  <c:v>#N/A</c:v>
                </c:pt>
                <c:pt idx="6">
                  <c:v>#N/A</c:v>
                </c:pt>
                <c:pt idx="7">
                  <c:v>#N/A</c:v>
                </c:pt>
                <c:pt idx="8">
                  <c:v>#N/A</c:v>
                </c:pt>
              </c:numCache>
            </c:numRef>
          </c:yVal>
          <c:smooth val="0"/>
          <c:extLst>
            <c:ext xmlns:c16="http://schemas.microsoft.com/office/drawing/2014/chart" uri="{C3380CC4-5D6E-409C-BE32-E72D297353CC}">
              <c16:uniqueId val="{00000006-73FF-4927-91CC-4A0A1C37764C}"/>
            </c:ext>
          </c:extLst>
        </c:ser>
        <c:ser>
          <c:idx val="7"/>
          <c:order val="6"/>
          <c:tx>
            <c:strRef>
              <c:f>MODEL_INTERACTIONS!$V$31</c:f>
              <c:strCache>
                <c:ptCount val="1"/>
                <c:pt idx="0">
                  <c:v>#N/D</c:v>
                </c:pt>
              </c:strCache>
            </c:strRef>
          </c:tx>
          <c:spPr>
            <a:ln w="25400" cap="rnd">
              <a:solidFill>
                <a:schemeClr val="accent2">
                  <a:lumMod val="60000"/>
                </a:schemeClr>
              </a:solidFill>
              <a:round/>
            </a:ln>
            <a:effectLst/>
          </c:spPr>
          <c:marker>
            <c:symbol val="plus"/>
            <c:size val="8"/>
            <c:spPr>
              <a:noFill/>
              <a:ln w="12700">
                <a:solidFill>
                  <a:schemeClr val="accent2">
                    <a:lumMod val="60000"/>
                  </a:schemeClr>
                </a:solidFill>
              </a:ln>
              <a:effectLst/>
            </c:spPr>
          </c:marker>
          <c:dLbls>
            <c:dLbl>
              <c:idx val="0"/>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5A6B-436A-8668-2DB874229712}"/>
                </c:ext>
              </c:extLst>
            </c:dLbl>
            <c:spPr>
              <a:noFill/>
              <a:ln>
                <a:noFill/>
              </a:ln>
              <a:effectLst/>
            </c:spPr>
            <c:txPr>
              <a:bodyPr rot="0" spcFirstLastPara="1" vertOverflow="ellipsis" vert="horz" wrap="square" anchor="ctr" anchorCtr="1"/>
              <a:lstStyle/>
              <a:p>
                <a:pPr>
                  <a:defRPr sz="1200" b="0" i="0" u="none" strike="noStrike" kern="1200" baseline="0">
                    <a:solidFill>
                      <a:schemeClr val="accent2">
                        <a:lumMod val="50000"/>
                      </a:schemeClr>
                    </a:solidFill>
                    <a:latin typeface="+mn-lt"/>
                    <a:ea typeface="+mn-ea"/>
                    <a:cs typeface="+mn-cs"/>
                  </a:defRPr>
                </a:pPr>
                <a:endParaRPr lang="es-E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MODEL_INTERACTIONS!$O$22:$O$30</c:f>
              <c:numCache>
                <c:formatCode>General</c:formatCode>
                <c:ptCount val="9"/>
                <c:pt idx="0">
                  <c:v>-1</c:v>
                </c:pt>
                <c:pt idx="1">
                  <c:v>1</c:v>
                </c:pt>
                <c:pt idx="2">
                  <c:v>#N/A</c:v>
                </c:pt>
                <c:pt idx="3">
                  <c:v>#N/A</c:v>
                </c:pt>
                <c:pt idx="4">
                  <c:v>#N/A</c:v>
                </c:pt>
                <c:pt idx="5">
                  <c:v>#N/A</c:v>
                </c:pt>
                <c:pt idx="6">
                  <c:v>#N/A</c:v>
                </c:pt>
                <c:pt idx="7">
                  <c:v>#N/A</c:v>
                </c:pt>
                <c:pt idx="8">
                  <c:v>#N/A</c:v>
                </c:pt>
              </c:numCache>
            </c:numRef>
          </c:xVal>
          <c:yVal>
            <c:numRef>
              <c:f>MODEL_INTERACTIONS!$V$22:$V$30</c:f>
              <c:numCache>
                <c:formatCode>General</c:formatCode>
                <c:ptCount val="9"/>
                <c:pt idx="0">
                  <c:v>#N/A</c:v>
                </c:pt>
                <c:pt idx="1">
                  <c:v>#N/A</c:v>
                </c:pt>
                <c:pt idx="2">
                  <c:v>#N/A</c:v>
                </c:pt>
                <c:pt idx="3">
                  <c:v>#N/A</c:v>
                </c:pt>
                <c:pt idx="4">
                  <c:v>#N/A</c:v>
                </c:pt>
                <c:pt idx="5">
                  <c:v>#N/A</c:v>
                </c:pt>
                <c:pt idx="6">
                  <c:v>#N/A</c:v>
                </c:pt>
                <c:pt idx="7">
                  <c:v>#N/A</c:v>
                </c:pt>
                <c:pt idx="8">
                  <c:v>#N/A</c:v>
                </c:pt>
              </c:numCache>
            </c:numRef>
          </c:yVal>
          <c:smooth val="0"/>
          <c:extLst>
            <c:ext xmlns:c16="http://schemas.microsoft.com/office/drawing/2014/chart" uri="{C3380CC4-5D6E-409C-BE32-E72D297353CC}">
              <c16:uniqueId val="{00000007-73FF-4927-91CC-4A0A1C37764C}"/>
            </c:ext>
          </c:extLst>
        </c:ser>
        <c:ser>
          <c:idx val="8"/>
          <c:order val="7"/>
          <c:tx>
            <c:strRef>
              <c:f>MODEL_INTERACTIONS!$W$31</c:f>
              <c:strCache>
                <c:ptCount val="1"/>
                <c:pt idx="0">
                  <c:v>#N/D</c:v>
                </c:pt>
              </c:strCache>
            </c:strRef>
          </c:tx>
          <c:spPr>
            <a:ln w="25400" cap="rnd">
              <a:solidFill>
                <a:schemeClr val="accent3">
                  <a:lumMod val="60000"/>
                </a:schemeClr>
              </a:solidFill>
              <a:round/>
            </a:ln>
            <a:effectLst/>
          </c:spPr>
          <c:marker>
            <c:symbol val="plus"/>
            <c:size val="8"/>
            <c:spPr>
              <a:noFill/>
              <a:ln w="12700">
                <a:solidFill>
                  <a:schemeClr val="accent3">
                    <a:lumMod val="60000"/>
                  </a:schemeClr>
                </a:solidFill>
              </a:ln>
              <a:effectLst/>
            </c:spPr>
          </c:marker>
          <c:dLbls>
            <c:dLbl>
              <c:idx val="0"/>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5A6B-436A-8668-2DB874229712}"/>
                </c:ext>
              </c:extLst>
            </c:dLbl>
            <c:spPr>
              <a:noFill/>
              <a:ln>
                <a:noFill/>
              </a:ln>
              <a:effectLst/>
            </c:spPr>
            <c:txPr>
              <a:bodyPr rot="0" spcFirstLastPara="1" vertOverflow="ellipsis" vert="horz" wrap="square" anchor="ctr" anchorCtr="1"/>
              <a:lstStyle/>
              <a:p>
                <a:pPr>
                  <a:defRPr sz="1200" b="0" i="0" u="none" strike="noStrike" kern="1200" baseline="0">
                    <a:solidFill>
                      <a:schemeClr val="accent3">
                        <a:lumMod val="50000"/>
                      </a:schemeClr>
                    </a:solidFill>
                    <a:latin typeface="+mn-lt"/>
                    <a:ea typeface="+mn-ea"/>
                    <a:cs typeface="+mn-cs"/>
                  </a:defRPr>
                </a:pPr>
                <a:endParaRPr lang="es-E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MODEL_INTERACTIONS!$O$22:$O$30</c:f>
              <c:numCache>
                <c:formatCode>General</c:formatCode>
                <c:ptCount val="9"/>
                <c:pt idx="0">
                  <c:v>-1</c:v>
                </c:pt>
                <c:pt idx="1">
                  <c:v>1</c:v>
                </c:pt>
                <c:pt idx="2">
                  <c:v>#N/A</c:v>
                </c:pt>
                <c:pt idx="3">
                  <c:v>#N/A</c:v>
                </c:pt>
                <c:pt idx="4">
                  <c:v>#N/A</c:v>
                </c:pt>
                <c:pt idx="5">
                  <c:v>#N/A</c:v>
                </c:pt>
                <c:pt idx="6">
                  <c:v>#N/A</c:v>
                </c:pt>
                <c:pt idx="7">
                  <c:v>#N/A</c:v>
                </c:pt>
                <c:pt idx="8">
                  <c:v>#N/A</c:v>
                </c:pt>
              </c:numCache>
            </c:numRef>
          </c:xVal>
          <c:yVal>
            <c:numRef>
              <c:f>MODEL_INTERACTIONS!$W$22:$W$30</c:f>
              <c:numCache>
                <c:formatCode>General</c:formatCode>
                <c:ptCount val="9"/>
                <c:pt idx="0">
                  <c:v>#N/A</c:v>
                </c:pt>
                <c:pt idx="1">
                  <c:v>#N/A</c:v>
                </c:pt>
                <c:pt idx="2">
                  <c:v>#N/A</c:v>
                </c:pt>
                <c:pt idx="3">
                  <c:v>#N/A</c:v>
                </c:pt>
                <c:pt idx="4">
                  <c:v>#N/A</c:v>
                </c:pt>
                <c:pt idx="5">
                  <c:v>#N/A</c:v>
                </c:pt>
                <c:pt idx="6">
                  <c:v>#N/A</c:v>
                </c:pt>
                <c:pt idx="7">
                  <c:v>#N/A</c:v>
                </c:pt>
                <c:pt idx="8">
                  <c:v>#N/A</c:v>
                </c:pt>
              </c:numCache>
            </c:numRef>
          </c:yVal>
          <c:smooth val="0"/>
          <c:extLst>
            <c:ext xmlns:c16="http://schemas.microsoft.com/office/drawing/2014/chart" uri="{C3380CC4-5D6E-409C-BE32-E72D297353CC}">
              <c16:uniqueId val="{00000008-73FF-4927-91CC-4A0A1C37764C}"/>
            </c:ext>
          </c:extLst>
        </c:ser>
        <c:ser>
          <c:idx val="9"/>
          <c:order val="8"/>
          <c:tx>
            <c:strRef>
              <c:f>MODEL_INTERACTIONS!$X$31</c:f>
              <c:strCache>
                <c:ptCount val="1"/>
                <c:pt idx="0">
                  <c:v>#N/D</c:v>
                </c:pt>
              </c:strCache>
            </c:strRef>
          </c:tx>
          <c:spPr>
            <a:ln w="25400" cap="rnd">
              <a:solidFill>
                <a:schemeClr val="accent4">
                  <a:lumMod val="60000"/>
                </a:schemeClr>
              </a:solidFill>
              <a:round/>
            </a:ln>
            <a:effectLst/>
          </c:spPr>
          <c:marker>
            <c:symbol val="plus"/>
            <c:size val="8"/>
            <c:spPr>
              <a:noFill/>
              <a:ln w="12700">
                <a:solidFill>
                  <a:schemeClr val="accent4">
                    <a:lumMod val="60000"/>
                  </a:schemeClr>
                </a:solidFill>
              </a:ln>
              <a:effectLst/>
            </c:spPr>
          </c:marker>
          <c:dLbls>
            <c:dLbl>
              <c:idx val="0"/>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5A6B-436A-8668-2DB874229712}"/>
                </c:ext>
              </c:extLst>
            </c:dLbl>
            <c:spPr>
              <a:noFill/>
              <a:ln>
                <a:noFill/>
              </a:ln>
              <a:effectLst/>
            </c:spPr>
            <c:txPr>
              <a:bodyPr rot="0" spcFirstLastPara="1" vertOverflow="ellipsis" vert="horz" wrap="square" anchor="ctr" anchorCtr="1"/>
              <a:lstStyle/>
              <a:p>
                <a:pPr>
                  <a:defRPr sz="1200" b="0" i="0" u="none" strike="noStrike" kern="1200" baseline="0">
                    <a:solidFill>
                      <a:schemeClr val="accent4">
                        <a:lumMod val="50000"/>
                      </a:schemeClr>
                    </a:solidFill>
                    <a:latin typeface="+mn-lt"/>
                    <a:ea typeface="+mn-ea"/>
                    <a:cs typeface="+mn-cs"/>
                  </a:defRPr>
                </a:pPr>
                <a:endParaRPr lang="es-E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MODEL_INTERACTIONS!$O$22:$O$30</c:f>
              <c:numCache>
                <c:formatCode>General</c:formatCode>
                <c:ptCount val="9"/>
                <c:pt idx="0">
                  <c:v>-1</c:v>
                </c:pt>
                <c:pt idx="1">
                  <c:v>1</c:v>
                </c:pt>
                <c:pt idx="2">
                  <c:v>#N/A</c:v>
                </c:pt>
                <c:pt idx="3">
                  <c:v>#N/A</c:v>
                </c:pt>
                <c:pt idx="4">
                  <c:v>#N/A</c:v>
                </c:pt>
                <c:pt idx="5">
                  <c:v>#N/A</c:v>
                </c:pt>
                <c:pt idx="6">
                  <c:v>#N/A</c:v>
                </c:pt>
                <c:pt idx="7">
                  <c:v>#N/A</c:v>
                </c:pt>
                <c:pt idx="8">
                  <c:v>#N/A</c:v>
                </c:pt>
              </c:numCache>
            </c:numRef>
          </c:xVal>
          <c:yVal>
            <c:numRef>
              <c:f>MODEL_INTERACTIONS!$X$22:$X$30</c:f>
              <c:numCache>
                <c:formatCode>General</c:formatCode>
                <c:ptCount val="9"/>
                <c:pt idx="0">
                  <c:v>#N/A</c:v>
                </c:pt>
                <c:pt idx="1">
                  <c:v>#N/A</c:v>
                </c:pt>
                <c:pt idx="2">
                  <c:v>#N/A</c:v>
                </c:pt>
                <c:pt idx="3">
                  <c:v>#N/A</c:v>
                </c:pt>
                <c:pt idx="4">
                  <c:v>#N/A</c:v>
                </c:pt>
                <c:pt idx="5">
                  <c:v>#N/A</c:v>
                </c:pt>
                <c:pt idx="6">
                  <c:v>#N/A</c:v>
                </c:pt>
                <c:pt idx="7">
                  <c:v>#N/A</c:v>
                </c:pt>
                <c:pt idx="8">
                  <c:v>#N/A</c:v>
                </c:pt>
              </c:numCache>
            </c:numRef>
          </c:yVal>
          <c:smooth val="0"/>
          <c:extLst>
            <c:ext xmlns:c16="http://schemas.microsoft.com/office/drawing/2014/chart" uri="{C3380CC4-5D6E-409C-BE32-E72D297353CC}">
              <c16:uniqueId val="{00000009-73FF-4927-91CC-4A0A1C37764C}"/>
            </c:ext>
          </c:extLst>
        </c:ser>
        <c:ser>
          <c:idx val="0"/>
          <c:order val="9"/>
          <c:spPr>
            <a:ln w="19050" cap="rnd">
              <a:solidFill>
                <a:schemeClr val="accent1"/>
              </a:solidFill>
              <a:round/>
            </a:ln>
            <a:effectLst/>
          </c:spPr>
          <c:marker>
            <c:symbol val="none"/>
          </c:marker>
          <c:xVal>
            <c:numRef>
              <c:f>MODEL_INTERACTIONS!$J$8:$J$9</c:f>
              <c:numCache>
                <c:formatCode>General</c:formatCode>
                <c:ptCount val="2"/>
                <c:pt idx="0">
                  <c:v>0</c:v>
                </c:pt>
                <c:pt idx="1">
                  <c:v>0</c:v>
                </c:pt>
              </c:numCache>
            </c:numRef>
          </c:xVal>
          <c:yVal>
            <c:numRef>
              <c:f>MODEL_INTERACTIONS!$K$8:$K$9</c:f>
              <c:numCache>
                <c:formatCode>General</c:formatCode>
                <c:ptCount val="2"/>
                <c:pt idx="0">
                  <c:v>3.8313652687499999</c:v>
                </c:pt>
                <c:pt idx="1">
                  <c:v>8.9268260187500008</c:v>
                </c:pt>
              </c:numCache>
            </c:numRef>
          </c:yVal>
          <c:smooth val="0"/>
          <c:extLst>
            <c:ext xmlns:c16="http://schemas.microsoft.com/office/drawing/2014/chart" uri="{C3380CC4-5D6E-409C-BE32-E72D297353CC}">
              <c16:uniqueId val="{0000000A-73FF-4927-91CC-4A0A1C37764C}"/>
            </c:ext>
          </c:extLst>
        </c:ser>
        <c:dLbls>
          <c:showLegendKey val="0"/>
          <c:showVal val="0"/>
          <c:showCatName val="0"/>
          <c:showSerName val="0"/>
          <c:showPercent val="0"/>
          <c:showBubbleSize val="0"/>
        </c:dLbls>
        <c:axId val="673249359"/>
        <c:axId val="673248111"/>
      </c:scatterChart>
      <c:valAx>
        <c:axId val="673249359"/>
        <c:scaling>
          <c:orientation val="minMax"/>
        </c:scaling>
        <c:delete val="0"/>
        <c:axPos val="b"/>
        <c:majorGridlines>
          <c:spPr>
            <a:ln w="6350" cap="flat" cmpd="sng" algn="ctr">
              <a:solidFill>
                <a:srgbClr val="A5A5A5">
                  <a:lumMod val="40000"/>
                  <a:lumOff val="60000"/>
                </a:srgb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ES"/>
          </a:p>
        </c:txPr>
        <c:crossAx val="673248111"/>
        <c:crosses val="autoZero"/>
        <c:crossBetween val="midCat"/>
      </c:valAx>
      <c:valAx>
        <c:axId val="673248111"/>
        <c:scaling>
          <c:orientation val="minMax"/>
        </c:scaling>
        <c:delete val="0"/>
        <c:axPos val="l"/>
        <c:majorGridlines>
          <c:spPr>
            <a:ln w="6350" cap="flat" cmpd="sng" algn="ctr">
              <a:solidFill>
                <a:srgbClr val="A5A5A5">
                  <a:lumMod val="40000"/>
                  <a:lumOff val="60000"/>
                </a:srgb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ES"/>
          </a:p>
        </c:txPr>
        <c:crossAx val="673249359"/>
        <c:crosses val="autoZero"/>
        <c:crossBetween val="midCat"/>
      </c:valAx>
      <c:spPr>
        <a:noFill/>
        <a:ln>
          <a:noFill/>
        </a:ln>
        <a:effectLst/>
      </c:spPr>
    </c:plotArea>
    <c:plotVisOnly val="0"/>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pPr>
      <a:endParaRPr lang="es-ES"/>
    </a:p>
  </c:txPr>
  <c:printSettings>
    <c:headerFooter/>
    <c:pageMargins b="0.75" l="0.7" r="0.7" t="0.75" header="0.3" footer="0.3"/>
    <c:pageSetup/>
  </c:printSettings>
  <c:userShapes r:id="rId4"/>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MODEL_INTERACTIONS!$O$80</c:f>
          <c:strCache>
            <c:ptCount val="1"/>
            <c:pt idx="0">
              <c:v>AE</c:v>
            </c:pt>
          </c:strCache>
        </c:strRef>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6.8258136183646012E-2"/>
          <c:y val="0.16251989089599095"/>
          <c:w val="0.86301910272783533"/>
          <c:h val="0.6673615424811441"/>
        </c:manualLayout>
      </c:layout>
      <c:scatterChart>
        <c:scatterStyle val="lineMarker"/>
        <c:varyColors val="0"/>
        <c:ser>
          <c:idx val="1"/>
          <c:order val="0"/>
          <c:tx>
            <c:strRef>
              <c:f>MODEL_INTERACTIONS!$P$91</c:f>
              <c:strCache>
                <c:ptCount val="1"/>
                <c:pt idx="0">
                  <c:v>E = -1</c:v>
                </c:pt>
              </c:strCache>
            </c:strRef>
          </c:tx>
          <c:spPr>
            <a:ln w="25400" cap="rnd">
              <a:solidFill>
                <a:schemeClr val="accent2"/>
              </a:solidFill>
              <a:round/>
            </a:ln>
            <a:effectLst/>
          </c:spPr>
          <c:marker>
            <c:symbol val="plus"/>
            <c:size val="8"/>
            <c:spPr>
              <a:noFill/>
              <a:ln w="12700">
                <a:solidFill>
                  <a:schemeClr val="accent2"/>
                </a:solidFill>
              </a:ln>
              <a:effectLst/>
            </c:spPr>
          </c:marker>
          <c:dLbls>
            <c:dLbl>
              <c:idx val="0"/>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1-E511-42CC-93E1-BBFC9173B83C}"/>
                </c:ext>
              </c:extLst>
            </c:dLbl>
            <c:spPr>
              <a:noFill/>
              <a:ln>
                <a:noFill/>
              </a:ln>
              <a:effectLst/>
            </c:spPr>
            <c:txPr>
              <a:bodyPr rot="0" spcFirstLastPara="1" vertOverflow="ellipsis" vert="horz" wrap="square" anchor="ctr" anchorCtr="1"/>
              <a:lstStyle/>
              <a:p>
                <a:pPr>
                  <a:defRPr sz="1200" b="0" i="0" u="none" strike="noStrike" kern="1200" baseline="0">
                    <a:ln>
                      <a:noFill/>
                    </a:ln>
                    <a:solidFill>
                      <a:schemeClr val="accent2"/>
                    </a:solidFill>
                    <a:latin typeface="+mn-lt"/>
                    <a:ea typeface="+mn-ea"/>
                    <a:cs typeface="+mn-cs"/>
                  </a:defRPr>
                </a:pPr>
                <a:endParaRPr lang="es-E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MODEL_INTERACTIONS!$O$82:$O$90</c:f>
              <c:numCache>
                <c:formatCode>General</c:formatCode>
                <c:ptCount val="9"/>
                <c:pt idx="0">
                  <c:v>-1</c:v>
                </c:pt>
                <c:pt idx="1">
                  <c:v>1</c:v>
                </c:pt>
                <c:pt idx="2">
                  <c:v>#N/A</c:v>
                </c:pt>
                <c:pt idx="3">
                  <c:v>#N/A</c:v>
                </c:pt>
                <c:pt idx="4">
                  <c:v>#N/A</c:v>
                </c:pt>
                <c:pt idx="5">
                  <c:v>#N/A</c:v>
                </c:pt>
                <c:pt idx="6">
                  <c:v>#N/A</c:v>
                </c:pt>
                <c:pt idx="7">
                  <c:v>#N/A</c:v>
                </c:pt>
                <c:pt idx="8">
                  <c:v>#N/A</c:v>
                </c:pt>
              </c:numCache>
            </c:numRef>
          </c:xVal>
          <c:yVal>
            <c:numRef>
              <c:f>MODEL_INTERACTIONS!$P$82:$P$90</c:f>
              <c:numCache>
                <c:formatCode>General</c:formatCode>
                <c:ptCount val="9"/>
                <c:pt idx="0">
                  <c:v>6.416015581249999</c:v>
                </c:pt>
                <c:pt idx="1">
                  <c:v>4.62586214375</c:v>
                </c:pt>
                <c:pt idx="2">
                  <c:v>#N/A</c:v>
                </c:pt>
                <c:pt idx="3">
                  <c:v>#N/A</c:v>
                </c:pt>
                <c:pt idx="4">
                  <c:v>#N/A</c:v>
                </c:pt>
                <c:pt idx="5">
                  <c:v>#N/A</c:v>
                </c:pt>
                <c:pt idx="6">
                  <c:v>#N/A</c:v>
                </c:pt>
                <c:pt idx="7">
                  <c:v>#N/A</c:v>
                </c:pt>
                <c:pt idx="8">
                  <c:v>#N/A</c:v>
                </c:pt>
              </c:numCache>
            </c:numRef>
          </c:yVal>
          <c:smooth val="0"/>
          <c:extLst>
            <c:ext xmlns:c16="http://schemas.microsoft.com/office/drawing/2014/chart" uri="{C3380CC4-5D6E-409C-BE32-E72D297353CC}">
              <c16:uniqueId val="{00000001-73FF-4927-91CC-4A0A1C37764C}"/>
            </c:ext>
          </c:extLst>
        </c:ser>
        <c:ser>
          <c:idx val="2"/>
          <c:order val="1"/>
          <c:tx>
            <c:strRef>
              <c:f>MODEL_INTERACTIONS!$Q$91</c:f>
              <c:strCache>
                <c:ptCount val="1"/>
                <c:pt idx="0">
                  <c:v>E = 1</c:v>
                </c:pt>
              </c:strCache>
            </c:strRef>
          </c:tx>
          <c:spPr>
            <a:ln w="25400" cap="rnd">
              <a:solidFill>
                <a:srgbClr val="4472C4"/>
              </a:solidFill>
              <a:round/>
            </a:ln>
            <a:effectLst/>
          </c:spPr>
          <c:marker>
            <c:symbol val="plus"/>
            <c:size val="8"/>
            <c:spPr>
              <a:noFill/>
              <a:ln w="12700">
                <a:solidFill>
                  <a:srgbClr val="4472C4"/>
                </a:solidFill>
              </a:ln>
              <a:effectLst/>
            </c:spPr>
          </c:marker>
          <c:dLbls>
            <c:dLbl>
              <c:idx val="0"/>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E511-42CC-93E1-BBFC9173B83C}"/>
                </c:ext>
              </c:extLst>
            </c:dLbl>
            <c:spPr>
              <a:noFill/>
              <a:ln>
                <a:noFill/>
              </a:ln>
              <a:effectLst/>
            </c:spPr>
            <c:txPr>
              <a:bodyPr rot="0" spcFirstLastPara="1" vertOverflow="ellipsis" vert="horz" wrap="square" anchor="ctr" anchorCtr="1"/>
              <a:lstStyle/>
              <a:p>
                <a:pPr>
                  <a:defRPr sz="1200" b="0" i="0" u="none" strike="noStrike" kern="1200" baseline="0">
                    <a:solidFill>
                      <a:schemeClr val="accent1"/>
                    </a:solidFill>
                    <a:latin typeface="+mn-lt"/>
                    <a:ea typeface="+mn-ea"/>
                    <a:cs typeface="+mn-cs"/>
                  </a:defRPr>
                </a:pPr>
                <a:endParaRPr lang="es-E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MODEL_INTERACTIONS!$O$82:$O$90</c:f>
              <c:numCache>
                <c:formatCode>General</c:formatCode>
                <c:ptCount val="9"/>
                <c:pt idx="0">
                  <c:v>-1</c:v>
                </c:pt>
                <c:pt idx="1">
                  <c:v>1</c:v>
                </c:pt>
                <c:pt idx="2">
                  <c:v>#N/A</c:v>
                </c:pt>
                <c:pt idx="3">
                  <c:v>#N/A</c:v>
                </c:pt>
                <c:pt idx="4">
                  <c:v>#N/A</c:v>
                </c:pt>
                <c:pt idx="5">
                  <c:v>#N/A</c:v>
                </c:pt>
                <c:pt idx="6">
                  <c:v>#N/A</c:v>
                </c:pt>
                <c:pt idx="7">
                  <c:v>#N/A</c:v>
                </c:pt>
                <c:pt idx="8">
                  <c:v>#N/A</c:v>
                </c:pt>
              </c:numCache>
            </c:numRef>
          </c:xVal>
          <c:yVal>
            <c:numRef>
              <c:f>MODEL_INTERACTIONS!$Q$82:$Q$90</c:f>
              <c:numCache>
                <c:formatCode>General</c:formatCode>
                <c:ptCount val="9"/>
                <c:pt idx="0">
                  <c:v>6.5143287687499996</c:v>
                </c:pt>
                <c:pt idx="1">
                  <c:v>6.3995095500000003</c:v>
                </c:pt>
                <c:pt idx="2">
                  <c:v>#N/A</c:v>
                </c:pt>
                <c:pt idx="3">
                  <c:v>#N/A</c:v>
                </c:pt>
                <c:pt idx="4">
                  <c:v>#N/A</c:v>
                </c:pt>
                <c:pt idx="5">
                  <c:v>#N/A</c:v>
                </c:pt>
                <c:pt idx="6">
                  <c:v>#N/A</c:v>
                </c:pt>
                <c:pt idx="7">
                  <c:v>#N/A</c:v>
                </c:pt>
                <c:pt idx="8">
                  <c:v>#N/A</c:v>
                </c:pt>
              </c:numCache>
            </c:numRef>
          </c:yVal>
          <c:smooth val="0"/>
          <c:extLst>
            <c:ext xmlns:c16="http://schemas.microsoft.com/office/drawing/2014/chart" uri="{C3380CC4-5D6E-409C-BE32-E72D297353CC}">
              <c16:uniqueId val="{00000002-73FF-4927-91CC-4A0A1C37764C}"/>
            </c:ext>
          </c:extLst>
        </c:ser>
        <c:ser>
          <c:idx val="3"/>
          <c:order val="2"/>
          <c:tx>
            <c:strRef>
              <c:f>MODEL_INTERACTIONS!$R$91</c:f>
              <c:strCache>
                <c:ptCount val="1"/>
                <c:pt idx="0">
                  <c:v>#N/D</c:v>
                </c:pt>
              </c:strCache>
            </c:strRef>
          </c:tx>
          <c:spPr>
            <a:ln w="25400" cap="rnd">
              <a:solidFill>
                <a:schemeClr val="accent4"/>
              </a:solidFill>
              <a:round/>
            </a:ln>
            <a:effectLst/>
          </c:spPr>
          <c:marker>
            <c:symbol val="plus"/>
            <c:size val="8"/>
            <c:spPr>
              <a:noFill/>
              <a:ln w="12700">
                <a:solidFill>
                  <a:schemeClr val="accent4"/>
                </a:solidFill>
              </a:ln>
              <a:effectLst/>
            </c:spPr>
          </c:marker>
          <c:dLbls>
            <c:dLbl>
              <c:idx val="0"/>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8536-4E8C-9B90-4669E5AE76FA}"/>
                </c:ext>
              </c:extLst>
            </c:dLbl>
            <c:spPr>
              <a:noFill/>
              <a:ln>
                <a:noFill/>
              </a:ln>
              <a:effectLst/>
            </c:spPr>
            <c:txPr>
              <a:bodyPr rot="0" spcFirstLastPara="1" vertOverflow="ellipsis" vert="horz" wrap="square" anchor="ctr" anchorCtr="1"/>
              <a:lstStyle/>
              <a:p>
                <a:pPr>
                  <a:defRPr sz="1200" b="0" i="0" u="none" strike="noStrike" kern="1200" baseline="0">
                    <a:solidFill>
                      <a:schemeClr val="accent4"/>
                    </a:solidFill>
                    <a:latin typeface="+mn-lt"/>
                    <a:ea typeface="+mn-ea"/>
                    <a:cs typeface="+mn-cs"/>
                  </a:defRPr>
                </a:pPr>
                <a:endParaRPr lang="es-E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MODEL_INTERACTIONS!$O$82:$O$90</c:f>
              <c:numCache>
                <c:formatCode>General</c:formatCode>
                <c:ptCount val="9"/>
                <c:pt idx="0">
                  <c:v>-1</c:v>
                </c:pt>
                <c:pt idx="1">
                  <c:v>1</c:v>
                </c:pt>
                <c:pt idx="2">
                  <c:v>#N/A</c:v>
                </c:pt>
                <c:pt idx="3">
                  <c:v>#N/A</c:v>
                </c:pt>
                <c:pt idx="4">
                  <c:v>#N/A</c:v>
                </c:pt>
                <c:pt idx="5">
                  <c:v>#N/A</c:v>
                </c:pt>
                <c:pt idx="6">
                  <c:v>#N/A</c:v>
                </c:pt>
                <c:pt idx="7">
                  <c:v>#N/A</c:v>
                </c:pt>
                <c:pt idx="8">
                  <c:v>#N/A</c:v>
                </c:pt>
              </c:numCache>
            </c:numRef>
          </c:xVal>
          <c:yVal>
            <c:numRef>
              <c:f>MODEL_INTERACTIONS!$R$82:$R$90</c:f>
              <c:numCache>
                <c:formatCode>General</c:formatCode>
                <c:ptCount val="9"/>
                <c:pt idx="0">
                  <c:v>#N/A</c:v>
                </c:pt>
                <c:pt idx="1">
                  <c:v>#N/A</c:v>
                </c:pt>
                <c:pt idx="2">
                  <c:v>#N/A</c:v>
                </c:pt>
                <c:pt idx="3">
                  <c:v>#N/A</c:v>
                </c:pt>
                <c:pt idx="4">
                  <c:v>#N/A</c:v>
                </c:pt>
                <c:pt idx="5">
                  <c:v>#N/A</c:v>
                </c:pt>
                <c:pt idx="6">
                  <c:v>#N/A</c:v>
                </c:pt>
                <c:pt idx="7">
                  <c:v>#N/A</c:v>
                </c:pt>
                <c:pt idx="8">
                  <c:v>#N/A</c:v>
                </c:pt>
              </c:numCache>
            </c:numRef>
          </c:yVal>
          <c:smooth val="0"/>
          <c:extLst>
            <c:ext xmlns:c16="http://schemas.microsoft.com/office/drawing/2014/chart" uri="{C3380CC4-5D6E-409C-BE32-E72D297353CC}">
              <c16:uniqueId val="{00000003-73FF-4927-91CC-4A0A1C37764C}"/>
            </c:ext>
          </c:extLst>
        </c:ser>
        <c:ser>
          <c:idx val="4"/>
          <c:order val="3"/>
          <c:tx>
            <c:strRef>
              <c:f>MODEL_INTERACTIONS!$S$91</c:f>
              <c:strCache>
                <c:ptCount val="1"/>
                <c:pt idx="0">
                  <c:v>#N/D</c:v>
                </c:pt>
              </c:strCache>
            </c:strRef>
          </c:tx>
          <c:spPr>
            <a:ln w="25400" cap="rnd">
              <a:solidFill>
                <a:schemeClr val="accent5"/>
              </a:solidFill>
              <a:round/>
            </a:ln>
            <a:effectLst/>
          </c:spPr>
          <c:marker>
            <c:symbol val="plus"/>
            <c:size val="8"/>
            <c:spPr>
              <a:noFill/>
              <a:ln w="12700">
                <a:solidFill>
                  <a:schemeClr val="accent5"/>
                </a:solidFill>
              </a:ln>
              <a:effectLst/>
            </c:spPr>
          </c:marker>
          <c:dLbls>
            <c:dLbl>
              <c:idx val="0"/>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1-8536-4E8C-9B90-4669E5AE76FA}"/>
                </c:ext>
              </c:extLst>
            </c:dLbl>
            <c:spPr>
              <a:noFill/>
              <a:ln>
                <a:noFill/>
              </a:ln>
              <a:effectLst/>
            </c:spPr>
            <c:txPr>
              <a:bodyPr rot="0" spcFirstLastPara="1" vertOverflow="ellipsis" vert="horz" wrap="square" anchor="ctr" anchorCtr="1"/>
              <a:lstStyle/>
              <a:p>
                <a:pPr>
                  <a:defRPr sz="1200" b="0" i="0" u="none" strike="noStrike" kern="1200" baseline="0">
                    <a:solidFill>
                      <a:schemeClr val="accent5"/>
                    </a:solidFill>
                    <a:latin typeface="+mn-lt"/>
                    <a:ea typeface="+mn-ea"/>
                    <a:cs typeface="+mn-cs"/>
                  </a:defRPr>
                </a:pPr>
                <a:endParaRPr lang="es-E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MODEL_INTERACTIONS!$O$82:$O$90</c:f>
              <c:numCache>
                <c:formatCode>General</c:formatCode>
                <c:ptCount val="9"/>
                <c:pt idx="0">
                  <c:v>-1</c:v>
                </c:pt>
                <c:pt idx="1">
                  <c:v>1</c:v>
                </c:pt>
                <c:pt idx="2">
                  <c:v>#N/A</c:v>
                </c:pt>
                <c:pt idx="3">
                  <c:v>#N/A</c:v>
                </c:pt>
                <c:pt idx="4">
                  <c:v>#N/A</c:v>
                </c:pt>
                <c:pt idx="5">
                  <c:v>#N/A</c:v>
                </c:pt>
                <c:pt idx="6">
                  <c:v>#N/A</c:v>
                </c:pt>
                <c:pt idx="7">
                  <c:v>#N/A</c:v>
                </c:pt>
                <c:pt idx="8">
                  <c:v>#N/A</c:v>
                </c:pt>
              </c:numCache>
            </c:numRef>
          </c:xVal>
          <c:yVal>
            <c:numRef>
              <c:f>MODEL_INTERACTIONS!$S$82:$S$90</c:f>
              <c:numCache>
                <c:formatCode>General</c:formatCode>
                <c:ptCount val="9"/>
                <c:pt idx="0">
                  <c:v>#N/A</c:v>
                </c:pt>
                <c:pt idx="1">
                  <c:v>#N/A</c:v>
                </c:pt>
                <c:pt idx="2">
                  <c:v>#N/A</c:v>
                </c:pt>
                <c:pt idx="3">
                  <c:v>#N/A</c:v>
                </c:pt>
                <c:pt idx="4">
                  <c:v>#N/A</c:v>
                </c:pt>
                <c:pt idx="5">
                  <c:v>#N/A</c:v>
                </c:pt>
                <c:pt idx="6">
                  <c:v>#N/A</c:v>
                </c:pt>
                <c:pt idx="7">
                  <c:v>#N/A</c:v>
                </c:pt>
                <c:pt idx="8">
                  <c:v>#N/A</c:v>
                </c:pt>
              </c:numCache>
            </c:numRef>
          </c:yVal>
          <c:smooth val="0"/>
          <c:extLst>
            <c:ext xmlns:c16="http://schemas.microsoft.com/office/drawing/2014/chart" uri="{C3380CC4-5D6E-409C-BE32-E72D297353CC}">
              <c16:uniqueId val="{00000004-73FF-4927-91CC-4A0A1C37764C}"/>
            </c:ext>
          </c:extLst>
        </c:ser>
        <c:ser>
          <c:idx val="5"/>
          <c:order val="4"/>
          <c:tx>
            <c:strRef>
              <c:f>MODEL_INTERACTIONS!$T$91</c:f>
              <c:strCache>
                <c:ptCount val="1"/>
                <c:pt idx="0">
                  <c:v>#N/D</c:v>
                </c:pt>
              </c:strCache>
            </c:strRef>
          </c:tx>
          <c:spPr>
            <a:ln w="25400" cap="rnd">
              <a:solidFill>
                <a:schemeClr val="accent6"/>
              </a:solidFill>
              <a:round/>
            </a:ln>
            <a:effectLst/>
          </c:spPr>
          <c:marker>
            <c:symbol val="plus"/>
            <c:size val="8"/>
            <c:spPr>
              <a:noFill/>
              <a:ln w="12700">
                <a:solidFill>
                  <a:schemeClr val="accent6"/>
                </a:solidFill>
              </a:ln>
              <a:effectLst/>
            </c:spPr>
          </c:marker>
          <c:dLbls>
            <c:dLbl>
              <c:idx val="0"/>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8536-4E8C-9B90-4669E5AE76FA}"/>
                </c:ext>
              </c:extLst>
            </c:dLbl>
            <c:spPr>
              <a:noFill/>
              <a:ln>
                <a:noFill/>
              </a:ln>
              <a:effectLst/>
            </c:spPr>
            <c:txPr>
              <a:bodyPr rot="0" spcFirstLastPara="1" vertOverflow="ellipsis" vert="horz" wrap="square" anchor="ctr" anchorCtr="1"/>
              <a:lstStyle/>
              <a:p>
                <a:pPr>
                  <a:defRPr sz="1200" b="0" i="0" u="none" strike="noStrike" kern="1200" baseline="0">
                    <a:solidFill>
                      <a:schemeClr val="accent6"/>
                    </a:solidFill>
                    <a:latin typeface="+mn-lt"/>
                    <a:ea typeface="+mn-ea"/>
                    <a:cs typeface="+mn-cs"/>
                  </a:defRPr>
                </a:pPr>
                <a:endParaRPr lang="es-E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MODEL_INTERACTIONS!$O$82:$O$90</c:f>
              <c:numCache>
                <c:formatCode>General</c:formatCode>
                <c:ptCount val="9"/>
                <c:pt idx="0">
                  <c:v>-1</c:v>
                </c:pt>
                <c:pt idx="1">
                  <c:v>1</c:v>
                </c:pt>
                <c:pt idx="2">
                  <c:v>#N/A</c:v>
                </c:pt>
                <c:pt idx="3">
                  <c:v>#N/A</c:v>
                </c:pt>
                <c:pt idx="4">
                  <c:v>#N/A</c:v>
                </c:pt>
                <c:pt idx="5">
                  <c:v>#N/A</c:v>
                </c:pt>
                <c:pt idx="6">
                  <c:v>#N/A</c:v>
                </c:pt>
                <c:pt idx="7">
                  <c:v>#N/A</c:v>
                </c:pt>
                <c:pt idx="8">
                  <c:v>#N/A</c:v>
                </c:pt>
              </c:numCache>
            </c:numRef>
          </c:xVal>
          <c:yVal>
            <c:numRef>
              <c:f>MODEL_INTERACTIONS!$T$82:$T$90</c:f>
              <c:numCache>
                <c:formatCode>General</c:formatCode>
                <c:ptCount val="9"/>
                <c:pt idx="0">
                  <c:v>#N/A</c:v>
                </c:pt>
                <c:pt idx="1">
                  <c:v>#N/A</c:v>
                </c:pt>
                <c:pt idx="2">
                  <c:v>#N/A</c:v>
                </c:pt>
                <c:pt idx="3">
                  <c:v>#N/A</c:v>
                </c:pt>
                <c:pt idx="4">
                  <c:v>#N/A</c:v>
                </c:pt>
                <c:pt idx="5">
                  <c:v>#N/A</c:v>
                </c:pt>
                <c:pt idx="6">
                  <c:v>#N/A</c:v>
                </c:pt>
                <c:pt idx="7">
                  <c:v>#N/A</c:v>
                </c:pt>
                <c:pt idx="8">
                  <c:v>#N/A</c:v>
                </c:pt>
              </c:numCache>
            </c:numRef>
          </c:yVal>
          <c:smooth val="0"/>
          <c:extLst>
            <c:ext xmlns:c16="http://schemas.microsoft.com/office/drawing/2014/chart" uri="{C3380CC4-5D6E-409C-BE32-E72D297353CC}">
              <c16:uniqueId val="{00000005-73FF-4927-91CC-4A0A1C37764C}"/>
            </c:ext>
          </c:extLst>
        </c:ser>
        <c:ser>
          <c:idx val="6"/>
          <c:order val="5"/>
          <c:tx>
            <c:strRef>
              <c:f>MODEL_INTERACTIONS!$U$91</c:f>
              <c:strCache>
                <c:ptCount val="1"/>
                <c:pt idx="0">
                  <c:v>#N/D</c:v>
                </c:pt>
              </c:strCache>
            </c:strRef>
          </c:tx>
          <c:spPr>
            <a:ln w="25400" cap="rnd">
              <a:solidFill>
                <a:schemeClr val="accent1">
                  <a:lumMod val="60000"/>
                </a:schemeClr>
              </a:solidFill>
              <a:round/>
            </a:ln>
            <a:effectLst/>
          </c:spPr>
          <c:marker>
            <c:symbol val="plus"/>
            <c:size val="8"/>
            <c:spPr>
              <a:noFill/>
              <a:ln w="12700">
                <a:solidFill>
                  <a:schemeClr val="accent1">
                    <a:lumMod val="60000"/>
                  </a:schemeClr>
                </a:solidFill>
              </a:ln>
              <a:effectLst/>
            </c:spPr>
          </c:marker>
          <c:dLbls>
            <c:dLbl>
              <c:idx val="0"/>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8536-4E8C-9B90-4669E5AE76FA}"/>
                </c:ext>
              </c:extLst>
            </c:dLbl>
            <c:spPr>
              <a:noFill/>
              <a:ln>
                <a:noFill/>
              </a:ln>
              <a:effectLst/>
            </c:spPr>
            <c:txPr>
              <a:bodyPr rot="0" spcFirstLastPara="1" vertOverflow="ellipsis" vert="horz" wrap="square" anchor="ctr" anchorCtr="1"/>
              <a:lstStyle/>
              <a:p>
                <a:pPr>
                  <a:defRPr sz="1200" b="0" i="0" u="none" strike="noStrike" kern="1200" baseline="0">
                    <a:solidFill>
                      <a:schemeClr val="accent1">
                        <a:lumMod val="50000"/>
                      </a:schemeClr>
                    </a:solidFill>
                    <a:latin typeface="+mn-lt"/>
                    <a:ea typeface="+mn-ea"/>
                    <a:cs typeface="+mn-cs"/>
                  </a:defRPr>
                </a:pPr>
                <a:endParaRPr lang="es-E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MODEL_INTERACTIONS!$O$82:$O$90</c:f>
              <c:numCache>
                <c:formatCode>General</c:formatCode>
                <c:ptCount val="9"/>
                <c:pt idx="0">
                  <c:v>-1</c:v>
                </c:pt>
                <c:pt idx="1">
                  <c:v>1</c:v>
                </c:pt>
                <c:pt idx="2">
                  <c:v>#N/A</c:v>
                </c:pt>
                <c:pt idx="3">
                  <c:v>#N/A</c:v>
                </c:pt>
                <c:pt idx="4">
                  <c:v>#N/A</c:v>
                </c:pt>
                <c:pt idx="5">
                  <c:v>#N/A</c:v>
                </c:pt>
                <c:pt idx="6">
                  <c:v>#N/A</c:v>
                </c:pt>
                <c:pt idx="7">
                  <c:v>#N/A</c:v>
                </c:pt>
                <c:pt idx="8">
                  <c:v>#N/A</c:v>
                </c:pt>
              </c:numCache>
            </c:numRef>
          </c:xVal>
          <c:yVal>
            <c:numRef>
              <c:f>MODEL_INTERACTIONS!$U$82:$U$90</c:f>
              <c:numCache>
                <c:formatCode>General</c:formatCode>
                <c:ptCount val="9"/>
                <c:pt idx="0">
                  <c:v>#N/A</c:v>
                </c:pt>
                <c:pt idx="1">
                  <c:v>#N/A</c:v>
                </c:pt>
                <c:pt idx="2">
                  <c:v>#N/A</c:v>
                </c:pt>
                <c:pt idx="3">
                  <c:v>#N/A</c:v>
                </c:pt>
                <c:pt idx="4">
                  <c:v>#N/A</c:v>
                </c:pt>
                <c:pt idx="5">
                  <c:v>#N/A</c:v>
                </c:pt>
                <c:pt idx="6">
                  <c:v>#N/A</c:v>
                </c:pt>
                <c:pt idx="7">
                  <c:v>#N/A</c:v>
                </c:pt>
                <c:pt idx="8">
                  <c:v>#N/A</c:v>
                </c:pt>
              </c:numCache>
            </c:numRef>
          </c:yVal>
          <c:smooth val="0"/>
          <c:extLst>
            <c:ext xmlns:c16="http://schemas.microsoft.com/office/drawing/2014/chart" uri="{C3380CC4-5D6E-409C-BE32-E72D297353CC}">
              <c16:uniqueId val="{00000006-73FF-4927-91CC-4A0A1C37764C}"/>
            </c:ext>
          </c:extLst>
        </c:ser>
        <c:ser>
          <c:idx val="7"/>
          <c:order val="6"/>
          <c:tx>
            <c:strRef>
              <c:f>MODEL_INTERACTIONS!$V$91</c:f>
              <c:strCache>
                <c:ptCount val="1"/>
                <c:pt idx="0">
                  <c:v>#N/D</c:v>
                </c:pt>
              </c:strCache>
            </c:strRef>
          </c:tx>
          <c:spPr>
            <a:ln w="25400" cap="rnd">
              <a:solidFill>
                <a:schemeClr val="accent2">
                  <a:lumMod val="60000"/>
                </a:schemeClr>
              </a:solidFill>
              <a:round/>
            </a:ln>
            <a:effectLst/>
          </c:spPr>
          <c:marker>
            <c:symbol val="plus"/>
            <c:size val="8"/>
            <c:spPr>
              <a:noFill/>
              <a:ln w="12700">
                <a:solidFill>
                  <a:schemeClr val="accent2">
                    <a:lumMod val="60000"/>
                  </a:schemeClr>
                </a:solidFill>
              </a:ln>
              <a:effectLst/>
            </c:spPr>
          </c:marker>
          <c:dLbls>
            <c:dLbl>
              <c:idx val="0"/>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8536-4E8C-9B90-4669E5AE76FA}"/>
                </c:ext>
              </c:extLst>
            </c:dLbl>
            <c:spPr>
              <a:noFill/>
              <a:ln>
                <a:noFill/>
              </a:ln>
              <a:effectLst/>
            </c:spPr>
            <c:txPr>
              <a:bodyPr rot="0" spcFirstLastPara="1" vertOverflow="ellipsis" vert="horz" wrap="square" anchor="ctr" anchorCtr="1"/>
              <a:lstStyle/>
              <a:p>
                <a:pPr>
                  <a:defRPr sz="1200" b="0" i="0" u="none" strike="noStrike" kern="1200" baseline="0">
                    <a:solidFill>
                      <a:schemeClr val="accent2">
                        <a:lumMod val="50000"/>
                      </a:schemeClr>
                    </a:solidFill>
                    <a:latin typeface="+mn-lt"/>
                    <a:ea typeface="+mn-ea"/>
                    <a:cs typeface="+mn-cs"/>
                  </a:defRPr>
                </a:pPr>
                <a:endParaRPr lang="es-E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MODEL_INTERACTIONS!$O$82:$O$90</c:f>
              <c:numCache>
                <c:formatCode>General</c:formatCode>
                <c:ptCount val="9"/>
                <c:pt idx="0">
                  <c:v>-1</c:v>
                </c:pt>
                <c:pt idx="1">
                  <c:v>1</c:v>
                </c:pt>
                <c:pt idx="2">
                  <c:v>#N/A</c:v>
                </c:pt>
                <c:pt idx="3">
                  <c:v>#N/A</c:v>
                </c:pt>
                <c:pt idx="4">
                  <c:v>#N/A</c:v>
                </c:pt>
                <c:pt idx="5">
                  <c:v>#N/A</c:v>
                </c:pt>
                <c:pt idx="6">
                  <c:v>#N/A</c:v>
                </c:pt>
                <c:pt idx="7">
                  <c:v>#N/A</c:v>
                </c:pt>
                <c:pt idx="8">
                  <c:v>#N/A</c:v>
                </c:pt>
              </c:numCache>
            </c:numRef>
          </c:xVal>
          <c:yVal>
            <c:numRef>
              <c:f>MODEL_INTERACTIONS!$V$82:$V$90</c:f>
              <c:numCache>
                <c:formatCode>General</c:formatCode>
                <c:ptCount val="9"/>
                <c:pt idx="0">
                  <c:v>#N/A</c:v>
                </c:pt>
                <c:pt idx="1">
                  <c:v>#N/A</c:v>
                </c:pt>
                <c:pt idx="2">
                  <c:v>#N/A</c:v>
                </c:pt>
                <c:pt idx="3">
                  <c:v>#N/A</c:v>
                </c:pt>
                <c:pt idx="4">
                  <c:v>#N/A</c:v>
                </c:pt>
                <c:pt idx="5">
                  <c:v>#N/A</c:v>
                </c:pt>
                <c:pt idx="6">
                  <c:v>#N/A</c:v>
                </c:pt>
                <c:pt idx="7">
                  <c:v>#N/A</c:v>
                </c:pt>
                <c:pt idx="8">
                  <c:v>#N/A</c:v>
                </c:pt>
              </c:numCache>
            </c:numRef>
          </c:yVal>
          <c:smooth val="0"/>
          <c:extLst>
            <c:ext xmlns:c16="http://schemas.microsoft.com/office/drawing/2014/chart" uri="{C3380CC4-5D6E-409C-BE32-E72D297353CC}">
              <c16:uniqueId val="{00000007-73FF-4927-91CC-4A0A1C37764C}"/>
            </c:ext>
          </c:extLst>
        </c:ser>
        <c:ser>
          <c:idx val="8"/>
          <c:order val="7"/>
          <c:tx>
            <c:strRef>
              <c:f>MODEL_INTERACTIONS!$W$91</c:f>
              <c:strCache>
                <c:ptCount val="1"/>
                <c:pt idx="0">
                  <c:v>#N/D</c:v>
                </c:pt>
              </c:strCache>
            </c:strRef>
          </c:tx>
          <c:spPr>
            <a:ln w="25400" cap="rnd">
              <a:solidFill>
                <a:schemeClr val="accent3">
                  <a:lumMod val="60000"/>
                </a:schemeClr>
              </a:solidFill>
              <a:round/>
            </a:ln>
            <a:effectLst/>
          </c:spPr>
          <c:marker>
            <c:symbol val="plus"/>
            <c:size val="8"/>
            <c:spPr>
              <a:noFill/>
              <a:ln w="12700">
                <a:solidFill>
                  <a:schemeClr val="accent3">
                    <a:lumMod val="60000"/>
                  </a:schemeClr>
                </a:solidFill>
              </a:ln>
              <a:effectLst/>
            </c:spPr>
          </c:marker>
          <c:dLbls>
            <c:dLbl>
              <c:idx val="0"/>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8536-4E8C-9B90-4669E5AE76FA}"/>
                </c:ext>
              </c:extLst>
            </c:dLbl>
            <c:spPr>
              <a:noFill/>
              <a:ln>
                <a:noFill/>
              </a:ln>
              <a:effectLst/>
            </c:spPr>
            <c:txPr>
              <a:bodyPr rot="0" spcFirstLastPara="1" vertOverflow="ellipsis" vert="horz" wrap="square" anchor="ctr" anchorCtr="1"/>
              <a:lstStyle/>
              <a:p>
                <a:pPr>
                  <a:defRPr sz="1200" b="0" i="0" u="none" strike="noStrike" kern="1200" baseline="0">
                    <a:solidFill>
                      <a:schemeClr val="accent3">
                        <a:lumMod val="50000"/>
                      </a:schemeClr>
                    </a:solidFill>
                    <a:latin typeface="+mn-lt"/>
                    <a:ea typeface="+mn-ea"/>
                    <a:cs typeface="+mn-cs"/>
                  </a:defRPr>
                </a:pPr>
                <a:endParaRPr lang="es-E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MODEL_INTERACTIONS!$O$82:$O$90</c:f>
              <c:numCache>
                <c:formatCode>General</c:formatCode>
                <c:ptCount val="9"/>
                <c:pt idx="0">
                  <c:v>-1</c:v>
                </c:pt>
                <c:pt idx="1">
                  <c:v>1</c:v>
                </c:pt>
                <c:pt idx="2">
                  <c:v>#N/A</c:v>
                </c:pt>
                <c:pt idx="3">
                  <c:v>#N/A</c:v>
                </c:pt>
                <c:pt idx="4">
                  <c:v>#N/A</c:v>
                </c:pt>
                <c:pt idx="5">
                  <c:v>#N/A</c:v>
                </c:pt>
                <c:pt idx="6">
                  <c:v>#N/A</c:v>
                </c:pt>
                <c:pt idx="7">
                  <c:v>#N/A</c:v>
                </c:pt>
                <c:pt idx="8">
                  <c:v>#N/A</c:v>
                </c:pt>
              </c:numCache>
            </c:numRef>
          </c:xVal>
          <c:yVal>
            <c:numRef>
              <c:f>MODEL_INTERACTIONS!$W$82:$W$90</c:f>
              <c:numCache>
                <c:formatCode>General</c:formatCode>
                <c:ptCount val="9"/>
                <c:pt idx="0">
                  <c:v>#N/A</c:v>
                </c:pt>
                <c:pt idx="1">
                  <c:v>#N/A</c:v>
                </c:pt>
                <c:pt idx="2">
                  <c:v>#N/A</c:v>
                </c:pt>
                <c:pt idx="3">
                  <c:v>#N/A</c:v>
                </c:pt>
                <c:pt idx="4">
                  <c:v>#N/A</c:v>
                </c:pt>
                <c:pt idx="5">
                  <c:v>#N/A</c:v>
                </c:pt>
                <c:pt idx="6">
                  <c:v>#N/A</c:v>
                </c:pt>
                <c:pt idx="7">
                  <c:v>#N/A</c:v>
                </c:pt>
                <c:pt idx="8">
                  <c:v>#N/A</c:v>
                </c:pt>
              </c:numCache>
            </c:numRef>
          </c:yVal>
          <c:smooth val="0"/>
          <c:extLst>
            <c:ext xmlns:c16="http://schemas.microsoft.com/office/drawing/2014/chart" uri="{C3380CC4-5D6E-409C-BE32-E72D297353CC}">
              <c16:uniqueId val="{00000008-73FF-4927-91CC-4A0A1C37764C}"/>
            </c:ext>
          </c:extLst>
        </c:ser>
        <c:ser>
          <c:idx val="9"/>
          <c:order val="8"/>
          <c:tx>
            <c:strRef>
              <c:f>MODEL_INTERACTIONS!$X$91</c:f>
              <c:strCache>
                <c:ptCount val="1"/>
                <c:pt idx="0">
                  <c:v>#N/D</c:v>
                </c:pt>
              </c:strCache>
            </c:strRef>
          </c:tx>
          <c:spPr>
            <a:ln w="25400" cap="rnd">
              <a:solidFill>
                <a:schemeClr val="accent4">
                  <a:lumMod val="60000"/>
                </a:schemeClr>
              </a:solidFill>
              <a:round/>
            </a:ln>
            <a:effectLst/>
          </c:spPr>
          <c:marker>
            <c:symbol val="plus"/>
            <c:size val="8"/>
            <c:spPr>
              <a:noFill/>
              <a:ln w="12700">
                <a:solidFill>
                  <a:schemeClr val="accent4">
                    <a:lumMod val="60000"/>
                  </a:schemeClr>
                </a:solidFill>
              </a:ln>
              <a:effectLst/>
            </c:spPr>
          </c:marker>
          <c:dLbls>
            <c:dLbl>
              <c:idx val="0"/>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8536-4E8C-9B90-4669E5AE76FA}"/>
                </c:ext>
              </c:extLst>
            </c:dLbl>
            <c:spPr>
              <a:noFill/>
              <a:ln>
                <a:noFill/>
              </a:ln>
              <a:effectLst/>
            </c:spPr>
            <c:txPr>
              <a:bodyPr rot="0" spcFirstLastPara="1" vertOverflow="ellipsis" vert="horz" wrap="square" anchor="ctr" anchorCtr="1"/>
              <a:lstStyle/>
              <a:p>
                <a:pPr>
                  <a:defRPr sz="1200" b="0" i="0" u="none" strike="noStrike" kern="1200" baseline="0">
                    <a:solidFill>
                      <a:schemeClr val="accent4">
                        <a:lumMod val="50000"/>
                      </a:schemeClr>
                    </a:solidFill>
                    <a:latin typeface="+mn-lt"/>
                    <a:ea typeface="+mn-ea"/>
                    <a:cs typeface="+mn-cs"/>
                  </a:defRPr>
                </a:pPr>
                <a:endParaRPr lang="es-E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MODEL_INTERACTIONS!$O$82:$O$90</c:f>
              <c:numCache>
                <c:formatCode>General</c:formatCode>
                <c:ptCount val="9"/>
                <c:pt idx="0">
                  <c:v>-1</c:v>
                </c:pt>
                <c:pt idx="1">
                  <c:v>1</c:v>
                </c:pt>
                <c:pt idx="2">
                  <c:v>#N/A</c:v>
                </c:pt>
                <c:pt idx="3">
                  <c:v>#N/A</c:v>
                </c:pt>
                <c:pt idx="4">
                  <c:v>#N/A</c:v>
                </c:pt>
                <c:pt idx="5">
                  <c:v>#N/A</c:v>
                </c:pt>
                <c:pt idx="6">
                  <c:v>#N/A</c:v>
                </c:pt>
                <c:pt idx="7">
                  <c:v>#N/A</c:v>
                </c:pt>
                <c:pt idx="8">
                  <c:v>#N/A</c:v>
                </c:pt>
              </c:numCache>
            </c:numRef>
          </c:xVal>
          <c:yVal>
            <c:numRef>
              <c:f>MODEL_INTERACTIONS!$X$82:$X$90</c:f>
              <c:numCache>
                <c:formatCode>General</c:formatCode>
                <c:ptCount val="9"/>
                <c:pt idx="0">
                  <c:v>#N/A</c:v>
                </c:pt>
                <c:pt idx="1">
                  <c:v>#N/A</c:v>
                </c:pt>
                <c:pt idx="2">
                  <c:v>#N/A</c:v>
                </c:pt>
                <c:pt idx="3">
                  <c:v>#N/A</c:v>
                </c:pt>
                <c:pt idx="4">
                  <c:v>#N/A</c:v>
                </c:pt>
                <c:pt idx="5">
                  <c:v>#N/A</c:v>
                </c:pt>
                <c:pt idx="6">
                  <c:v>#N/A</c:v>
                </c:pt>
                <c:pt idx="7">
                  <c:v>#N/A</c:v>
                </c:pt>
                <c:pt idx="8">
                  <c:v>#N/A</c:v>
                </c:pt>
              </c:numCache>
            </c:numRef>
          </c:yVal>
          <c:smooth val="0"/>
          <c:extLst>
            <c:ext xmlns:c16="http://schemas.microsoft.com/office/drawing/2014/chart" uri="{C3380CC4-5D6E-409C-BE32-E72D297353CC}">
              <c16:uniqueId val="{00000009-73FF-4927-91CC-4A0A1C37764C}"/>
            </c:ext>
          </c:extLst>
        </c:ser>
        <c:ser>
          <c:idx val="0"/>
          <c:order val="9"/>
          <c:spPr>
            <a:ln w="19050" cap="rnd">
              <a:solidFill>
                <a:schemeClr val="accent1"/>
              </a:solidFill>
              <a:round/>
            </a:ln>
            <a:effectLst/>
          </c:spPr>
          <c:marker>
            <c:symbol val="none"/>
          </c:marker>
          <c:xVal>
            <c:numRef>
              <c:f>MODEL_INTERACTIONS!$I$81:$I$82</c:f>
              <c:numCache>
                <c:formatCode>General</c:formatCode>
                <c:ptCount val="2"/>
                <c:pt idx="0">
                  <c:v>0</c:v>
                </c:pt>
                <c:pt idx="1">
                  <c:v>0</c:v>
                </c:pt>
              </c:numCache>
            </c:numRef>
          </c:xVal>
          <c:yVal>
            <c:numRef>
              <c:f>MODEL_INTERACTIONS!$K$81:$K$82</c:f>
              <c:numCache>
                <c:formatCode>General</c:formatCode>
                <c:ptCount val="2"/>
                <c:pt idx="0">
                  <c:v>3.8313652687499999</c:v>
                </c:pt>
                <c:pt idx="1">
                  <c:v>8.9268260187500008</c:v>
                </c:pt>
              </c:numCache>
            </c:numRef>
          </c:yVal>
          <c:smooth val="0"/>
          <c:extLst>
            <c:ext xmlns:c16="http://schemas.microsoft.com/office/drawing/2014/chart" uri="{C3380CC4-5D6E-409C-BE32-E72D297353CC}">
              <c16:uniqueId val="{0000000A-73FF-4927-91CC-4A0A1C37764C}"/>
            </c:ext>
          </c:extLst>
        </c:ser>
        <c:dLbls>
          <c:showLegendKey val="0"/>
          <c:showVal val="0"/>
          <c:showCatName val="0"/>
          <c:showSerName val="0"/>
          <c:showPercent val="0"/>
          <c:showBubbleSize val="0"/>
        </c:dLbls>
        <c:axId val="673249359"/>
        <c:axId val="673248111"/>
      </c:scatterChart>
      <c:valAx>
        <c:axId val="673249359"/>
        <c:scaling>
          <c:orientation val="minMax"/>
        </c:scaling>
        <c:delete val="0"/>
        <c:axPos val="b"/>
        <c:majorGridlines>
          <c:spPr>
            <a:ln w="6350" cap="flat" cmpd="sng" algn="ctr">
              <a:solidFill>
                <a:srgbClr val="A5A5A5">
                  <a:lumMod val="40000"/>
                  <a:lumOff val="60000"/>
                </a:srgb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ES"/>
          </a:p>
        </c:txPr>
        <c:crossAx val="673248111"/>
        <c:crosses val="autoZero"/>
        <c:crossBetween val="midCat"/>
      </c:valAx>
      <c:valAx>
        <c:axId val="673248111"/>
        <c:scaling>
          <c:orientation val="minMax"/>
        </c:scaling>
        <c:delete val="0"/>
        <c:axPos val="l"/>
        <c:majorGridlines>
          <c:spPr>
            <a:ln w="6350" cap="flat" cmpd="sng" algn="ctr">
              <a:solidFill>
                <a:srgbClr val="A5A5A5">
                  <a:lumMod val="40000"/>
                  <a:lumOff val="60000"/>
                </a:srgb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ES"/>
          </a:p>
        </c:txPr>
        <c:crossAx val="673249359"/>
        <c:crosses val="autoZero"/>
        <c:crossBetween val="midCat"/>
      </c:valAx>
      <c:spPr>
        <a:noFill/>
        <a:ln>
          <a:noFill/>
        </a:ln>
        <a:effectLst/>
      </c:spPr>
    </c:plotArea>
    <c:plotVisOnly val="0"/>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pPr>
      <a:endParaRPr lang="es-ES"/>
    </a:p>
  </c:txPr>
  <c:printSettings>
    <c:headerFooter/>
    <c:pageMargins b="0.75" l="0.7" r="0.7" t="0.75" header="0.3" footer="0.3"/>
    <c:pageSetup/>
  </c:printSettings>
  <c:userShapes r:id="rId4"/>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MODEL_INTERACTIONS!$O$93</c:f>
          <c:strCache>
            <c:ptCount val="1"/>
            <c:pt idx="0">
              <c:v>EA</c:v>
            </c:pt>
          </c:strCache>
        </c:strRef>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6.6123963516196371E-2"/>
          <c:y val="0.16251981430033746"/>
          <c:w val="0.86301910272783533"/>
          <c:h val="0.6673615424811441"/>
        </c:manualLayout>
      </c:layout>
      <c:scatterChart>
        <c:scatterStyle val="lineMarker"/>
        <c:varyColors val="0"/>
        <c:ser>
          <c:idx val="1"/>
          <c:order val="0"/>
          <c:tx>
            <c:strRef>
              <c:f>MODEL_INTERACTIONS!$P$104</c:f>
              <c:strCache>
                <c:ptCount val="1"/>
                <c:pt idx="0">
                  <c:v>A = -1</c:v>
                </c:pt>
              </c:strCache>
            </c:strRef>
          </c:tx>
          <c:spPr>
            <a:ln w="25400" cap="rnd">
              <a:solidFill>
                <a:schemeClr val="accent2"/>
              </a:solidFill>
              <a:round/>
            </a:ln>
            <a:effectLst/>
          </c:spPr>
          <c:marker>
            <c:symbol val="plus"/>
            <c:size val="8"/>
            <c:spPr>
              <a:noFill/>
              <a:ln w="12700">
                <a:solidFill>
                  <a:schemeClr val="accent2"/>
                </a:solidFill>
              </a:ln>
              <a:effectLst/>
            </c:spPr>
          </c:marker>
          <c:dLbls>
            <c:dLbl>
              <c:idx val="0"/>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1-E511-42CC-93E1-BBFC9173B83C}"/>
                </c:ext>
              </c:extLst>
            </c:dLbl>
            <c:spPr>
              <a:noFill/>
              <a:ln>
                <a:noFill/>
              </a:ln>
              <a:effectLst/>
            </c:spPr>
            <c:txPr>
              <a:bodyPr rot="0" spcFirstLastPara="1" vertOverflow="ellipsis" vert="horz" wrap="square" anchor="ctr" anchorCtr="1"/>
              <a:lstStyle/>
              <a:p>
                <a:pPr>
                  <a:defRPr sz="1200" b="0" i="0" u="none" strike="noStrike" kern="1200" baseline="0">
                    <a:ln>
                      <a:noFill/>
                    </a:ln>
                    <a:solidFill>
                      <a:schemeClr val="accent2"/>
                    </a:solidFill>
                    <a:latin typeface="+mn-lt"/>
                    <a:ea typeface="+mn-ea"/>
                    <a:cs typeface="+mn-cs"/>
                  </a:defRPr>
                </a:pPr>
                <a:endParaRPr lang="es-E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MODEL_INTERACTIONS!$O$95:$O$103</c:f>
              <c:numCache>
                <c:formatCode>General</c:formatCode>
                <c:ptCount val="9"/>
                <c:pt idx="0">
                  <c:v>-1</c:v>
                </c:pt>
                <c:pt idx="1">
                  <c:v>1</c:v>
                </c:pt>
                <c:pt idx="2">
                  <c:v>#N/A</c:v>
                </c:pt>
                <c:pt idx="3">
                  <c:v>#N/A</c:v>
                </c:pt>
                <c:pt idx="4">
                  <c:v>#N/A</c:v>
                </c:pt>
                <c:pt idx="5">
                  <c:v>#N/A</c:v>
                </c:pt>
                <c:pt idx="6">
                  <c:v>#N/A</c:v>
                </c:pt>
                <c:pt idx="7">
                  <c:v>#N/A</c:v>
                </c:pt>
                <c:pt idx="8">
                  <c:v>#N/A</c:v>
                </c:pt>
              </c:numCache>
            </c:numRef>
          </c:xVal>
          <c:yVal>
            <c:numRef>
              <c:f>MODEL_INTERACTIONS!$P$95:$P$103</c:f>
              <c:numCache>
                <c:formatCode>General</c:formatCode>
                <c:ptCount val="9"/>
                <c:pt idx="0">
                  <c:v>6.416015581249999</c:v>
                </c:pt>
                <c:pt idx="1">
                  <c:v>6.5143287687499996</c:v>
                </c:pt>
                <c:pt idx="2">
                  <c:v>#N/A</c:v>
                </c:pt>
                <c:pt idx="3">
                  <c:v>#N/A</c:v>
                </c:pt>
                <c:pt idx="4">
                  <c:v>#N/A</c:v>
                </c:pt>
                <c:pt idx="5">
                  <c:v>#N/A</c:v>
                </c:pt>
                <c:pt idx="6">
                  <c:v>#N/A</c:v>
                </c:pt>
                <c:pt idx="7">
                  <c:v>#N/A</c:v>
                </c:pt>
                <c:pt idx="8">
                  <c:v>#N/A</c:v>
                </c:pt>
              </c:numCache>
            </c:numRef>
          </c:yVal>
          <c:smooth val="0"/>
          <c:extLst>
            <c:ext xmlns:c16="http://schemas.microsoft.com/office/drawing/2014/chart" uri="{C3380CC4-5D6E-409C-BE32-E72D297353CC}">
              <c16:uniqueId val="{00000001-73FF-4927-91CC-4A0A1C37764C}"/>
            </c:ext>
          </c:extLst>
        </c:ser>
        <c:ser>
          <c:idx val="2"/>
          <c:order val="1"/>
          <c:tx>
            <c:strRef>
              <c:f>MODEL_INTERACTIONS!$Q$104</c:f>
              <c:strCache>
                <c:ptCount val="1"/>
                <c:pt idx="0">
                  <c:v>A = 1</c:v>
                </c:pt>
              </c:strCache>
            </c:strRef>
          </c:tx>
          <c:spPr>
            <a:ln w="25400" cap="rnd">
              <a:solidFill>
                <a:srgbClr val="4472C4"/>
              </a:solidFill>
              <a:round/>
            </a:ln>
            <a:effectLst/>
          </c:spPr>
          <c:marker>
            <c:symbol val="plus"/>
            <c:size val="8"/>
            <c:spPr>
              <a:noFill/>
              <a:ln w="12700">
                <a:solidFill>
                  <a:srgbClr val="4472C4"/>
                </a:solidFill>
              </a:ln>
              <a:effectLst/>
            </c:spPr>
          </c:marker>
          <c:dLbls>
            <c:dLbl>
              <c:idx val="0"/>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E511-42CC-93E1-BBFC9173B83C}"/>
                </c:ext>
              </c:extLst>
            </c:dLbl>
            <c:spPr>
              <a:noFill/>
              <a:ln>
                <a:noFill/>
              </a:ln>
              <a:effectLst/>
            </c:spPr>
            <c:txPr>
              <a:bodyPr rot="0" spcFirstLastPara="1" vertOverflow="ellipsis" vert="horz" wrap="square" anchor="ctr" anchorCtr="1"/>
              <a:lstStyle/>
              <a:p>
                <a:pPr>
                  <a:defRPr sz="1200" b="0" i="0" u="none" strike="noStrike" kern="1200" baseline="0">
                    <a:solidFill>
                      <a:schemeClr val="accent1"/>
                    </a:solidFill>
                    <a:latin typeface="+mn-lt"/>
                    <a:ea typeface="+mn-ea"/>
                    <a:cs typeface="+mn-cs"/>
                  </a:defRPr>
                </a:pPr>
                <a:endParaRPr lang="es-E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MODEL_INTERACTIONS!$O$95:$O$103</c:f>
              <c:numCache>
                <c:formatCode>General</c:formatCode>
                <c:ptCount val="9"/>
                <c:pt idx="0">
                  <c:v>-1</c:v>
                </c:pt>
                <c:pt idx="1">
                  <c:v>1</c:v>
                </c:pt>
                <c:pt idx="2">
                  <c:v>#N/A</c:v>
                </c:pt>
                <c:pt idx="3">
                  <c:v>#N/A</c:v>
                </c:pt>
                <c:pt idx="4">
                  <c:v>#N/A</c:v>
                </c:pt>
                <c:pt idx="5">
                  <c:v>#N/A</c:v>
                </c:pt>
                <c:pt idx="6">
                  <c:v>#N/A</c:v>
                </c:pt>
                <c:pt idx="7">
                  <c:v>#N/A</c:v>
                </c:pt>
                <c:pt idx="8">
                  <c:v>#N/A</c:v>
                </c:pt>
              </c:numCache>
            </c:numRef>
          </c:xVal>
          <c:yVal>
            <c:numRef>
              <c:f>MODEL_INTERACTIONS!$Q$95:$Q$103</c:f>
              <c:numCache>
                <c:formatCode>General</c:formatCode>
                <c:ptCount val="9"/>
                <c:pt idx="0">
                  <c:v>4.62586214375</c:v>
                </c:pt>
                <c:pt idx="1">
                  <c:v>6.3995095500000003</c:v>
                </c:pt>
                <c:pt idx="2">
                  <c:v>#N/A</c:v>
                </c:pt>
                <c:pt idx="3">
                  <c:v>#N/A</c:v>
                </c:pt>
                <c:pt idx="4">
                  <c:v>#N/A</c:v>
                </c:pt>
                <c:pt idx="5">
                  <c:v>#N/A</c:v>
                </c:pt>
                <c:pt idx="6">
                  <c:v>#N/A</c:v>
                </c:pt>
                <c:pt idx="7">
                  <c:v>#N/A</c:v>
                </c:pt>
                <c:pt idx="8">
                  <c:v>#N/A</c:v>
                </c:pt>
              </c:numCache>
            </c:numRef>
          </c:yVal>
          <c:smooth val="0"/>
          <c:extLst>
            <c:ext xmlns:c16="http://schemas.microsoft.com/office/drawing/2014/chart" uri="{C3380CC4-5D6E-409C-BE32-E72D297353CC}">
              <c16:uniqueId val="{00000002-73FF-4927-91CC-4A0A1C37764C}"/>
            </c:ext>
          </c:extLst>
        </c:ser>
        <c:ser>
          <c:idx val="3"/>
          <c:order val="2"/>
          <c:tx>
            <c:strRef>
              <c:f>MODEL_INTERACTIONS!$R$104</c:f>
              <c:strCache>
                <c:ptCount val="1"/>
                <c:pt idx="0">
                  <c:v>#N/D</c:v>
                </c:pt>
              </c:strCache>
            </c:strRef>
          </c:tx>
          <c:spPr>
            <a:ln w="25400" cap="rnd">
              <a:solidFill>
                <a:schemeClr val="accent4"/>
              </a:solidFill>
              <a:round/>
            </a:ln>
            <a:effectLst/>
          </c:spPr>
          <c:marker>
            <c:symbol val="plus"/>
            <c:size val="8"/>
            <c:spPr>
              <a:noFill/>
              <a:ln w="12700">
                <a:solidFill>
                  <a:schemeClr val="accent4"/>
                </a:solidFill>
              </a:ln>
              <a:effectLst/>
            </c:spPr>
          </c:marker>
          <c:dLbls>
            <c:dLbl>
              <c:idx val="0"/>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263E-43DC-A4C2-94EC4D8A6D21}"/>
                </c:ext>
              </c:extLst>
            </c:dLbl>
            <c:spPr>
              <a:noFill/>
              <a:ln>
                <a:noFill/>
              </a:ln>
              <a:effectLst/>
            </c:spPr>
            <c:txPr>
              <a:bodyPr rot="0" spcFirstLastPara="1" vertOverflow="ellipsis" vert="horz" wrap="square" anchor="ctr" anchorCtr="1"/>
              <a:lstStyle/>
              <a:p>
                <a:pPr>
                  <a:defRPr sz="1200" b="0" i="0" u="none" strike="noStrike" kern="1200" baseline="0">
                    <a:solidFill>
                      <a:schemeClr val="accent4"/>
                    </a:solidFill>
                    <a:latin typeface="+mn-lt"/>
                    <a:ea typeface="+mn-ea"/>
                    <a:cs typeface="+mn-cs"/>
                  </a:defRPr>
                </a:pPr>
                <a:endParaRPr lang="es-E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MODEL_INTERACTIONS!$O$95:$O$103</c:f>
              <c:numCache>
                <c:formatCode>General</c:formatCode>
                <c:ptCount val="9"/>
                <c:pt idx="0">
                  <c:v>-1</c:v>
                </c:pt>
                <c:pt idx="1">
                  <c:v>1</c:v>
                </c:pt>
                <c:pt idx="2">
                  <c:v>#N/A</c:v>
                </c:pt>
                <c:pt idx="3">
                  <c:v>#N/A</c:v>
                </c:pt>
                <c:pt idx="4">
                  <c:v>#N/A</c:v>
                </c:pt>
                <c:pt idx="5">
                  <c:v>#N/A</c:v>
                </c:pt>
                <c:pt idx="6">
                  <c:v>#N/A</c:v>
                </c:pt>
                <c:pt idx="7">
                  <c:v>#N/A</c:v>
                </c:pt>
                <c:pt idx="8">
                  <c:v>#N/A</c:v>
                </c:pt>
              </c:numCache>
            </c:numRef>
          </c:xVal>
          <c:yVal>
            <c:numRef>
              <c:f>MODEL_INTERACTIONS!$R$95:$R$103</c:f>
              <c:numCache>
                <c:formatCode>General</c:formatCode>
                <c:ptCount val="9"/>
                <c:pt idx="0">
                  <c:v>#N/A</c:v>
                </c:pt>
                <c:pt idx="1">
                  <c:v>#N/A</c:v>
                </c:pt>
                <c:pt idx="2">
                  <c:v>#N/A</c:v>
                </c:pt>
                <c:pt idx="3">
                  <c:v>#N/A</c:v>
                </c:pt>
                <c:pt idx="4">
                  <c:v>#N/A</c:v>
                </c:pt>
                <c:pt idx="5">
                  <c:v>#N/A</c:v>
                </c:pt>
                <c:pt idx="6">
                  <c:v>#N/A</c:v>
                </c:pt>
                <c:pt idx="7">
                  <c:v>#N/A</c:v>
                </c:pt>
                <c:pt idx="8">
                  <c:v>#N/A</c:v>
                </c:pt>
              </c:numCache>
            </c:numRef>
          </c:yVal>
          <c:smooth val="0"/>
          <c:extLst>
            <c:ext xmlns:c16="http://schemas.microsoft.com/office/drawing/2014/chart" uri="{C3380CC4-5D6E-409C-BE32-E72D297353CC}">
              <c16:uniqueId val="{00000003-73FF-4927-91CC-4A0A1C37764C}"/>
            </c:ext>
          </c:extLst>
        </c:ser>
        <c:ser>
          <c:idx val="4"/>
          <c:order val="3"/>
          <c:tx>
            <c:strRef>
              <c:f>MODEL_INTERACTIONS!$S$104</c:f>
              <c:strCache>
                <c:ptCount val="1"/>
                <c:pt idx="0">
                  <c:v>#N/D</c:v>
                </c:pt>
              </c:strCache>
            </c:strRef>
          </c:tx>
          <c:spPr>
            <a:ln w="25400" cap="rnd">
              <a:solidFill>
                <a:schemeClr val="accent5"/>
              </a:solidFill>
              <a:round/>
            </a:ln>
            <a:effectLst/>
          </c:spPr>
          <c:marker>
            <c:symbol val="plus"/>
            <c:size val="8"/>
            <c:spPr>
              <a:noFill/>
              <a:ln w="12700">
                <a:solidFill>
                  <a:schemeClr val="accent5"/>
                </a:solidFill>
              </a:ln>
              <a:effectLst/>
            </c:spPr>
          </c:marker>
          <c:dLbls>
            <c:dLbl>
              <c:idx val="0"/>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1-263E-43DC-A4C2-94EC4D8A6D21}"/>
                </c:ext>
              </c:extLst>
            </c:dLbl>
            <c:spPr>
              <a:noFill/>
              <a:ln>
                <a:noFill/>
              </a:ln>
              <a:effectLst/>
            </c:spPr>
            <c:txPr>
              <a:bodyPr rot="0" spcFirstLastPara="1" vertOverflow="ellipsis" vert="horz" wrap="square" anchor="ctr" anchorCtr="1"/>
              <a:lstStyle/>
              <a:p>
                <a:pPr>
                  <a:defRPr sz="1200" b="0" i="0" u="none" strike="noStrike" kern="1200" baseline="0">
                    <a:solidFill>
                      <a:schemeClr val="accent5"/>
                    </a:solidFill>
                    <a:latin typeface="+mn-lt"/>
                    <a:ea typeface="+mn-ea"/>
                    <a:cs typeface="+mn-cs"/>
                  </a:defRPr>
                </a:pPr>
                <a:endParaRPr lang="es-E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MODEL_INTERACTIONS!$O$95:$O$103</c:f>
              <c:numCache>
                <c:formatCode>General</c:formatCode>
                <c:ptCount val="9"/>
                <c:pt idx="0">
                  <c:v>-1</c:v>
                </c:pt>
                <c:pt idx="1">
                  <c:v>1</c:v>
                </c:pt>
                <c:pt idx="2">
                  <c:v>#N/A</c:v>
                </c:pt>
                <c:pt idx="3">
                  <c:v>#N/A</c:v>
                </c:pt>
                <c:pt idx="4">
                  <c:v>#N/A</c:v>
                </c:pt>
                <c:pt idx="5">
                  <c:v>#N/A</c:v>
                </c:pt>
                <c:pt idx="6">
                  <c:v>#N/A</c:v>
                </c:pt>
                <c:pt idx="7">
                  <c:v>#N/A</c:v>
                </c:pt>
                <c:pt idx="8">
                  <c:v>#N/A</c:v>
                </c:pt>
              </c:numCache>
            </c:numRef>
          </c:xVal>
          <c:yVal>
            <c:numRef>
              <c:f>MODEL_INTERACTIONS!$S$95:$S$103</c:f>
              <c:numCache>
                <c:formatCode>General</c:formatCode>
                <c:ptCount val="9"/>
                <c:pt idx="0">
                  <c:v>#N/A</c:v>
                </c:pt>
                <c:pt idx="1">
                  <c:v>#N/A</c:v>
                </c:pt>
                <c:pt idx="2">
                  <c:v>#N/A</c:v>
                </c:pt>
                <c:pt idx="3">
                  <c:v>#N/A</c:v>
                </c:pt>
                <c:pt idx="4">
                  <c:v>#N/A</c:v>
                </c:pt>
                <c:pt idx="5">
                  <c:v>#N/A</c:v>
                </c:pt>
                <c:pt idx="6">
                  <c:v>#N/A</c:v>
                </c:pt>
                <c:pt idx="7">
                  <c:v>#N/A</c:v>
                </c:pt>
                <c:pt idx="8">
                  <c:v>#N/A</c:v>
                </c:pt>
              </c:numCache>
            </c:numRef>
          </c:yVal>
          <c:smooth val="0"/>
          <c:extLst>
            <c:ext xmlns:c16="http://schemas.microsoft.com/office/drawing/2014/chart" uri="{C3380CC4-5D6E-409C-BE32-E72D297353CC}">
              <c16:uniqueId val="{00000004-73FF-4927-91CC-4A0A1C37764C}"/>
            </c:ext>
          </c:extLst>
        </c:ser>
        <c:ser>
          <c:idx val="5"/>
          <c:order val="4"/>
          <c:tx>
            <c:strRef>
              <c:f>MODEL_INTERACTIONS!$T$104</c:f>
              <c:strCache>
                <c:ptCount val="1"/>
                <c:pt idx="0">
                  <c:v>#N/D</c:v>
                </c:pt>
              </c:strCache>
            </c:strRef>
          </c:tx>
          <c:spPr>
            <a:ln w="25400" cap="rnd">
              <a:solidFill>
                <a:schemeClr val="accent6"/>
              </a:solidFill>
              <a:round/>
            </a:ln>
            <a:effectLst/>
          </c:spPr>
          <c:marker>
            <c:symbol val="plus"/>
            <c:size val="8"/>
            <c:spPr>
              <a:noFill/>
              <a:ln w="12700">
                <a:solidFill>
                  <a:schemeClr val="accent6"/>
                </a:solidFill>
              </a:ln>
              <a:effectLst/>
            </c:spPr>
          </c:marker>
          <c:dLbls>
            <c:dLbl>
              <c:idx val="0"/>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263E-43DC-A4C2-94EC4D8A6D21}"/>
                </c:ext>
              </c:extLst>
            </c:dLbl>
            <c:spPr>
              <a:noFill/>
              <a:ln>
                <a:noFill/>
              </a:ln>
              <a:effectLst/>
            </c:spPr>
            <c:txPr>
              <a:bodyPr rot="0" spcFirstLastPara="1" vertOverflow="ellipsis" vert="horz" wrap="square" anchor="ctr" anchorCtr="1"/>
              <a:lstStyle/>
              <a:p>
                <a:pPr>
                  <a:defRPr sz="1200" b="0" i="0" u="none" strike="noStrike" kern="1200" baseline="0">
                    <a:solidFill>
                      <a:schemeClr val="accent6"/>
                    </a:solidFill>
                    <a:latin typeface="+mn-lt"/>
                    <a:ea typeface="+mn-ea"/>
                    <a:cs typeface="+mn-cs"/>
                  </a:defRPr>
                </a:pPr>
                <a:endParaRPr lang="es-E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MODEL_INTERACTIONS!$O$95:$O$103</c:f>
              <c:numCache>
                <c:formatCode>General</c:formatCode>
                <c:ptCount val="9"/>
                <c:pt idx="0">
                  <c:v>-1</c:v>
                </c:pt>
                <c:pt idx="1">
                  <c:v>1</c:v>
                </c:pt>
                <c:pt idx="2">
                  <c:v>#N/A</c:v>
                </c:pt>
                <c:pt idx="3">
                  <c:v>#N/A</c:v>
                </c:pt>
                <c:pt idx="4">
                  <c:v>#N/A</c:v>
                </c:pt>
                <c:pt idx="5">
                  <c:v>#N/A</c:v>
                </c:pt>
                <c:pt idx="6">
                  <c:v>#N/A</c:v>
                </c:pt>
                <c:pt idx="7">
                  <c:v>#N/A</c:v>
                </c:pt>
                <c:pt idx="8">
                  <c:v>#N/A</c:v>
                </c:pt>
              </c:numCache>
            </c:numRef>
          </c:xVal>
          <c:yVal>
            <c:numRef>
              <c:f>MODEL_INTERACTIONS!$T$95:$T$103</c:f>
              <c:numCache>
                <c:formatCode>General</c:formatCode>
                <c:ptCount val="9"/>
                <c:pt idx="0">
                  <c:v>#N/A</c:v>
                </c:pt>
                <c:pt idx="1">
                  <c:v>#N/A</c:v>
                </c:pt>
                <c:pt idx="2">
                  <c:v>#N/A</c:v>
                </c:pt>
                <c:pt idx="3">
                  <c:v>#N/A</c:v>
                </c:pt>
                <c:pt idx="4">
                  <c:v>#N/A</c:v>
                </c:pt>
                <c:pt idx="5">
                  <c:v>#N/A</c:v>
                </c:pt>
                <c:pt idx="6">
                  <c:v>#N/A</c:v>
                </c:pt>
                <c:pt idx="7">
                  <c:v>#N/A</c:v>
                </c:pt>
                <c:pt idx="8">
                  <c:v>#N/A</c:v>
                </c:pt>
              </c:numCache>
            </c:numRef>
          </c:yVal>
          <c:smooth val="0"/>
          <c:extLst>
            <c:ext xmlns:c16="http://schemas.microsoft.com/office/drawing/2014/chart" uri="{C3380CC4-5D6E-409C-BE32-E72D297353CC}">
              <c16:uniqueId val="{00000005-73FF-4927-91CC-4A0A1C37764C}"/>
            </c:ext>
          </c:extLst>
        </c:ser>
        <c:ser>
          <c:idx val="6"/>
          <c:order val="5"/>
          <c:tx>
            <c:strRef>
              <c:f>MODEL_INTERACTIONS!$U$104</c:f>
              <c:strCache>
                <c:ptCount val="1"/>
                <c:pt idx="0">
                  <c:v>#N/D</c:v>
                </c:pt>
              </c:strCache>
            </c:strRef>
          </c:tx>
          <c:spPr>
            <a:ln w="25400" cap="rnd">
              <a:solidFill>
                <a:schemeClr val="accent1">
                  <a:lumMod val="60000"/>
                </a:schemeClr>
              </a:solidFill>
              <a:round/>
            </a:ln>
            <a:effectLst/>
          </c:spPr>
          <c:marker>
            <c:symbol val="plus"/>
            <c:size val="8"/>
            <c:spPr>
              <a:noFill/>
              <a:ln w="12700">
                <a:solidFill>
                  <a:schemeClr val="accent1">
                    <a:lumMod val="60000"/>
                  </a:schemeClr>
                </a:solidFill>
              </a:ln>
              <a:effectLst/>
            </c:spPr>
          </c:marker>
          <c:dLbls>
            <c:dLbl>
              <c:idx val="0"/>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263E-43DC-A4C2-94EC4D8A6D21}"/>
                </c:ext>
              </c:extLst>
            </c:dLbl>
            <c:spPr>
              <a:noFill/>
              <a:ln>
                <a:noFill/>
              </a:ln>
              <a:effectLst/>
            </c:spPr>
            <c:txPr>
              <a:bodyPr rot="0" spcFirstLastPara="1" vertOverflow="ellipsis" vert="horz" wrap="square" anchor="ctr" anchorCtr="1"/>
              <a:lstStyle/>
              <a:p>
                <a:pPr>
                  <a:defRPr sz="1200" b="0" i="0" u="none" strike="noStrike" kern="1200" baseline="0">
                    <a:solidFill>
                      <a:schemeClr val="accent1">
                        <a:lumMod val="50000"/>
                      </a:schemeClr>
                    </a:solidFill>
                    <a:latin typeface="+mn-lt"/>
                    <a:ea typeface="+mn-ea"/>
                    <a:cs typeface="+mn-cs"/>
                  </a:defRPr>
                </a:pPr>
                <a:endParaRPr lang="es-E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MODEL_INTERACTIONS!$O$95:$O$103</c:f>
              <c:numCache>
                <c:formatCode>General</c:formatCode>
                <c:ptCount val="9"/>
                <c:pt idx="0">
                  <c:v>-1</c:v>
                </c:pt>
                <c:pt idx="1">
                  <c:v>1</c:v>
                </c:pt>
                <c:pt idx="2">
                  <c:v>#N/A</c:v>
                </c:pt>
                <c:pt idx="3">
                  <c:v>#N/A</c:v>
                </c:pt>
                <c:pt idx="4">
                  <c:v>#N/A</c:v>
                </c:pt>
                <c:pt idx="5">
                  <c:v>#N/A</c:v>
                </c:pt>
                <c:pt idx="6">
                  <c:v>#N/A</c:v>
                </c:pt>
                <c:pt idx="7">
                  <c:v>#N/A</c:v>
                </c:pt>
                <c:pt idx="8">
                  <c:v>#N/A</c:v>
                </c:pt>
              </c:numCache>
            </c:numRef>
          </c:xVal>
          <c:yVal>
            <c:numRef>
              <c:f>MODEL_INTERACTIONS!$U$95:$U$103</c:f>
              <c:numCache>
                <c:formatCode>General</c:formatCode>
                <c:ptCount val="9"/>
                <c:pt idx="0">
                  <c:v>#N/A</c:v>
                </c:pt>
                <c:pt idx="1">
                  <c:v>#N/A</c:v>
                </c:pt>
                <c:pt idx="2">
                  <c:v>#N/A</c:v>
                </c:pt>
                <c:pt idx="3">
                  <c:v>#N/A</c:v>
                </c:pt>
                <c:pt idx="4">
                  <c:v>#N/A</c:v>
                </c:pt>
                <c:pt idx="5">
                  <c:v>#N/A</c:v>
                </c:pt>
                <c:pt idx="6">
                  <c:v>#N/A</c:v>
                </c:pt>
                <c:pt idx="7">
                  <c:v>#N/A</c:v>
                </c:pt>
                <c:pt idx="8">
                  <c:v>#N/A</c:v>
                </c:pt>
              </c:numCache>
            </c:numRef>
          </c:yVal>
          <c:smooth val="0"/>
          <c:extLst>
            <c:ext xmlns:c16="http://schemas.microsoft.com/office/drawing/2014/chart" uri="{C3380CC4-5D6E-409C-BE32-E72D297353CC}">
              <c16:uniqueId val="{00000006-73FF-4927-91CC-4A0A1C37764C}"/>
            </c:ext>
          </c:extLst>
        </c:ser>
        <c:ser>
          <c:idx val="7"/>
          <c:order val="6"/>
          <c:tx>
            <c:strRef>
              <c:f>MODEL_INTERACTIONS!$V$104</c:f>
              <c:strCache>
                <c:ptCount val="1"/>
                <c:pt idx="0">
                  <c:v>#N/D</c:v>
                </c:pt>
              </c:strCache>
            </c:strRef>
          </c:tx>
          <c:spPr>
            <a:ln w="25400" cap="rnd">
              <a:solidFill>
                <a:schemeClr val="accent2">
                  <a:lumMod val="60000"/>
                </a:schemeClr>
              </a:solidFill>
              <a:round/>
            </a:ln>
            <a:effectLst/>
          </c:spPr>
          <c:marker>
            <c:symbol val="plus"/>
            <c:size val="8"/>
            <c:spPr>
              <a:noFill/>
              <a:ln w="12700">
                <a:solidFill>
                  <a:schemeClr val="accent2">
                    <a:lumMod val="60000"/>
                  </a:schemeClr>
                </a:solidFill>
              </a:ln>
              <a:effectLst/>
            </c:spPr>
          </c:marker>
          <c:dLbls>
            <c:dLbl>
              <c:idx val="0"/>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263E-43DC-A4C2-94EC4D8A6D21}"/>
                </c:ext>
              </c:extLst>
            </c:dLbl>
            <c:spPr>
              <a:noFill/>
              <a:ln>
                <a:noFill/>
              </a:ln>
              <a:effectLst/>
            </c:spPr>
            <c:txPr>
              <a:bodyPr rot="0" spcFirstLastPara="1" vertOverflow="ellipsis" vert="horz" wrap="square" anchor="ctr" anchorCtr="1"/>
              <a:lstStyle/>
              <a:p>
                <a:pPr>
                  <a:defRPr sz="1200" b="0" i="0" u="none" strike="noStrike" kern="1200" baseline="0">
                    <a:solidFill>
                      <a:schemeClr val="accent2">
                        <a:lumMod val="50000"/>
                      </a:schemeClr>
                    </a:solidFill>
                    <a:latin typeface="+mn-lt"/>
                    <a:ea typeface="+mn-ea"/>
                    <a:cs typeface="+mn-cs"/>
                  </a:defRPr>
                </a:pPr>
                <a:endParaRPr lang="es-E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MODEL_INTERACTIONS!$O$95:$O$103</c:f>
              <c:numCache>
                <c:formatCode>General</c:formatCode>
                <c:ptCount val="9"/>
                <c:pt idx="0">
                  <c:v>-1</c:v>
                </c:pt>
                <c:pt idx="1">
                  <c:v>1</c:v>
                </c:pt>
                <c:pt idx="2">
                  <c:v>#N/A</c:v>
                </c:pt>
                <c:pt idx="3">
                  <c:v>#N/A</c:v>
                </c:pt>
                <c:pt idx="4">
                  <c:v>#N/A</c:v>
                </c:pt>
                <c:pt idx="5">
                  <c:v>#N/A</c:v>
                </c:pt>
                <c:pt idx="6">
                  <c:v>#N/A</c:v>
                </c:pt>
                <c:pt idx="7">
                  <c:v>#N/A</c:v>
                </c:pt>
                <c:pt idx="8">
                  <c:v>#N/A</c:v>
                </c:pt>
              </c:numCache>
            </c:numRef>
          </c:xVal>
          <c:yVal>
            <c:numRef>
              <c:f>MODEL_INTERACTIONS!$V$95:$V$103</c:f>
              <c:numCache>
                <c:formatCode>General</c:formatCode>
                <c:ptCount val="9"/>
                <c:pt idx="0">
                  <c:v>#N/A</c:v>
                </c:pt>
                <c:pt idx="1">
                  <c:v>#N/A</c:v>
                </c:pt>
                <c:pt idx="2">
                  <c:v>#N/A</c:v>
                </c:pt>
                <c:pt idx="3">
                  <c:v>#N/A</c:v>
                </c:pt>
                <c:pt idx="4">
                  <c:v>#N/A</c:v>
                </c:pt>
                <c:pt idx="5">
                  <c:v>#N/A</c:v>
                </c:pt>
                <c:pt idx="6">
                  <c:v>#N/A</c:v>
                </c:pt>
                <c:pt idx="7">
                  <c:v>#N/A</c:v>
                </c:pt>
                <c:pt idx="8">
                  <c:v>#N/A</c:v>
                </c:pt>
              </c:numCache>
            </c:numRef>
          </c:yVal>
          <c:smooth val="0"/>
          <c:extLst>
            <c:ext xmlns:c16="http://schemas.microsoft.com/office/drawing/2014/chart" uri="{C3380CC4-5D6E-409C-BE32-E72D297353CC}">
              <c16:uniqueId val="{00000007-73FF-4927-91CC-4A0A1C37764C}"/>
            </c:ext>
          </c:extLst>
        </c:ser>
        <c:ser>
          <c:idx val="8"/>
          <c:order val="7"/>
          <c:tx>
            <c:strRef>
              <c:f>MODEL_INTERACTIONS!$W$104</c:f>
              <c:strCache>
                <c:ptCount val="1"/>
                <c:pt idx="0">
                  <c:v>#N/D</c:v>
                </c:pt>
              </c:strCache>
            </c:strRef>
          </c:tx>
          <c:spPr>
            <a:ln w="25400" cap="rnd">
              <a:solidFill>
                <a:schemeClr val="accent3">
                  <a:lumMod val="60000"/>
                </a:schemeClr>
              </a:solidFill>
              <a:round/>
            </a:ln>
            <a:effectLst/>
          </c:spPr>
          <c:marker>
            <c:symbol val="plus"/>
            <c:size val="8"/>
            <c:spPr>
              <a:noFill/>
              <a:ln w="12700">
                <a:solidFill>
                  <a:schemeClr val="accent3">
                    <a:lumMod val="60000"/>
                  </a:schemeClr>
                </a:solidFill>
              </a:ln>
              <a:effectLst/>
            </c:spPr>
          </c:marker>
          <c:dLbls>
            <c:dLbl>
              <c:idx val="0"/>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263E-43DC-A4C2-94EC4D8A6D21}"/>
                </c:ext>
              </c:extLst>
            </c:dLbl>
            <c:spPr>
              <a:noFill/>
              <a:ln>
                <a:noFill/>
              </a:ln>
              <a:effectLst/>
            </c:spPr>
            <c:txPr>
              <a:bodyPr rot="0" spcFirstLastPara="1" vertOverflow="ellipsis" vert="horz" wrap="square" anchor="ctr" anchorCtr="1"/>
              <a:lstStyle/>
              <a:p>
                <a:pPr>
                  <a:defRPr sz="1200" b="0" i="0" u="none" strike="noStrike" kern="1200" baseline="0">
                    <a:solidFill>
                      <a:schemeClr val="accent3">
                        <a:lumMod val="50000"/>
                      </a:schemeClr>
                    </a:solidFill>
                    <a:latin typeface="+mn-lt"/>
                    <a:ea typeface="+mn-ea"/>
                    <a:cs typeface="+mn-cs"/>
                  </a:defRPr>
                </a:pPr>
                <a:endParaRPr lang="es-E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MODEL_INTERACTIONS!$O$95:$O$103</c:f>
              <c:numCache>
                <c:formatCode>General</c:formatCode>
                <c:ptCount val="9"/>
                <c:pt idx="0">
                  <c:v>-1</c:v>
                </c:pt>
                <c:pt idx="1">
                  <c:v>1</c:v>
                </c:pt>
                <c:pt idx="2">
                  <c:v>#N/A</c:v>
                </c:pt>
                <c:pt idx="3">
                  <c:v>#N/A</c:v>
                </c:pt>
                <c:pt idx="4">
                  <c:v>#N/A</c:v>
                </c:pt>
                <c:pt idx="5">
                  <c:v>#N/A</c:v>
                </c:pt>
                <c:pt idx="6">
                  <c:v>#N/A</c:v>
                </c:pt>
                <c:pt idx="7">
                  <c:v>#N/A</c:v>
                </c:pt>
                <c:pt idx="8">
                  <c:v>#N/A</c:v>
                </c:pt>
              </c:numCache>
            </c:numRef>
          </c:xVal>
          <c:yVal>
            <c:numRef>
              <c:f>MODEL_INTERACTIONS!$W$95:$W$103</c:f>
              <c:numCache>
                <c:formatCode>General</c:formatCode>
                <c:ptCount val="9"/>
                <c:pt idx="0">
                  <c:v>#N/A</c:v>
                </c:pt>
                <c:pt idx="1">
                  <c:v>#N/A</c:v>
                </c:pt>
                <c:pt idx="2">
                  <c:v>#N/A</c:v>
                </c:pt>
                <c:pt idx="3">
                  <c:v>#N/A</c:v>
                </c:pt>
                <c:pt idx="4">
                  <c:v>#N/A</c:v>
                </c:pt>
                <c:pt idx="5">
                  <c:v>#N/A</c:v>
                </c:pt>
                <c:pt idx="6">
                  <c:v>#N/A</c:v>
                </c:pt>
                <c:pt idx="7">
                  <c:v>#N/A</c:v>
                </c:pt>
                <c:pt idx="8">
                  <c:v>#N/A</c:v>
                </c:pt>
              </c:numCache>
            </c:numRef>
          </c:yVal>
          <c:smooth val="0"/>
          <c:extLst>
            <c:ext xmlns:c16="http://schemas.microsoft.com/office/drawing/2014/chart" uri="{C3380CC4-5D6E-409C-BE32-E72D297353CC}">
              <c16:uniqueId val="{00000008-73FF-4927-91CC-4A0A1C37764C}"/>
            </c:ext>
          </c:extLst>
        </c:ser>
        <c:ser>
          <c:idx val="9"/>
          <c:order val="8"/>
          <c:tx>
            <c:strRef>
              <c:f>MODEL_INTERACTIONS!$X$104</c:f>
              <c:strCache>
                <c:ptCount val="1"/>
                <c:pt idx="0">
                  <c:v>#N/D</c:v>
                </c:pt>
              </c:strCache>
            </c:strRef>
          </c:tx>
          <c:spPr>
            <a:ln w="25400" cap="rnd">
              <a:solidFill>
                <a:schemeClr val="accent4">
                  <a:lumMod val="60000"/>
                </a:schemeClr>
              </a:solidFill>
              <a:round/>
            </a:ln>
            <a:effectLst/>
          </c:spPr>
          <c:marker>
            <c:symbol val="plus"/>
            <c:size val="8"/>
            <c:spPr>
              <a:noFill/>
              <a:ln w="12700">
                <a:solidFill>
                  <a:schemeClr val="accent4">
                    <a:lumMod val="60000"/>
                  </a:schemeClr>
                </a:solidFill>
              </a:ln>
              <a:effectLst/>
            </c:spPr>
          </c:marker>
          <c:dLbls>
            <c:dLbl>
              <c:idx val="0"/>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263E-43DC-A4C2-94EC4D8A6D21}"/>
                </c:ext>
              </c:extLst>
            </c:dLbl>
            <c:spPr>
              <a:noFill/>
              <a:ln>
                <a:noFill/>
              </a:ln>
              <a:effectLst/>
            </c:spPr>
            <c:txPr>
              <a:bodyPr rot="0" spcFirstLastPara="1" vertOverflow="ellipsis" vert="horz" wrap="square" anchor="ctr" anchorCtr="1"/>
              <a:lstStyle/>
              <a:p>
                <a:pPr>
                  <a:defRPr sz="1200" b="0" i="0" u="none" strike="noStrike" kern="1200" baseline="0">
                    <a:solidFill>
                      <a:schemeClr val="accent4">
                        <a:lumMod val="50000"/>
                      </a:schemeClr>
                    </a:solidFill>
                    <a:latin typeface="+mn-lt"/>
                    <a:ea typeface="+mn-ea"/>
                    <a:cs typeface="+mn-cs"/>
                  </a:defRPr>
                </a:pPr>
                <a:endParaRPr lang="es-E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MODEL_INTERACTIONS!$O$95:$O$103</c:f>
              <c:numCache>
                <c:formatCode>General</c:formatCode>
                <c:ptCount val="9"/>
                <c:pt idx="0">
                  <c:v>-1</c:v>
                </c:pt>
                <c:pt idx="1">
                  <c:v>1</c:v>
                </c:pt>
                <c:pt idx="2">
                  <c:v>#N/A</c:v>
                </c:pt>
                <c:pt idx="3">
                  <c:v>#N/A</c:v>
                </c:pt>
                <c:pt idx="4">
                  <c:v>#N/A</c:v>
                </c:pt>
                <c:pt idx="5">
                  <c:v>#N/A</c:v>
                </c:pt>
                <c:pt idx="6">
                  <c:v>#N/A</c:v>
                </c:pt>
                <c:pt idx="7">
                  <c:v>#N/A</c:v>
                </c:pt>
                <c:pt idx="8">
                  <c:v>#N/A</c:v>
                </c:pt>
              </c:numCache>
            </c:numRef>
          </c:xVal>
          <c:yVal>
            <c:numRef>
              <c:f>MODEL_INTERACTIONS!$X$95:$X$103</c:f>
              <c:numCache>
                <c:formatCode>General</c:formatCode>
                <c:ptCount val="9"/>
                <c:pt idx="0">
                  <c:v>#N/A</c:v>
                </c:pt>
                <c:pt idx="1">
                  <c:v>#N/A</c:v>
                </c:pt>
                <c:pt idx="2">
                  <c:v>#N/A</c:v>
                </c:pt>
                <c:pt idx="3">
                  <c:v>#N/A</c:v>
                </c:pt>
                <c:pt idx="4">
                  <c:v>#N/A</c:v>
                </c:pt>
                <c:pt idx="5">
                  <c:v>#N/A</c:v>
                </c:pt>
                <c:pt idx="6">
                  <c:v>#N/A</c:v>
                </c:pt>
                <c:pt idx="7">
                  <c:v>#N/A</c:v>
                </c:pt>
                <c:pt idx="8">
                  <c:v>#N/A</c:v>
                </c:pt>
              </c:numCache>
            </c:numRef>
          </c:yVal>
          <c:smooth val="0"/>
          <c:extLst>
            <c:ext xmlns:c16="http://schemas.microsoft.com/office/drawing/2014/chart" uri="{C3380CC4-5D6E-409C-BE32-E72D297353CC}">
              <c16:uniqueId val="{00000009-73FF-4927-91CC-4A0A1C37764C}"/>
            </c:ext>
          </c:extLst>
        </c:ser>
        <c:ser>
          <c:idx val="0"/>
          <c:order val="9"/>
          <c:spPr>
            <a:ln w="19050" cap="rnd">
              <a:solidFill>
                <a:schemeClr val="accent1"/>
              </a:solidFill>
              <a:round/>
            </a:ln>
            <a:effectLst/>
          </c:spPr>
          <c:marker>
            <c:symbol val="none"/>
          </c:marker>
          <c:xVal>
            <c:numRef>
              <c:f>MODEL_INTERACTIONS!$J$81:$J$82</c:f>
              <c:numCache>
                <c:formatCode>General</c:formatCode>
                <c:ptCount val="2"/>
                <c:pt idx="0">
                  <c:v>0</c:v>
                </c:pt>
                <c:pt idx="1">
                  <c:v>0</c:v>
                </c:pt>
              </c:numCache>
            </c:numRef>
          </c:xVal>
          <c:yVal>
            <c:numRef>
              <c:f>MODEL_INTERACTIONS!$K$81:$K$82</c:f>
              <c:numCache>
                <c:formatCode>General</c:formatCode>
                <c:ptCount val="2"/>
                <c:pt idx="0">
                  <c:v>3.8313652687499999</c:v>
                </c:pt>
                <c:pt idx="1">
                  <c:v>8.9268260187500008</c:v>
                </c:pt>
              </c:numCache>
            </c:numRef>
          </c:yVal>
          <c:smooth val="0"/>
          <c:extLst>
            <c:ext xmlns:c16="http://schemas.microsoft.com/office/drawing/2014/chart" uri="{C3380CC4-5D6E-409C-BE32-E72D297353CC}">
              <c16:uniqueId val="{0000000A-73FF-4927-91CC-4A0A1C37764C}"/>
            </c:ext>
          </c:extLst>
        </c:ser>
        <c:dLbls>
          <c:showLegendKey val="0"/>
          <c:showVal val="0"/>
          <c:showCatName val="0"/>
          <c:showSerName val="0"/>
          <c:showPercent val="0"/>
          <c:showBubbleSize val="0"/>
        </c:dLbls>
        <c:axId val="673249359"/>
        <c:axId val="673248111"/>
      </c:scatterChart>
      <c:valAx>
        <c:axId val="673249359"/>
        <c:scaling>
          <c:orientation val="minMax"/>
        </c:scaling>
        <c:delete val="0"/>
        <c:axPos val="b"/>
        <c:majorGridlines>
          <c:spPr>
            <a:ln w="6350" cap="flat" cmpd="sng" algn="ctr">
              <a:solidFill>
                <a:srgbClr val="A5A5A5">
                  <a:lumMod val="40000"/>
                  <a:lumOff val="60000"/>
                </a:srgb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ES"/>
          </a:p>
        </c:txPr>
        <c:crossAx val="673248111"/>
        <c:crosses val="autoZero"/>
        <c:crossBetween val="midCat"/>
      </c:valAx>
      <c:valAx>
        <c:axId val="673248111"/>
        <c:scaling>
          <c:orientation val="minMax"/>
        </c:scaling>
        <c:delete val="0"/>
        <c:axPos val="l"/>
        <c:majorGridlines>
          <c:spPr>
            <a:ln w="6350" cap="flat" cmpd="sng" algn="ctr">
              <a:solidFill>
                <a:srgbClr val="A5A5A5">
                  <a:lumMod val="40000"/>
                  <a:lumOff val="60000"/>
                </a:srgb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ES"/>
          </a:p>
        </c:txPr>
        <c:crossAx val="673249359"/>
        <c:crosses val="autoZero"/>
        <c:crossBetween val="midCat"/>
      </c:valAx>
      <c:spPr>
        <a:noFill/>
        <a:ln>
          <a:noFill/>
        </a:ln>
        <a:effectLst/>
      </c:spPr>
    </c:plotArea>
    <c:plotVisOnly val="0"/>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pPr>
      <a:endParaRPr lang="es-ES"/>
    </a:p>
  </c:txPr>
  <c:printSettings>
    <c:headerFooter/>
    <c:pageMargins b="0.75" l="0.7" r="0.7" t="0.75" header="0.3" footer="0.3"/>
    <c:pageSetup/>
  </c:printSettings>
  <c:userShapes r:id="rId4"/>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noFill/>
              <a:round/>
            </a:ln>
            <a:effectLst/>
          </c:spPr>
          <c:marker>
            <c:symbol val="circle"/>
            <c:size val="11"/>
            <c:spPr>
              <a:noFill/>
              <a:ln w="38100">
                <a:solidFill>
                  <a:srgbClr val="FF0000"/>
                </a:solidFill>
              </a:ln>
              <a:effectLst/>
            </c:spPr>
          </c:marker>
          <c:xVal>
            <c:numRef>
              <c:f>MODEL_RESIDUALS!$AJ$2:$AJ$71</c:f>
              <c:numCache>
                <c:formatCode>General</c:formatCode>
                <c:ptCount val="7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numCache>
            </c:numRef>
          </c:xVal>
          <c:yVal>
            <c:numRef>
              <c:f>MODEL_RESIDUALS!$AL$2:$AL$71</c:f>
              <c:numCache>
                <c:formatCode>General</c:formatCode>
                <c:ptCount val="70"/>
                <c:pt idx="0">
                  <c:v>-0.68047746875000037</c:v>
                </c:pt>
                <c:pt idx="1">
                  <c:v>0.10590610937499889</c:v>
                </c:pt>
                <c:pt idx="2">
                  <c:v>0.20801703124999982</c:v>
                </c:pt>
                <c:pt idx="3">
                  <c:v>0.78966685937499914</c:v>
                </c:pt>
                <c:pt idx="4">
                  <c:v>0.67361584375000039</c:v>
                </c:pt>
                <c:pt idx="5">
                  <c:v>-1.037521609375001</c:v>
                </c:pt>
                <c:pt idx="6">
                  <c:v>0.45747384375000077</c:v>
                </c:pt>
                <c:pt idx="7">
                  <c:v>-1.1067236093750008</c:v>
                </c:pt>
                <c:pt idx="8">
                  <c:v>-0.23451896875000067</c:v>
                </c:pt>
                <c:pt idx="9">
                  <c:v>-7.0668390625001187E-2</c:v>
                </c:pt>
                <c:pt idx="10">
                  <c:v>0.45560503124999929</c:v>
                </c:pt>
                <c:pt idx="11">
                  <c:v>0.92056935937499862</c:v>
                </c:pt>
                <c:pt idx="12">
                  <c:v>-0.11842215624999941</c:v>
                </c:pt>
                <c:pt idx="13">
                  <c:v>-0.10090710937500091</c:v>
                </c:pt>
                <c:pt idx="14">
                  <c:v>-0.76129315624999983</c:v>
                </c:pt>
                <c:pt idx="15">
                  <c:v>0.4996783906249993</c:v>
                </c:pt>
                <c:pt idx="16">
                  <c:v>-0.53773215625000059</c:v>
                </c:pt>
                <c:pt idx="17">
                  <c:v>5.856645312499964E-2</c:v>
                </c:pt>
                <c:pt idx="18">
                  <c:v>0.8074008437499991</c:v>
                </c:pt>
                <c:pt idx="19">
                  <c:v>-0.41313754687500026</c:v>
                </c:pt>
                <c:pt idx="20">
                  <c:v>-1.2981838437499995</c:v>
                </c:pt>
                <c:pt idx="21">
                  <c:v>0.9781944843749999</c:v>
                </c:pt>
                <c:pt idx="22">
                  <c:v>0.96894065625000092</c:v>
                </c:pt>
                <c:pt idx="23">
                  <c:v>-6.404601562500023E-2</c:v>
                </c:pt>
                <c:pt idx="24">
                  <c:v>-0.62957015625000068</c:v>
                </c:pt>
                <c:pt idx="25">
                  <c:v>-1.4953942968750003</c:v>
                </c:pt>
                <c:pt idx="26">
                  <c:v>0.61127584374999877</c:v>
                </c:pt>
                <c:pt idx="27">
                  <c:v>0.10449145312499919</c:v>
                </c:pt>
                <c:pt idx="28">
                  <c:v>0.78184665625000083</c:v>
                </c:pt>
                <c:pt idx="29">
                  <c:v>0.71546648437499982</c:v>
                </c:pt>
                <c:pt idx="30">
                  <c:v>-0.70397784374999972</c:v>
                </c:pt>
                <c:pt idx="31">
                  <c:v>0.11585898437499953</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numCache>
            </c:numRef>
          </c:yVal>
          <c:smooth val="0"/>
          <c:extLst>
            <c:ext xmlns:c16="http://schemas.microsoft.com/office/drawing/2014/chart" uri="{C3380CC4-5D6E-409C-BE32-E72D297353CC}">
              <c16:uniqueId val="{00000000-3038-4302-8791-5CD3E7F8212D}"/>
            </c:ext>
          </c:extLst>
        </c:ser>
        <c:dLbls>
          <c:showLegendKey val="0"/>
          <c:showVal val="0"/>
          <c:showCatName val="0"/>
          <c:showSerName val="0"/>
          <c:showPercent val="0"/>
          <c:showBubbleSize val="0"/>
        </c:dLbls>
        <c:axId val="1475943567"/>
        <c:axId val="1475944399"/>
      </c:scatterChart>
      <c:valAx>
        <c:axId val="14759435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ES"/>
          </a:p>
        </c:txPr>
        <c:crossAx val="1475944399"/>
        <c:crosses val="autoZero"/>
        <c:crossBetween val="midCat"/>
      </c:valAx>
      <c:valAx>
        <c:axId val="1475944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ES"/>
          </a:p>
        </c:txPr>
        <c:crossAx val="147594356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pPr>
      <a:endParaRPr lang="es-E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noFill/>
              <a:round/>
            </a:ln>
            <a:effectLst/>
          </c:spPr>
          <c:marker>
            <c:symbol val="circle"/>
            <c:size val="11"/>
            <c:spPr>
              <a:noFill/>
              <a:ln w="38100">
                <a:solidFill>
                  <a:srgbClr val="FF0000"/>
                </a:solidFill>
              </a:ln>
              <a:effectLst/>
            </c:spPr>
          </c:marker>
          <c:xVal>
            <c:numRef>
              <c:f>MODEL_RESIDUALS!$AK$2:$AK$71</c:f>
              <c:numCache>
                <c:formatCode>General</c:formatCode>
                <c:ptCount val="70"/>
                <c:pt idx="0">
                  <c:v>4.9724589875000005</c:v>
                </c:pt>
                <c:pt idx="1">
                  <c:v>3.9020336593750011</c:v>
                </c:pt>
                <c:pt idx="2">
                  <c:v>4.9724589875000005</c:v>
                </c:pt>
                <c:pt idx="3">
                  <c:v>3.9020336593750011</c:v>
                </c:pt>
                <c:pt idx="4">
                  <c:v>7.8595721749999994</c:v>
                </c:pt>
                <c:pt idx="5">
                  <c:v>5.3496906281250007</c:v>
                </c:pt>
                <c:pt idx="6">
                  <c:v>7.8595721749999994</c:v>
                </c:pt>
                <c:pt idx="7">
                  <c:v>5.3496906281250007</c:v>
                </c:pt>
                <c:pt idx="8">
                  <c:v>4.9724589875000005</c:v>
                </c:pt>
                <c:pt idx="9">
                  <c:v>3.9020336593750011</c:v>
                </c:pt>
                <c:pt idx="10">
                  <c:v>4.9724589875000005</c:v>
                </c:pt>
                <c:pt idx="11">
                  <c:v>3.9020336593750011</c:v>
                </c:pt>
                <c:pt idx="12">
                  <c:v>7.8595721749999994</c:v>
                </c:pt>
                <c:pt idx="13">
                  <c:v>5.3496906281250007</c:v>
                </c:pt>
                <c:pt idx="14">
                  <c:v>7.8595721749999994</c:v>
                </c:pt>
                <c:pt idx="15">
                  <c:v>5.3496906281250007</c:v>
                </c:pt>
                <c:pt idx="16">
                  <c:v>5.070772175000001</c:v>
                </c:pt>
                <c:pt idx="17">
                  <c:v>5.6756810656250005</c:v>
                </c:pt>
                <c:pt idx="18">
                  <c:v>5.070772175000001</c:v>
                </c:pt>
                <c:pt idx="19">
                  <c:v>5.6756810656250005</c:v>
                </c:pt>
                <c:pt idx="20">
                  <c:v>7.9578853624999999</c:v>
                </c:pt>
                <c:pt idx="21">
                  <c:v>7.1233380343750001</c:v>
                </c:pt>
                <c:pt idx="22">
                  <c:v>7.9578853624999999</c:v>
                </c:pt>
                <c:pt idx="23">
                  <c:v>7.1233380343750001</c:v>
                </c:pt>
                <c:pt idx="24">
                  <c:v>5.070772175000001</c:v>
                </c:pt>
                <c:pt idx="25">
                  <c:v>5.6756810656250005</c:v>
                </c:pt>
                <c:pt idx="26">
                  <c:v>5.070772175000001</c:v>
                </c:pt>
                <c:pt idx="27">
                  <c:v>5.6756810656250005</c:v>
                </c:pt>
                <c:pt idx="28">
                  <c:v>7.9578853624999999</c:v>
                </c:pt>
                <c:pt idx="29">
                  <c:v>7.1233380343750001</c:v>
                </c:pt>
                <c:pt idx="30">
                  <c:v>7.9578853624999999</c:v>
                </c:pt>
                <c:pt idx="31">
                  <c:v>7.1233380343750001</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numCache>
            </c:numRef>
          </c:xVal>
          <c:yVal>
            <c:numRef>
              <c:f>MODEL_RESIDUALS!$AL$2:$AL$71</c:f>
              <c:numCache>
                <c:formatCode>General</c:formatCode>
                <c:ptCount val="70"/>
                <c:pt idx="0">
                  <c:v>-0.68047746875000037</c:v>
                </c:pt>
                <c:pt idx="1">
                  <c:v>0.10590610937499889</c:v>
                </c:pt>
                <c:pt idx="2">
                  <c:v>0.20801703124999982</c:v>
                </c:pt>
                <c:pt idx="3">
                  <c:v>0.78966685937499914</c:v>
                </c:pt>
                <c:pt idx="4">
                  <c:v>0.67361584375000039</c:v>
                </c:pt>
                <c:pt idx="5">
                  <c:v>-1.037521609375001</c:v>
                </c:pt>
                <c:pt idx="6">
                  <c:v>0.45747384375000077</c:v>
                </c:pt>
                <c:pt idx="7">
                  <c:v>-1.1067236093750008</c:v>
                </c:pt>
                <c:pt idx="8">
                  <c:v>-0.23451896875000067</c:v>
                </c:pt>
                <c:pt idx="9">
                  <c:v>-7.0668390625001187E-2</c:v>
                </c:pt>
                <c:pt idx="10">
                  <c:v>0.45560503124999929</c:v>
                </c:pt>
                <c:pt idx="11">
                  <c:v>0.92056935937499862</c:v>
                </c:pt>
                <c:pt idx="12">
                  <c:v>-0.11842215624999941</c:v>
                </c:pt>
                <c:pt idx="13">
                  <c:v>-0.10090710937500091</c:v>
                </c:pt>
                <c:pt idx="14">
                  <c:v>-0.76129315624999983</c:v>
                </c:pt>
                <c:pt idx="15">
                  <c:v>0.4996783906249993</c:v>
                </c:pt>
                <c:pt idx="16">
                  <c:v>-0.53773215625000059</c:v>
                </c:pt>
                <c:pt idx="17">
                  <c:v>5.856645312499964E-2</c:v>
                </c:pt>
                <c:pt idx="18">
                  <c:v>0.8074008437499991</c:v>
                </c:pt>
                <c:pt idx="19">
                  <c:v>-0.41313754687500026</c:v>
                </c:pt>
                <c:pt idx="20">
                  <c:v>-1.2981838437499995</c:v>
                </c:pt>
                <c:pt idx="21">
                  <c:v>0.9781944843749999</c:v>
                </c:pt>
                <c:pt idx="22">
                  <c:v>0.96894065625000092</c:v>
                </c:pt>
                <c:pt idx="23">
                  <c:v>-6.404601562500023E-2</c:v>
                </c:pt>
                <c:pt idx="24">
                  <c:v>-0.62957015625000068</c:v>
                </c:pt>
                <c:pt idx="25">
                  <c:v>-1.4953942968750003</c:v>
                </c:pt>
                <c:pt idx="26">
                  <c:v>0.61127584374999877</c:v>
                </c:pt>
                <c:pt idx="27">
                  <c:v>0.10449145312499919</c:v>
                </c:pt>
                <c:pt idx="28">
                  <c:v>0.78184665625000083</c:v>
                </c:pt>
                <c:pt idx="29">
                  <c:v>0.71546648437499982</c:v>
                </c:pt>
                <c:pt idx="30">
                  <c:v>-0.70397784374999972</c:v>
                </c:pt>
                <c:pt idx="31">
                  <c:v>0.11585898437499953</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numCache>
            </c:numRef>
          </c:yVal>
          <c:smooth val="0"/>
          <c:extLst>
            <c:ext xmlns:c16="http://schemas.microsoft.com/office/drawing/2014/chart" uri="{C3380CC4-5D6E-409C-BE32-E72D297353CC}">
              <c16:uniqueId val="{00000000-279D-416A-9361-DA47112DC458}"/>
            </c:ext>
          </c:extLst>
        </c:ser>
        <c:dLbls>
          <c:showLegendKey val="0"/>
          <c:showVal val="0"/>
          <c:showCatName val="0"/>
          <c:showSerName val="0"/>
          <c:showPercent val="0"/>
          <c:showBubbleSize val="0"/>
        </c:dLbls>
        <c:axId val="1475943567"/>
        <c:axId val="1475944399"/>
      </c:scatterChart>
      <c:valAx>
        <c:axId val="14759435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ES"/>
          </a:p>
        </c:txPr>
        <c:crossAx val="1475944399"/>
        <c:crosses val="autoZero"/>
        <c:crossBetween val="midCat"/>
      </c:valAx>
      <c:valAx>
        <c:axId val="1475944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ES"/>
          </a:p>
        </c:txPr>
        <c:crossAx val="147594356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pPr>
      <a:endParaRPr lang="es-E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noFill/>
              <a:round/>
            </a:ln>
            <a:effectLst/>
          </c:spPr>
          <c:marker>
            <c:symbol val="circle"/>
            <c:size val="11"/>
            <c:spPr>
              <a:noFill/>
              <a:ln w="38100">
                <a:solidFill>
                  <a:srgbClr val="FF0000"/>
                </a:solidFill>
              </a:ln>
              <a:effectLst/>
            </c:spPr>
          </c:marker>
          <c:xVal>
            <c:numRef>
              <c:f>MODEL_RESIDUALSQQ!$F$5:$F$74</c:f>
              <c:numCache>
                <c:formatCode>General</c:formatCode>
                <c:ptCount val="70"/>
                <c:pt idx="0">
                  <c:v>-1.519255863487446</c:v>
                </c:pt>
                <c:pt idx="1">
                  <c:v>-1.1821399163541266</c:v>
                </c:pt>
                <c:pt idx="2">
                  <c:v>-1.0000566054633684</c:v>
                </c:pt>
                <c:pt idx="3">
                  <c:v>-0.86749249450436505</c:v>
                </c:pt>
                <c:pt idx="4">
                  <c:v>-0.76003578469000677</c:v>
                </c:pt>
                <c:pt idx="5">
                  <c:v>-0.66782145621989797</c:v>
                </c:pt>
                <c:pt idx="6">
                  <c:v>-0.58580869392379864</c:v>
                </c:pt>
                <c:pt idx="7">
                  <c:v>-0.5110430650105231</c:v>
                </c:pt>
                <c:pt idx="8">
                  <c:v>-0.44162485322549583</c:v>
                </c:pt>
                <c:pt idx="9">
                  <c:v>-0.376245575512138</c:v>
                </c:pt>
                <c:pt idx="10">
                  <c:v>-0.31395303880330505</c:v>
                </c:pt>
                <c:pt idx="11">
                  <c:v>-0.25402102138388938</c:v>
                </c:pt>
                <c:pt idx="12">
                  <c:v>-0.19587157511833489</c:v>
                </c:pt>
                <c:pt idx="13">
                  <c:v>-0.13902570113653848</c:v>
                </c:pt>
                <c:pt idx="14">
                  <c:v>-8.3070093626982019E-2</c:v>
                </c:pt>
                <c:pt idx="15">
                  <c:v>-2.7633222012946476E-2</c:v>
                </c:pt>
                <c:pt idx="16">
                  <c:v>2.7633222012945755E-2</c:v>
                </c:pt>
                <c:pt idx="17">
                  <c:v>8.3070093626981298E-2</c:v>
                </c:pt>
                <c:pt idx="18">
                  <c:v>0.13902570113653775</c:v>
                </c:pt>
                <c:pt idx="19">
                  <c:v>0.19587157511833417</c:v>
                </c:pt>
                <c:pt idx="20">
                  <c:v>0.25402102138388871</c:v>
                </c:pt>
                <c:pt idx="21">
                  <c:v>0.31395303880330439</c:v>
                </c:pt>
                <c:pt idx="22">
                  <c:v>0.37624557551213722</c:v>
                </c:pt>
                <c:pt idx="23">
                  <c:v>0.44162485322549505</c:v>
                </c:pt>
                <c:pt idx="24">
                  <c:v>0.51104306501052243</c:v>
                </c:pt>
                <c:pt idx="25">
                  <c:v>0.58580869392379797</c:v>
                </c:pt>
                <c:pt idx="26">
                  <c:v>0.6678214562198973</c:v>
                </c:pt>
                <c:pt idx="27">
                  <c:v>0.7600357846900061</c:v>
                </c:pt>
                <c:pt idx="28">
                  <c:v>0.86749249450436439</c:v>
                </c:pt>
                <c:pt idx="29">
                  <c:v>1.0000566054633675</c:v>
                </c:pt>
                <c:pt idx="30">
                  <c:v>1.1821399163541257</c:v>
                </c:pt>
                <c:pt idx="31">
                  <c:v>1.5192558634874451</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numCache>
            </c:numRef>
          </c:xVal>
          <c:yVal>
            <c:numRef>
              <c:f>MODEL_RESIDUALSQQ!$G$5:$G$74</c:f>
              <c:numCache>
                <c:formatCode>General</c:formatCode>
                <c:ptCount val="70"/>
                <c:pt idx="0">
                  <c:v>-1.4953942968750003</c:v>
                </c:pt>
                <c:pt idx="1">
                  <c:v>-1.2981838437499995</c:v>
                </c:pt>
                <c:pt idx="2">
                  <c:v>-1.1067236093750008</c:v>
                </c:pt>
                <c:pt idx="3">
                  <c:v>-1.037521609375001</c:v>
                </c:pt>
                <c:pt idx="4">
                  <c:v>-0.76129315624999983</c:v>
                </c:pt>
                <c:pt idx="5">
                  <c:v>-0.70397784374999972</c:v>
                </c:pt>
                <c:pt idx="6">
                  <c:v>-0.68047746875000037</c:v>
                </c:pt>
                <c:pt idx="7">
                  <c:v>-0.62957015625000068</c:v>
                </c:pt>
                <c:pt idx="8">
                  <c:v>-0.53773215625000059</c:v>
                </c:pt>
                <c:pt idx="9">
                  <c:v>-0.41313754687500026</c:v>
                </c:pt>
                <c:pt idx="10">
                  <c:v>-0.23451896875000067</c:v>
                </c:pt>
                <c:pt idx="11">
                  <c:v>-0.11842215624999941</c:v>
                </c:pt>
                <c:pt idx="12">
                  <c:v>-0.10090710937500091</c:v>
                </c:pt>
                <c:pt idx="13">
                  <c:v>-7.0668390625001187E-2</c:v>
                </c:pt>
                <c:pt idx="14">
                  <c:v>-6.404601562500023E-2</c:v>
                </c:pt>
                <c:pt idx="15">
                  <c:v>5.856645312499964E-2</c:v>
                </c:pt>
                <c:pt idx="16">
                  <c:v>0.10449145312499919</c:v>
                </c:pt>
                <c:pt idx="17">
                  <c:v>0.10590610937499889</c:v>
                </c:pt>
                <c:pt idx="18">
                  <c:v>0.11585898437499953</c:v>
                </c:pt>
                <c:pt idx="19">
                  <c:v>0.20801703124999982</c:v>
                </c:pt>
                <c:pt idx="20">
                  <c:v>0.45560503124999929</c:v>
                </c:pt>
                <c:pt idx="21">
                  <c:v>0.45747384375000077</c:v>
                </c:pt>
                <c:pt idx="22">
                  <c:v>0.4996783906249993</c:v>
                </c:pt>
                <c:pt idx="23">
                  <c:v>0.61127584374999877</c:v>
                </c:pt>
                <c:pt idx="24">
                  <c:v>0.67361584375000039</c:v>
                </c:pt>
                <c:pt idx="25">
                  <c:v>0.71546648437499982</c:v>
                </c:pt>
                <c:pt idx="26">
                  <c:v>0.78184665625000083</c:v>
                </c:pt>
                <c:pt idx="27">
                  <c:v>0.78966685937499914</c:v>
                </c:pt>
                <c:pt idx="28">
                  <c:v>0.8074008437499991</c:v>
                </c:pt>
                <c:pt idx="29">
                  <c:v>0.92056935937499862</c:v>
                </c:pt>
                <c:pt idx="30">
                  <c:v>0.96894065625000092</c:v>
                </c:pt>
                <c:pt idx="31">
                  <c:v>0.9781944843749999</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numCache>
            </c:numRef>
          </c:yVal>
          <c:smooth val="0"/>
          <c:extLst>
            <c:ext xmlns:c16="http://schemas.microsoft.com/office/drawing/2014/chart" uri="{C3380CC4-5D6E-409C-BE32-E72D297353CC}">
              <c16:uniqueId val="{00000000-B9A6-4AB3-BD86-132DFFDDCEB5}"/>
            </c:ext>
          </c:extLst>
        </c:ser>
        <c:ser>
          <c:idx val="1"/>
          <c:order val="1"/>
          <c:spPr>
            <a:ln w="25400" cap="rnd">
              <a:solidFill>
                <a:schemeClr val="tx1">
                  <a:lumMod val="50000"/>
                  <a:lumOff val="50000"/>
                </a:schemeClr>
              </a:solidFill>
              <a:round/>
            </a:ln>
            <a:effectLst/>
          </c:spPr>
          <c:marker>
            <c:symbol val="none"/>
          </c:marker>
          <c:xVal>
            <c:numRef>
              <c:f>MODEL_RESIDUALSQQ!$F$5:$F$74</c:f>
              <c:numCache>
                <c:formatCode>General</c:formatCode>
                <c:ptCount val="70"/>
                <c:pt idx="0">
                  <c:v>-1.519255863487446</c:v>
                </c:pt>
                <c:pt idx="1">
                  <c:v>-1.1821399163541266</c:v>
                </c:pt>
                <c:pt idx="2">
                  <c:v>-1.0000566054633684</c:v>
                </c:pt>
                <c:pt idx="3">
                  <c:v>-0.86749249450436505</c:v>
                </c:pt>
                <c:pt idx="4">
                  <c:v>-0.76003578469000677</c:v>
                </c:pt>
                <c:pt idx="5">
                  <c:v>-0.66782145621989797</c:v>
                </c:pt>
                <c:pt idx="6">
                  <c:v>-0.58580869392379864</c:v>
                </c:pt>
                <c:pt idx="7">
                  <c:v>-0.5110430650105231</c:v>
                </c:pt>
                <c:pt idx="8">
                  <c:v>-0.44162485322549583</c:v>
                </c:pt>
                <c:pt idx="9">
                  <c:v>-0.376245575512138</c:v>
                </c:pt>
                <c:pt idx="10">
                  <c:v>-0.31395303880330505</c:v>
                </c:pt>
                <c:pt idx="11">
                  <c:v>-0.25402102138388938</c:v>
                </c:pt>
                <c:pt idx="12">
                  <c:v>-0.19587157511833489</c:v>
                </c:pt>
                <c:pt idx="13">
                  <c:v>-0.13902570113653848</c:v>
                </c:pt>
                <c:pt idx="14">
                  <c:v>-8.3070093626982019E-2</c:v>
                </c:pt>
                <c:pt idx="15">
                  <c:v>-2.7633222012946476E-2</c:v>
                </c:pt>
                <c:pt idx="16">
                  <c:v>2.7633222012945755E-2</c:v>
                </c:pt>
                <c:pt idx="17">
                  <c:v>8.3070093626981298E-2</c:v>
                </c:pt>
                <c:pt idx="18">
                  <c:v>0.13902570113653775</c:v>
                </c:pt>
                <c:pt idx="19">
                  <c:v>0.19587157511833417</c:v>
                </c:pt>
                <c:pt idx="20">
                  <c:v>0.25402102138388871</c:v>
                </c:pt>
                <c:pt idx="21">
                  <c:v>0.31395303880330439</c:v>
                </c:pt>
                <c:pt idx="22">
                  <c:v>0.37624557551213722</c:v>
                </c:pt>
                <c:pt idx="23">
                  <c:v>0.44162485322549505</c:v>
                </c:pt>
                <c:pt idx="24">
                  <c:v>0.51104306501052243</c:v>
                </c:pt>
                <c:pt idx="25">
                  <c:v>0.58580869392379797</c:v>
                </c:pt>
                <c:pt idx="26">
                  <c:v>0.6678214562198973</c:v>
                </c:pt>
                <c:pt idx="27">
                  <c:v>0.7600357846900061</c:v>
                </c:pt>
                <c:pt idx="28">
                  <c:v>0.86749249450436439</c:v>
                </c:pt>
                <c:pt idx="29">
                  <c:v>1.0000566054633675</c:v>
                </c:pt>
                <c:pt idx="30">
                  <c:v>1.1821399163541257</c:v>
                </c:pt>
                <c:pt idx="31">
                  <c:v>1.5192558634874451</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numCache>
            </c:numRef>
          </c:xVal>
          <c:yVal>
            <c:numRef>
              <c:f>MODEL_RESIDUALSQQ!$F$5:$F$74</c:f>
              <c:numCache>
                <c:formatCode>General</c:formatCode>
                <c:ptCount val="70"/>
                <c:pt idx="0">
                  <c:v>-1.519255863487446</c:v>
                </c:pt>
                <c:pt idx="1">
                  <c:v>-1.1821399163541266</c:v>
                </c:pt>
                <c:pt idx="2">
                  <c:v>-1.0000566054633684</c:v>
                </c:pt>
                <c:pt idx="3">
                  <c:v>-0.86749249450436505</c:v>
                </c:pt>
                <c:pt idx="4">
                  <c:v>-0.76003578469000677</c:v>
                </c:pt>
                <c:pt idx="5">
                  <c:v>-0.66782145621989797</c:v>
                </c:pt>
                <c:pt idx="6">
                  <c:v>-0.58580869392379864</c:v>
                </c:pt>
                <c:pt idx="7">
                  <c:v>-0.5110430650105231</c:v>
                </c:pt>
                <c:pt idx="8">
                  <c:v>-0.44162485322549583</c:v>
                </c:pt>
                <c:pt idx="9">
                  <c:v>-0.376245575512138</c:v>
                </c:pt>
                <c:pt idx="10">
                  <c:v>-0.31395303880330505</c:v>
                </c:pt>
                <c:pt idx="11">
                  <c:v>-0.25402102138388938</c:v>
                </c:pt>
                <c:pt idx="12">
                  <c:v>-0.19587157511833489</c:v>
                </c:pt>
                <c:pt idx="13">
                  <c:v>-0.13902570113653848</c:v>
                </c:pt>
                <c:pt idx="14">
                  <c:v>-8.3070093626982019E-2</c:v>
                </c:pt>
                <c:pt idx="15">
                  <c:v>-2.7633222012946476E-2</c:v>
                </c:pt>
                <c:pt idx="16">
                  <c:v>2.7633222012945755E-2</c:v>
                </c:pt>
                <c:pt idx="17">
                  <c:v>8.3070093626981298E-2</c:v>
                </c:pt>
                <c:pt idx="18">
                  <c:v>0.13902570113653775</c:v>
                </c:pt>
                <c:pt idx="19">
                  <c:v>0.19587157511833417</c:v>
                </c:pt>
                <c:pt idx="20">
                  <c:v>0.25402102138388871</c:v>
                </c:pt>
                <c:pt idx="21">
                  <c:v>0.31395303880330439</c:v>
                </c:pt>
                <c:pt idx="22">
                  <c:v>0.37624557551213722</c:v>
                </c:pt>
                <c:pt idx="23">
                  <c:v>0.44162485322549505</c:v>
                </c:pt>
                <c:pt idx="24">
                  <c:v>0.51104306501052243</c:v>
                </c:pt>
                <c:pt idx="25">
                  <c:v>0.58580869392379797</c:v>
                </c:pt>
                <c:pt idx="26">
                  <c:v>0.6678214562198973</c:v>
                </c:pt>
                <c:pt idx="27">
                  <c:v>0.7600357846900061</c:v>
                </c:pt>
                <c:pt idx="28">
                  <c:v>0.86749249450436439</c:v>
                </c:pt>
                <c:pt idx="29">
                  <c:v>1.0000566054633675</c:v>
                </c:pt>
                <c:pt idx="30">
                  <c:v>1.1821399163541257</c:v>
                </c:pt>
                <c:pt idx="31">
                  <c:v>1.5192558634874451</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numCache>
            </c:numRef>
          </c:yVal>
          <c:smooth val="0"/>
          <c:extLst>
            <c:ext xmlns:c16="http://schemas.microsoft.com/office/drawing/2014/chart" uri="{C3380CC4-5D6E-409C-BE32-E72D297353CC}">
              <c16:uniqueId val="{00000001-B9A6-4AB3-BD86-132DFFDDCEB5}"/>
            </c:ext>
          </c:extLst>
        </c:ser>
        <c:dLbls>
          <c:showLegendKey val="0"/>
          <c:showVal val="0"/>
          <c:showCatName val="0"/>
          <c:showSerName val="0"/>
          <c:showPercent val="0"/>
          <c:showBubbleSize val="0"/>
        </c:dLbls>
        <c:axId val="496264255"/>
        <c:axId val="496266335"/>
      </c:scatterChart>
      <c:valAx>
        <c:axId val="4962642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ES"/>
          </a:p>
        </c:txPr>
        <c:crossAx val="496266335"/>
        <c:crosses val="autoZero"/>
        <c:crossBetween val="midCat"/>
      </c:valAx>
      <c:valAx>
        <c:axId val="496266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ES"/>
          </a:p>
        </c:txPr>
        <c:crossAx val="4962642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pPr>
      <a:endParaRPr lang="es-E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noFill/>
              <a:round/>
            </a:ln>
            <a:effectLst/>
          </c:spPr>
          <c:marker>
            <c:symbol val="circle"/>
            <c:size val="11"/>
            <c:spPr>
              <a:noFill/>
              <a:ln w="38100">
                <a:solidFill>
                  <a:srgbClr val="FF0000"/>
                </a:solidFill>
              </a:ln>
              <a:effectLst/>
            </c:spPr>
          </c:marker>
          <c:dLbls>
            <c:dLbl>
              <c:idx val="0"/>
              <c:tx>
                <c:rich>
                  <a:bodyPr/>
                  <a:lstStyle/>
                  <a:p>
                    <a:fld id="{3F8DC579-3320-4C94-B2A4-13FBDA7C1D1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A387-41F7-9F09-9483FCF9A17D}"/>
                </c:ext>
              </c:extLst>
            </c:dLbl>
            <c:dLbl>
              <c:idx val="1"/>
              <c:tx>
                <c:rich>
                  <a:bodyPr/>
                  <a:lstStyle/>
                  <a:p>
                    <a:fld id="{5D46FDF4-3C78-44D9-BFB1-AE1F39D5015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387-41F7-9F09-9483FCF9A17D}"/>
                </c:ext>
              </c:extLst>
            </c:dLbl>
            <c:dLbl>
              <c:idx val="2"/>
              <c:tx>
                <c:rich>
                  <a:bodyPr/>
                  <a:lstStyle/>
                  <a:p>
                    <a:fld id="{B0F9A727-21CD-4C4A-AECA-E65BB9E0FA1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A387-41F7-9F09-9483FCF9A17D}"/>
                </c:ext>
              </c:extLst>
            </c:dLbl>
            <c:dLbl>
              <c:idx val="3"/>
              <c:tx>
                <c:rich>
                  <a:bodyPr/>
                  <a:lstStyle/>
                  <a:p>
                    <a:fld id="{A066B725-9F28-4E5E-8B8F-900542C80F1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A387-41F7-9F09-9483FCF9A17D}"/>
                </c:ext>
              </c:extLst>
            </c:dLbl>
            <c:dLbl>
              <c:idx val="4"/>
              <c:tx>
                <c:rich>
                  <a:bodyPr/>
                  <a:lstStyle/>
                  <a:p>
                    <a:fld id="{FDDD1E0B-7EB0-4932-B698-5001AA4BCF7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A387-41F7-9F09-9483FCF9A17D}"/>
                </c:ext>
              </c:extLst>
            </c:dLbl>
            <c:dLbl>
              <c:idx val="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A387-41F7-9F09-9483FCF9A17D}"/>
                </c:ext>
              </c:extLst>
            </c:dLbl>
            <c:dLbl>
              <c:idx val="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A387-41F7-9F09-9483FCF9A17D}"/>
                </c:ext>
              </c:extLst>
            </c:dLbl>
            <c:dLbl>
              <c:idx val="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A387-41F7-9F09-9483FCF9A17D}"/>
                </c:ext>
              </c:extLst>
            </c:dLbl>
            <c:dLbl>
              <c:idx val="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A387-41F7-9F09-9483FCF9A17D}"/>
                </c:ext>
              </c:extLst>
            </c:dLbl>
            <c:dLbl>
              <c:idx val="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A387-41F7-9F09-9483FCF9A17D}"/>
                </c:ext>
              </c:extLst>
            </c:dLbl>
            <c:dLbl>
              <c:idx val="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A387-41F7-9F09-9483FCF9A17D}"/>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A387-41F7-9F09-9483FCF9A17D}"/>
                </c:ext>
              </c:extLst>
            </c:dLbl>
            <c:dLbl>
              <c:idx val="1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A387-41F7-9F09-9483FCF9A17D}"/>
                </c:ext>
              </c:extLst>
            </c:dLbl>
            <c:dLbl>
              <c:idx val="1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A387-41F7-9F09-9483FCF9A17D}"/>
                </c:ext>
              </c:extLst>
            </c:dLbl>
            <c:dLbl>
              <c:idx val="1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A387-41F7-9F09-9483FCF9A17D}"/>
                </c:ext>
              </c:extLst>
            </c:dLbl>
            <c:dLbl>
              <c:idx val="1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A387-41F7-9F09-9483FCF9A17D}"/>
                </c:ext>
              </c:extLst>
            </c:dLbl>
            <c:dLbl>
              <c:idx val="1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A387-41F7-9F09-9483FCF9A17D}"/>
                </c:ext>
              </c:extLst>
            </c:dLbl>
            <c:dLbl>
              <c:idx val="1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A387-41F7-9F09-9483FCF9A17D}"/>
                </c:ext>
              </c:extLst>
            </c:dLbl>
            <c:dLbl>
              <c:idx val="1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A387-41F7-9F09-9483FCF9A17D}"/>
                </c:ext>
              </c:extLst>
            </c:dLbl>
            <c:dLbl>
              <c:idx val="1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A387-41F7-9F09-9483FCF9A17D}"/>
                </c:ext>
              </c:extLst>
            </c:dLbl>
            <c:dLbl>
              <c:idx val="2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A387-41F7-9F09-9483FCF9A17D}"/>
                </c:ext>
              </c:extLst>
            </c:dLbl>
            <c:dLbl>
              <c:idx val="2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A387-41F7-9F09-9483FCF9A17D}"/>
                </c:ext>
              </c:extLst>
            </c:dLbl>
            <c:dLbl>
              <c:idx val="2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A387-41F7-9F09-9483FCF9A17D}"/>
                </c:ext>
              </c:extLst>
            </c:dLbl>
            <c:dLbl>
              <c:idx val="2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A387-41F7-9F09-9483FCF9A17D}"/>
                </c:ext>
              </c:extLst>
            </c:dLbl>
            <c:dLbl>
              <c:idx val="2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A387-41F7-9F09-9483FCF9A17D}"/>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s-E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MODEL_EFFECTSQQ!$H$5:$H$29</c:f>
              <c:numCache>
                <c:formatCode>General</c:formatCode>
                <c:ptCount val="25"/>
                <c:pt idx="0">
                  <c:v>-0.73525779804904912</c:v>
                </c:pt>
                <c:pt idx="1">
                  <c:v>0.19403898696394484</c:v>
                </c:pt>
                <c:pt idx="2">
                  <c:v>0.83766710937499944</c:v>
                </c:pt>
                <c:pt idx="3">
                  <c:v>1.4812952317860537</c:v>
                </c:pt>
                <c:pt idx="4">
                  <c:v>2.4105920167990478</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numCache>
            </c:numRef>
          </c:xVal>
          <c:yVal>
            <c:numRef>
              <c:f>MODEL_EFFECTSQQ!$I$5:$I$29</c:f>
              <c:numCache>
                <c:formatCode>General</c:formatCode>
                <c:ptCount val="25"/>
                <c:pt idx="0">
                  <c:v>-0.95248632812500045</c:v>
                </c:pt>
                <c:pt idx="1">
                  <c:v>-0.71972810937499965</c:v>
                </c:pt>
                <c:pt idx="2">
                  <c:v>0.83766710937499944</c:v>
                </c:pt>
                <c:pt idx="3">
                  <c:v>0.93598029687499906</c:v>
                </c:pt>
                <c:pt idx="4">
                  <c:v>2.167385078125001</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numCache>
            </c:numRef>
          </c:yVal>
          <c:smooth val="0"/>
          <c:extLst>
            <c:ext xmlns:c15="http://schemas.microsoft.com/office/drawing/2012/chart" uri="{02D57815-91ED-43cb-92C2-25804820EDAC}">
              <c15:datalabelsRange>
                <c15:f>MODEL_EFFECTSQQ!$J$5:$J$29</c15:f>
                <c15:dlblRangeCache>
                  <c:ptCount val="25"/>
                  <c:pt idx="0">
                    <c:v>A</c:v>
                  </c:pt>
                  <c:pt idx="1">
                    <c:v>AC</c:v>
                  </c:pt>
                  <c:pt idx="2">
                    <c:v>AE</c:v>
                  </c:pt>
                  <c:pt idx="3">
                    <c:v>E</c:v>
                  </c:pt>
                  <c:pt idx="4">
                    <c:v>C</c:v>
                  </c:pt>
                  <c:pt idx="5">
                    <c:v>#N/D</c:v>
                  </c:pt>
                  <c:pt idx="6">
                    <c:v>#N/D</c:v>
                  </c:pt>
                  <c:pt idx="7">
                    <c:v>#N/D</c:v>
                  </c:pt>
                  <c:pt idx="8">
                    <c:v>#N/D</c:v>
                  </c:pt>
                  <c:pt idx="9">
                    <c:v>#N/D</c:v>
                  </c:pt>
                  <c:pt idx="10">
                    <c:v>#N/D</c:v>
                  </c:pt>
                  <c:pt idx="11">
                    <c:v>#N/D</c:v>
                  </c:pt>
                  <c:pt idx="12">
                    <c:v>#N/D</c:v>
                  </c:pt>
                  <c:pt idx="13">
                    <c:v>#N/D</c:v>
                  </c:pt>
                  <c:pt idx="14">
                    <c:v>#N/D</c:v>
                  </c:pt>
                  <c:pt idx="15">
                    <c:v>#N/D</c:v>
                  </c:pt>
                  <c:pt idx="16">
                    <c:v>#N/D</c:v>
                  </c:pt>
                  <c:pt idx="17">
                    <c:v>#N/D</c:v>
                  </c:pt>
                  <c:pt idx="18">
                    <c:v>#N/D</c:v>
                  </c:pt>
                  <c:pt idx="19">
                    <c:v>#N/D</c:v>
                  </c:pt>
                  <c:pt idx="20">
                    <c:v>#N/D</c:v>
                  </c:pt>
                  <c:pt idx="21">
                    <c:v>#N/D</c:v>
                  </c:pt>
                  <c:pt idx="22">
                    <c:v>#N/D</c:v>
                  </c:pt>
                  <c:pt idx="23">
                    <c:v>#N/D</c:v>
                  </c:pt>
                  <c:pt idx="24">
                    <c:v>#N/D</c:v>
                  </c:pt>
                </c15:dlblRangeCache>
              </c15:datalabelsRange>
            </c:ext>
            <c:ext xmlns:c16="http://schemas.microsoft.com/office/drawing/2014/chart" uri="{C3380CC4-5D6E-409C-BE32-E72D297353CC}">
              <c16:uniqueId val="{00000000-A387-41F7-9F09-9483FCF9A17D}"/>
            </c:ext>
          </c:extLst>
        </c:ser>
        <c:ser>
          <c:idx val="1"/>
          <c:order val="1"/>
          <c:spPr>
            <a:ln w="25400" cap="rnd">
              <a:solidFill>
                <a:schemeClr val="tx1">
                  <a:lumMod val="50000"/>
                  <a:lumOff val="50000"/>
                </a:schemeClr>
              </a:solidFill>
              <a:round/>
            </a:ln>
            <a:effectLst/>
          </c:spPr>
          <c:marker>
            <c:symbol val="none"/>
          </c:marker>
          <c:xVal>
            <c:numRef>
              <c:f>MODEL_EFFECTSQQ!$H$5:$H$29</c:f>
              <c:numCache>
                <c:formatCode>General</c:formatCode>
                <c:ptCount val="25"/>
                <c:pt idx="0">
                  <c:v>-0.73525779804904912</c:v>
                </c:pt>
                <c:pt idx="1">
                  <c:v>0.19403898696394484</c:v>
                </c:pt>
                <c:pt idx="2">
                  <c:v>0.83766710937499944</c:v>
                </c:pt>
                <c:pt idx="3">
                  <c:v>1.4812952317860537</c:v>
                </c:pt>
                <c:pt idx="4">
                  <c:v>2.4105920167990478</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numCache>
            </c:numRef>
          </c:xVal>
          <c:yVal>
            <c:numRef>
              <c:f>MODEL_EFFECTSQQ!$H$5:$H$29</c:f>
              <c:numCache>
                <c:formatCode>General</c:formatCode>
                <c:ptCount val="25"/>
                <c:pt idx="0">
                  <c:v>-0.73525779804904912</c:v>
                </c:pt>
                <c:pt idx="1">
                  <c:v>0.19403898696394484</c:v>
                </c:pt>
                <c:pt idx="2">
                  <c:v>0.83766710937499944</c:v>
                </c:pt>
                <c:pt idx="3">
                  <c:v>1.4812952317860537</c:v>
                </c:pt>
                <c:pt idx="4">
                  <c:v>2.4105920167990478</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numCache>
            </c:numRef>
          </c:yVal>
          <c:smooth val="0"/>
          <c:extLst>
            <c:ext xmlns:c16="http://schemas.microsoft.com/office/drawing/2014/chart" uri="{C3380CC4-5D6E-409C-BE32-E72D297353CC}">
              <c16:uniqueId val="{00000001-A387-41F7-9F09-9483FCF9A17D}"/>
            </c:ext>
          </c:extLst>
        </c:ser>
        <c:dLbls>
          <c:showLegendKey val="0"/>
          <c:showVal val="0"/>
          <c:showCatName val="0"/>
          <c:showSerName val="0"/>
          <c:showPercent val="0"/>
          <c:showBubbleSize val="0"/>
        </c:dLbls>
        <c:axId val="496264255"/>
        <c:axId val="496266335"/>
      </c:scatterChart>
      <c:valAx>
        <c:axId val="4962642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ES"/>
          </a:p>
        </c:txPr>
        <c:crossAx val="496266335"/>
        <c:crosses val="autoZero"/>
        <c:crossBetween val="midCat"/>
      </c:valAx>
      <c:valAx>
        <c:axId val="496266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ES"/>
          </a:p>
        </c:txPr>
        <c:crossAx val="4962642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chart" Target="../charts/chart19.xml"/><Relationship Id="rId3" Type="http://schemas.openxmlformats.org/officeDocument/2006/relationships/chart" Target="../charts/chart9.xml"/><Relationship Id="rId7" Type="http://schemas.openxmlformats.org/officeDocument/2006/relationships/chart" Target="../charts/chart13.xml"/><Relationship Id="rId12" Type="http://schemas.openxmlformats.org/officeDocument/2006/relationships/chart" Target="../charts/chart18.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chart" Target="../charts/chart17.xml"/><Relationship Id="rId5" Type="http://schemas.openxmlformats.org/officeDocument/2006/relationships/chart" Target="../charts/chart11.xml"/><Relationship Id="rId15" Type="http://schemas.openxmlformats.org/officeDocument/2006/relationships/chart" Target="../charts/chart21.xml"/><Relationship Id="rId10" Type="http://schemas.openxmlformats.org/officeDocument/2006/relationships/chart" Target="../charts/chart16.xml"/><Relationship Id="rId4" Type="http://schemas.openxmlformats.org/officeDocument/2006/relationships/chart" Target="../charts/chart10.xml"/><Relationship Id="rId9" Type="http://schemas.openxmlformats.org/officeDocument/2006/relationships/chart" Target="../charts/chart15.xml"/><Relationship Id="rId14" Type="http://schemas.openxmlformats.org/officeDocument/2006/relationships/chart" Target="../charts/chart20.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 Id="rId4" Type="http://schemas.openxmlformats.org/officeDocument/2006/relationships/chart" Target="../charts/chart25.xml"/></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11.xml.rels><?xml version="1.0" encoding="UTF-8" standalone="yes"?>
<Relationships xmlns="http://schemas.openxmlformats.org/package/2006/relationships"><Relationship Id="rId2" Type="http://schemas.openxmlformats.org/officeDocument/2006/relationships/chart" Target="../charts/chart27.xml"/><Relationship Id="rId1" Type="http://schemas.openxmlformats.org/officeDocument/2006/relationships/chart" Target="../charts/chart26.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9.xml"/></Relationships>
</file>

<file path=xl/drawings/drawing1.xml><?xml version="1.0" encoding="utf-8"?>
<xdr:wsDr xmlns:xdr="http://schemas.openxmlformats.org/drawingml/2006/spreadsheetDrawing" xmlns:a="http://schemas.openxmlformats.org/drawingml/2006/main">
  <xdr:twoCellAnchor>
    <xdr:from>
      <xdr:col>16</xdr:col>
      <xdr:colOff>0</xdr:colOff>
      <xdr:row>24</xdr:row>
      <xdr:rowOff>0</xdr:rowOff>
    </xdr:from>
    <xdr:to>
      <xdr:col>33</xdr:col>
      <xdr:colOff>381000</xdr:colOff>
      <xdr:row>32</xdr:row>
      <xdr:rowOff>180974</xdr:rowOff>
    </xdr:to>
    <xdr:graphicFrame macro="">
      <xdr:nvGraphicFramePr>
        <xdr:cNvPr id="3" name="Gráfico 2">
          <a:extLst>
            <a:ext uri="{FF2B5EF4-FFF2-40B4-BE49-F238E27FC236}">
              <a16:creationId xmlns:a16="http://schemas.microsoft.com/office/drawing/2014/main" id="{AEDB0EB1-DF8D-4C26-9845-DCF9F294CA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761999</xdr:colOff>
      <xdr:row>0</xdr:row>
      <xdr:rowOff>0</xdr:rowOff>
    </xdr:from>
    <xdr:to>
      <xdr:col>21</xdr:col>
      <xdr:colOff>59531</xdr:colOff>
      <xdr:row>9</xdr:row>
      <xdr:rowOff>142874</xdr:rowOff>
    </xdr:to>
    <xdr:graphicFrame macro="">
      <xdr:nvGraphicFramePr>
        <xdr:cNvPr id="3" name="Gráfico 2">
          <a:extLst>
            <a:ext uri="{FF2B5EF4-FFF2-40B4-BE49-F238E27FC236}">
              <a16:creationId xmlns:a16="http://schemas.microsoft.com/office/drawing/2014/main" id="{B46A54A0-4F77-46A5-9345-8A3BB14257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5953</xdr:colOff>
      <xdr:row>9</xdr:row>
      <xdr:rowOff>182164</xdr:rowOff>
    </xdr:from>
    <xdr:to>
      <xdr:col>15</xdr:col>
      <xdr:colOff>5953</xdr:colOff>
      <xdr:row>24</xdr:row>
      <xdr:rowOff>67864</xdr:rowOff>
    </xdr:to>
    <xdr:graphicFrame macro="">
      <xdr:nvGraphicFramePr>
        <xdr:cNvPr id="4" name="Gráfico 3">
          <a:extLst>
            <a:ext uri="{FF2B5EF4-FFF2-40B4-BE49-F238E27FC236}">
              <a16:creationId xmlns:a16="http://schemas.microsoft.com/office/drawing/2014/main" id="{2630D64E-B914-9454-6080-AF0718FEC7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35719</xdr:colOff>
      <xdr:row>9</xdr:row>
      <xdr:rowOff>166688</xdr:rowOff>
    </xdr:from>
    <xdr:to>
      <xdr:col>21</xdr:col>
      <xdr:colOff>35719</xdr:colOff>
      <xdr:row>24</xdr:row>
      <xdr:rowOff>52388</xdr:rowOff>
    </xdr:to>
    <xdr:graphicFrame macro="">
      <xdr:nvGraphicFramePr>
        <xdr:cNvPr id="8" name="Gráfico 7">
          <a:extLst>
            <a:ext uri="{FF2B5EF4-FFF2-40B4-BE49-F238E27FC236}">
              <a16:creationId xmlns:a16="http://schemas.microsoft.com/office/drawing/2014/main" id="{47444FE0-2F7A-48C5-8911-A454D009CC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29765</xdr:colOff>
      <xdr:row>8</xdr:row>
      <xdr:rowOff>154781</xdr:rowOff>
    </xdr:from>
    <xdr:to>
      <xdr:col>7</xdr:col>
      <xdr:colOff>559594</xdr:colOff>
      <xdr:row>25</xdr:row>
      <xdr:rowOff>95250</xdr:rowOff>
    </xdr:to>
    <xdr:graphicFrame macro="">
      <xdr:nvGraphicFramePr>
        <xdr:cNvPr id="7" name="Gráfico 6">
          <a:extLst>
            <a:ext uri="{FF2B5EF4-FFF2-40B4-BE49-F238E27FC236}">
              <a16:creationId xmlns:a16="http://schemas.microsoft.com/office/drawing/2014/main" id="{E79685B2-9E78-452E-05FD-D4515E4E38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607218</xdr:colOff>
      <xdr:row>8</xdr:row>
      <xdr:rowOff>166688</xdr:rowOff>
    </xdr:from>
    <xdr:to>
      <xdr:col>15</xdr:col>
      <xdr:colOff>553641</xdr:colOff>
      <xdr:row>25</xdr:row>
      <xdr:rowOff>95250</xdr:rowOff>
    </xdr:to>
    <xdr:graphicFrame macro="">
      <xdr:nvGraphicFramePr>
        <xdr:cNvPr id="8" name="Gráfico 7">
          <a:extLst>
            <a:ext uri="{FF2B5EF4-FFF2-40B4-BE49-F238E27FC236}">
              <a16:creationId xmlns:a16="http://schemas.microsoft.com/office/drawing/2014/main" id="{49BE763A-325F-493F-95F5-6CE19F3B8C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26</xdr:col>
      <xdr:colOff>226226</xdr:colOff>
      <xdr:row>0</xdr:row>
      <xdr:rowOff>0</xdr:rowOff>
    </xdr:from>
    <xdr:to>
      <xdr:col>29</xdr:col>
      <xdr:colOff>321469</xdr:colOff>
      <xdr:row>12</xdr:row>
      <xdr:rowOff>44055</xdr:rowOff>
    </xdr:to>
    <xdr:graphicFrame macro="">
      <xdr:nvGraphicFramePr>
        <xdr:cNvPr id="3" name="Gráfico 2">
          <a:extLst>
            <a:ext uri="{FF2B5EF4-FFF2-40B4-BE49-F238E27FC236}">
              <a16:creationId xmlns:a16="http://schemas.microsoft.com/office/drawing/2014/main" id="{DABD9AC5-0781-4D60-83AF-234BAB078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422679</xdr:colOff>
      <xdr:row>0</xdr:row>
      <xdr:rowOff>0</xdr:rowOff>
    </xdr:from>
    <xdr:to>
      <xdr:col>32</xdr:col>
      <xdr:colOff>517922</xdr:colOff>
      <xdr:row>12</xdr:row>
      <xdr:rowOff>44055</xdr:rowOff>
    </xdr:to>
    <xdr:graphicFrame macro="">
      <xdr:nvGraphicFramePr>
        <xdr:cNvPr id="4" name="Gráfico 3">
          <a:extLst>
            <a:ext uri="{FF2B5EF4-FFF2-40B4-BE49-F238E27FC236}">
              <a16:creationId xmlns:a16="http://schemas.microsoft.com/office/drawing/2014/main" id="{CFE6AAC8-4A84-77C4-F419-89D844B659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32</xdr:col>
      <xdr:colOff>619132</xdr:colOff>
      <xdr:row>0</xdr:row>
      <xdr:rowOff>0</xdr:rowOff>
    </xdr:from>
    <xdr:to>
      <xdr:col>35</xdr:col>
      <xdr:colOff>714375</xdr:colOff>
      <xdr:row>12</xdr:row>
      <xdr:rowOff>44055</xdr:rowOff>
    </xdr:to>
    <xdr:graphicFrame macro="">
      <xdr:nvGraphicFramePr>
        <xdr:cNvPr id="5" name="Gráfico 4">
          <a:extLst>
            <a:ext uri="{FF2B5EF4-FFF2-40B4-BE49-F238E27FC236}">
              <a16:creationId xmlns:a16="http://schemas.microsoft.com/office/drawing/2014/main" id="{C9BA5D8F-7A31-7090-E93F-E6D3413CF5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36</xdr:col>
      <xdr:colOff>53585</xdr:colOff>
      <xdr:row>0</xdr:row>
      <xdr:rowOff>0</xdr:rowOff>
    </xdr:from>
    <xdr:to>
      <xdr:col>39</xdr:col>
      <xdr:colOff>148828</xdr:colOff>
      <xdr:row>12</xdr:row>
      <xdr:rowOff>44055</xdr:rowOff>
    </xdr:to>
    <xdr:graphicFrame macro="">
      <xdr:nvGraphicFramePr>
        <xdr:cNvPr id="6" name="Gráfico 5">
          <a:extLst>
            <a:ext uri="{FF2B5EF4-FFF2-40B4-BE49-F238E27FC236}">
              <a16:creationId xmlns:a16="http://schemas.microsoft.com/office/drawing/2014/main" id="{B06D14F2-8870-7CBF-88F4-3E1833C7DA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39</xdr:col>
      <xdr:colOff>250039</xdr:colOff>
      <xdr:row>0</xdr:row>
      <xdr:rowOff>0</xdr:rowOff>
    </xdr:from>
    <xdr:to>
      <xdr:col>42</xdr:col>
      <xdr:colOff>345282</xdr:colOff>
      <xdr:row>12</xdr:row>
      <xdr:rowOff>44055</xdr:rowOff>
    </xdr:to>
    <xdr:graphicFrame macro="">
      <xdr:nvGraphicFramePr>
        <xdr:cNvPr id="7" name="Gráfico 6">
          <a:extLst>
            <a:ext uri="{FF2B5EF4-FFF2-40B4-BE49-F238E27FC236}">
              <a16:creationId xmlns:a16="http://schemas.microsoft.com/office/drawing/2014/main" id="{781F0456-08F1-458C-F196-1D543F1D1F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226226</xdr:colOff>
      <xdr:row>12</xdr:row>
      <xdr:rowOff>95250</xdr:rowOff>
    </xdr:from>
    <xdr:to>
      <xdr:col>29</xdr:col>
      <xdr:colOff>321469</xdr:colOff>
      <xdr:row>24</xdr:row>
      <xdr:rowOff>139305</xdr:rowOff>
    </xdr:to>
    <xdr:graphicFrame macro="">
      <xdr:nvGraphicFramePr>
        <xdr:cNvPr id="8" name="Gráfico 7">
          <a:extLst>
            <a:ext uri="{FF2B5EF4-FFF2-40B4-BE49-F238E27FC236}">
              <a16:creationId xmlns:a16="http://schemas.microsoft.com/office/drawing/2014/main" id="{7A1E99D4-F9F4-CC27-9067-5EB1A3D741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422679</xdr:colOff>
      <xdr:row>12</xdr:row>
      <xdr:rowOff>95250</xdr:rowOff>
    </xdr:from>
    <xdr:to>
      <xdr:col>32</xdr:col>
      <xdr:colOff>517922</xdr:colOff>
      <xdr:row>24</xdr:row>
      <xdr:rowOff>139305</xdr:rowOff>
    </xdr:to>
    <xdr:graphicFrame macro="">
      <xdr:nvGraphicFramePr>
        <xdr:cNvPr id="9" name="Gráfico 8">
          <a:extLst>
            <a:ext uri="{FF2B5EF4-FFF2-40B4-BE49-F238E27FC236}">
              <a16:creationId xmlns:a16="http://schemas.microsoft.com/office/drawing/2014/main" id="{5538DAF3-3793-FF0C-3C97-9AFE7BF77C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32</xdr:col>
      <xdr:colOff>619132</xdr:colOff>
      <xdr:row>12</xdr:row>
      <xdr:rowOff>95250</xdr:rowOff>
    </xdr:from>
    <xdr:to>
      <xdr:col>35</xdr:col>
      <xdr:colOff>714375</xdr:colOff>
      <xdr:row>24</xdr:row>
      <xdr:rowOff>139305</xdr:rowOff>
    </xdr:to>
    <xdr:graphicFrame macro="">
      <xdr:nvGraphicFramePr>
        <xdr:cNvPr id="10" name="Gráfico 9">
          <a:extLst>
            <a:ext uri="{FF2B5EF4-FFF2-40B4-BE49-F238E27FC236}">
              <a16:creationId xmlns:a16="http://schemas.microsoft.com/office/drawing/2014/main" id="{28858AFE-3EC9-3B3D-1ED6-012679BA6A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36</xdr:col>
      <xdr:colOff>53585</xdr:colOff>
      <xdr:row>12</xdr:row>
      <xdr:rowOff>95250</xdr:rowOff>
    </xdr:from>
    <xdr:to>
      <xdr:col>39</xdr:col>
      <xdr:colOff>148828</xdr:colOff>
      <xdr:row>24</xdr:row>
      <xdr:rowOff>139305</xdr:rowOff>
    </xdr:to>
    <xdr:graphicFrame macro="">
      <xdr:nvGraphicFramePr>
        <xdr:cNvPr id="11" name="Gráfico 10">
          <a:extLst>
            <a:ext uri="{FF2B5EF4-FFF2-40B4-BE49-F238E27FC236}">
              <a16:creationId xmlns:a16="http://schemas.microsoft.com/office/drawing/2014/main" id="{4699734D-1B62-BA4B-7A0D-484C568117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39</xdr:col>
      <xdr:colOff>250038</xdr:colOff>
      <xdr:row>12</xdr:row>
      <xdr:rowOff>95250</xdr:rowOff>
    </xdr:from>
    <xdr:to>
      <xdr:col>42</xdr:col>
      <xdr:colOff>345281</xdr:colOff>
      <xdr:row>24</xdr:row>
      <xdr:rowOff>139305</xdr:rowOff>
    </xdr:to>
    <xdr:graphicFrame macro="">
      <xdr:nvGraphicFramePr>
        <xdr:cNvPr id="12" name="Gráfico 11">
          <a:extLst>
            <a:ext uri="{FF2B5EF4-FFF2-40B4-BE49-F238E27FC236}">
              <a16:creationId xmlns:a16="http://schemas.microsoft.com/office/drawing/2014/main" id="{DCC3CCF2-33C8-449C-B117-8760AB8D04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26</xdr:col>
      <xdr:colOff>226226</xdr:colOff>
      <xdr:row>25</xdr:row>
      <xdr:rowOff>23811</xdr:rowOff>
    </xdr:from>
    <xdr:to>
      <xdr:col>29</xdr:col>
      <xdr:colOff>321469</xdr:colOff>
      <xdr:row>37</xdr:row>
      <xdr:rowOff>67866</xdr:rowOff>
    </xdr:to>
    <xdr:graphicFrame macro="">
      <xdr:nvGraphicFramePr>
        <xdr:cNvPr id="13" name="Gráfico 12">
          <a:extLst>
            <a:ext uri="{FF2B5EF4-FFF2-40B4-BE49-F238E27FC236}">
              <a16:creationId xmlns:a16="http://schemas.microsoft.com/office/drawing/2014/main" id="{2DD23F40-CAD9-CB91-5363-F0F12DB6AA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29</xdr:col>
      <xdr:colOff>422679</xdr:colOff>
      <xdr:row>25</xdr:row>
      <xdr:rowOff>23811</xdr:rowOff>
    </xdr:from>
    <xdr:to>
      <xdr:col>32</xdr:col>
      <xdr:colOff>517922</xdr:colOff>
      <xdr:row>37</xdr:row>
      <xdr:rowOff>67866</xdr:rowOff>
    </xdr:to>
    <xdr:graphicFrame macro="">
      <xdr:nvGraphicFramePr>
        <xdr:cNvPr id="14" name="Gráfico 13">
          <a:extLst>
            <a:ext uri="{FF2B5EF4-FFF2-40B4-BE49-F238E27FC236}">
              <a16:creationId xmlns:a16="http://schemas.microsoft.com/office/drawing/2014/main" id="{FEB00222-25B7-3148-5744-3C50817562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32</xdr:col>
      <xdr:colOff>619132</xdr:colOff>
      <xdr:row>25</xdr:row>
      <xdr:rowOff>23811</xdr:rowOff>
    </xdr:from>
    <xdr:to>
      <xdr:col>35</xdr:col>
      <xdr:colOff>714375</xdr:colOff>
      <xdr:row>37</xdr:row>
      <xdr:rowOff>67866</xdr:rowOff>
    </xdr:to>
    <xdr:graphicFrame macro="">
      <xdr:nvGraphicFramePr>
        <xdr:cNvPr id="15" name="Gráfico 14">
          <a:extLst>
            <a:ext uri="{FF2B5EF4-FFF2-40B4-BE49-F238E27FC236}">
              <a16:creationId xmlns:a16="http://schemas.microsoft.com/office/drawing/2014/main" id="{F8F2CBA1-DFEF-2D2F-A2D3-C067AF60DE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36</xdr:col>
      <xdr:colOff>53585</xdr:colOff>
      <xdr:row>25</xdr:row>
      <xdr:rowOff>23811</xdr:rowOff>
    </xdr:from>
    <xdr:to>
      <xdr:col>39</xdr:col>
      <xdr:colOff>148828</xdr:colOff>
      <xdr:row>37</xdr:row>
      <xdr:rowOff>67866</xdr:rowOff>
    </xdr:to>
    <xdr:graphicFrame macro="">
      <xdr:nvGraphicFramePr>
        <xdr:cNvPr id="16" name="Gráfico 15">
          <a:extLst>
            <a:ext uri="{FF2B5EF4-FFF2-40B4-BE49-F238E27FC236}">
              <a16:creationId xmlns:a16="http://schemas.microsoft.com/office/drawing/2014/main" id="{8ACFF478-95D7-24B2-FFE9-4924A4F26B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39</xdr:col>
      <xdr:colOff>250038</xdr:colOff>
      <xdr:row>25</xdr:row>
      <xdr:rowOff>23811</xdr:rowOff>
    </xdr:from>
    <xdr:to>
      <xdr:col>42</xdr:col>
      <xdr:colOff>345281</xdr:colOff>
      <xdr:row>37</xdr:row>
      <xdr:rowOff>67866</xdr:rowOff>
    </xdr:to>
    <xdr:graphicFrame macro="">
      <xdr:nvGraphicFramePr>
        <xdr:cNvPr id="17" name="Gráfico 16">
          <a:extLst>
            <a:ext uri="{FF2B5EF4-FFF2-40B4-BE49-F238E27FC236}">
              <a16:creationId xmlns:a16="http://schemas.microsoft.com/office/drawing/2014/main" id="{66A1DD20-2D3C-A40C-0BF0-69E368A108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27</xdr:col>
      <xdr:colOff>105834</xdr:colOff>
      <xdr:row>2</xdr:row>
      <xdr:rowOff>1</xdr:rowOff>
    </xdr:from>
    <xdr:to>
      <xdr:col>30</xdr:col>
      <xdr:colOff>116417</xdr:colOff>
      <xdr:row>27</xdr:row>
      <xdr:rowOff>95251</xdr:rowOff>
    </xdr:to>
    <xdr:graphicFrame macro="">
      <xdr:nvGraphicFramePr>
        <xdr:cNvPr id="17" name="Gráfico 16">
          <a:extLst>
            <a:ext uri="{FF2B5EF4-FFF2-40B4-BE49-F238E27FC236}">
              <a16:creationId xmlns:a16="http://schemas.microsoft.com/office/drawing/2014/main" id="{F8A02139-AF16-F90F-EBF5-C99276CDDD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194030</xdr:colOff>
      <xdr:row>2</xdr:row>
      <xdr:rowOff>1</xdr:rowOff>
    </xdr:from>
    <xdr:to>
      <xdr:col>33</xdr:col>
      <xdr:colOff>204613</xdr:colOff>
      <xdr:row>27</xdr:row>
      <xdr:rowOff>95251</xdr:rowOff>
    </xdr:to>
    <xdr:graphicFrame macro="">
      <xdr:nvGraphicFramePr>
        <xdr:cNvPr id="18" name="Gráfico 17">
          <a:extLst>
            <a:ext uri="{FF2B5EF4-FFF2-40B4-BE49-F238E27FC236}">
              <a16:creationId xmlns:a16="http://schemas.microsoft.com/office/drawing/2014/main" id="{4E9FB596-3D30-401F-9E63-FBAA632E9F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34</xdr:col>
      <xdr:colOff>0</xdr:colOff>
      <xdr:row>2</xdr:row>
      <xdr:rowOff>1</xdr:rowOff>
    </xdr:from>
    <xdr:to>
      <xdr:col>37</xdr:col>
      <xdr:colOff>10583</xdr:colOff>
      <xdr:row>27</xdr:row>
      <xdr:rowOff>95251</xdr:rowOff>
    </xdr:to>
    <xdr:graphicFrame macro="">
      <xdr:nvGraphicFramePr>
        <xdr:cNvPr id="4" name="Gráfico 3">
          <a:extLst>
            <a:ext uri="{FF2B5EF4-FFF2-40B4-BE49-F238E27FC236}">
              <a16:creationId xmlns:a16="http://schemas.microsoft.com/office/drawing/2014/main" id="{6452AA7F-5FDB-4D97-A2A7-E2782F66DE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37</xdr:col>
      <xdr:colOff>88196</xdr:colOff>
      <xdr:row>2</xdr:row>
      <xdr:rowOff>1</xdr:rowOff>
    </xdr:from>
    <xdr:to>
      <xdr:col>40</xdr:col>
      <xdr:colOff>98779</xdr:colOff>
      <xdr:row>27</xdr:row>
      <xdr:rowOff>95251</xdr:rowOff>
    </xdr:to>
    <xdr:graphicFrame macro="">
      <xdr:nvGraphicFramePr>
        <xdr:cNvPr id="5" name="Gráfico 4">
          <a:extLst>
            <a:ext uri="{FF2B5EF4-FFF2-40B4-BE49-F238E27FC236}">
              <a16:creationId xmlns:a16="http://schemas.microsoft.com/office/drawing/2014/main" id="{F3524CF4-8608-4DB2-A387-6E0A1716CE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0.34962</cdr:x>
      <cdr:y>0.90383</cdr:y>
    </cdr:from>
    <cdr:to>
      <cdr:x>0.66165</cdr:x>
      <cdr:y>0.99703</cdr:y>
    </cdr:to>
    <cdr:sp macro="" textlink="MODEL_INTERACTIONS!$O$8">
      <cdr:nvSpPr>
        <cdr:cNvPr id="2" name="CuadroTexto 1">
          <a:extLst xmlns:a="http://schemas.openxmlformats.org/drawingml/2006/main">
            <a:ext uri="{FF2B5EF4-FFF2-40B4-BE49-F238E27FC236}">
              <a16:creationId xmlns:a16="http://schemas.microsoft.com/office/drawing/2014/main" id="{7F9BB39D-5DDD-5689-822D-ADCC4964B8EA}"/>
            </a:ext>
          </a:extLst>
        </cdr:cNvPr>
        <cdr:cNvSpPr txBox="1"/>
      </cdr:nvSpPr>
      <cdr:spPr>
        <a:xfrm xmlns:a="http://schemas.openxmlformats.org/drawingml/2006/main">
          <a:off x="984250" y="2904092"/>
          <a:ext cx="878417" cy="29945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D7CD5E6F-32BD-4CEA-A180-2F8A06673CA3}" type="TxLink">
            <a:rPr lang="en-US" sz="1200" b="0" i="0" u="none" strike="noStrike">
              <a:solidFill>
                <a:schemeClr val="tx1">
                  <a:lumMod val="50000"/>
                  <a:lumOff val="50000"/>
                </a:schemeClr>
              </a:solidFill>
              <a:latin typeface="Calibri"/>
              <a:ea typeface="Calibri"/>
              <a:cs typeface="Calibri"/>
            </a:rPr>
            <a:pPr algn="ctr"/>
            <a:t>A</a:t>
          </a:fld>
          <a:endParaRPr lang="es-ES" sz="1000">
            <a:solidFill>
              <a:schemeClr val="tx1">
                <a:lumMod val="50000"/>
                <a:lumOff val="50000"/>
              </a:schemeClr>
            </a:solidFill>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0.34962</cdr:x>
      <cdr:y>0.90383</cdr:y>
    </cdr:from>
    <cdr:to>
      <cdr:x>0.66165</cdr:x>
      <cdr:y>0.99703</cdr:y>
    </cdr:to>
    <cdr:sp macro="" textlink="MODEL_INTERACTIONS!$O$21">
      <cdr:nvSpPr>
        <cdr:cNvPr id="2" name="CuadroTexto 1">
          <a:extLst xmlns:a="http://schemas.openxmlformats.org/drawingml/2006/main">
            <a:ext uri="{FF2B5EF4-FFF2-40B4-BE49-F238E27FC236}">
              <a16:creationId xmlns:a16="http://schemas.microsoft.com/office/drawing/2014/main" id="{7F9BB39D-5DDD-5689-822D-ADCC4964B8EA}"/>
            </a:ext>
          </a:extLst>
        </cdr:cNvPr>
        <cdr:cNvSpPr txBox="1"/>
      </cdr:nvSpPr>
      <cdr:spPr>
        <a:xfrm xmlns:a="http://schemas.openxmlformats.org/drawingml/2006/main">
          <a:off x="984250" y="2904092"/>
          <a:ext cx="878417" cy="29945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A1708C86-D51C-4B1F-9459-4F7BF7CF70FD}" type="TxLink">
            <a:rPr lang="en-US" sz="1200" b="0" i="0" u="none" strike="noStrike">
              <a:solidFill>
                <a:srgbClr val="000000"/>
              </a:solidFill>
              <a:latin typeface="Calibri"/>
              <a:ea typeface="Calibri"/>
              <a:cs typeface="Calibri"/>
            </a:rPr>
            <a:pPr algn="ctr"/>
            <a:t>C</a:t>
          </a:fld>
          <a:endParaRPr lang="es-ES" sz="1000">
            <a:solidFill>
              <a:schemeClr val="tx1">
                <a:lumMod val="50000"/>
                <a:lumOff val="50000"/>
              </a:schemeClr>
            </a:solidFill>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0.34962</cdr:x>
      <cdr:y>0.90383</cdr:y>
    </cdr:from>
    <cdr:to>
      <cdr:x>0.66165</cdr:x>
      <cdr:y>0.99703</cdr:y>
    </cdr:to>
    <cdr:sp macro="" textlink="MODEL_INTERACTIONS!$O$81">
      <cdr:nvSpPr>
        <cdr:cNvPr id="2" name="CuadroTexto 1">
          <a:extLst xmlns:a="http://schemas.openxmlformats.org/drawingml/2006/main">
            <a:ext uri="{FF2B5EF4-FFF2-40B4-BE49-F238E27FC236}">
              <a16:creationId xmlns:a16="http://schemas.microsoft.com/office/drawing/2014/main" id="{7F9BB39D-5DDD-5689-822D-ADCC4964B8EA}"/>
            </a:ext>
          </a:extLst>
        </cdr:cNvPr>
        <cdr:cNvSpPr txBox="1"/>
      </cdr:nvSpPr>
      <cdr:spPr>
        <a:xfrm xmlns:a="http://schemas.openxmlformats.org/drawingml/2006/main">
          <a:off x="984250" y="2904092"/>
          <a:ext cx="878417" cy="29945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6F54A41F-8C26-4F58-B68D-0D9C4334B074}" type="TxLink">
            <a:rPr lang="en-US" sz="1100" b="0" i="0" u="none" strike="noStrike">
              <a:solidFill>
                <a:srgbClr val="000000"/>
              </a:solidFill>
              <a:latin typeface="Calibri"/>
              <a:ea typeface="Calibri"/>
              <a:cs typeface="Calibri"/>
            </a:rPr>
            <a:pPr algn="ctr"/>
            <a:t>A</a:t>
          </a:fld>
          <a:endParaRPr lang="es-ES" sz="1000">
            <a:solidFill>
              <a:schemeClr val="tx1">
                <a:lumMod val="50000"/>
                <a:lumOff val="50000"/>
              </a:schemeClr>
            </a:solidFill>
          </a:endParaRPr>
        </a:p>
      </cdr:txBody>
    </cdr:sp>
  </cdr:relSizeAnchor>
</c:userShapes>
</file>

<file path=xl/drawings/drawing9.xml><?xml version="1.0" encoding="utf-8"?>
<c:userShapes xmlns:c="http://schemas.openxmlformats.org/drawingml/2006/chart">
  <cdr:relSizeAnchor xmlns:cdr="http://schemas.openxmlformats.org/drawingml/2006/chartDrawing">
    <cdr:from>
      <cdr:x>0.34962</cdr:x>
      <cdr:y>0.90383</cdr:y>
    </cdr:from>
    <cdr:to>
      <cdr:x>0.66165</cdr:x>
      <cdr:y>0.99703</cdr:y>
    </cdr:to>
    <cdr:sp macro="" textlink="MODEL_INTERACTIONS!$O$94">
      <cdr:nvSpPr>
        <cdr:cNvPr id="2" name="CuadroTexto 1">
          <a:extLst xmlns:a="http://schemas.openxmlformats.org/drawingml/2006/main">
            <a:ext uri="{FF2B5EF4-FFF2-40B4-BE49-F238E27FC236}">
              <a16:creationId xmlns:a16="http://schemas.microsoft.com/office/drawing/2014/main" id="{7F9BB39D-5DDD-5689-822D-ADCC4964B8EA}"/>
            </a:ext>
          </a:extLst>
        </cdr:cNvPr>
        <cdr:cNvSpPr txBox="1"/>
      </cdr:nvSpPr>
      <cdr:spPr>
        <a:xfrm xmlns:a="http://schemas.openxmlformats.org/drawingml/2006/main">
          <a:off x="984250" y="2904092"/>
          <a:ext cx="878417" cy="29945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46206DDB-696F-4EA5-8C8C-F5496FAE32CD}" type="TxLink">
            <a:rPr lang="en-US" sz="1100" b="0" i="0" u="none" strike="noStrike">
              <a:solidFill>
                <a:srgbClr val="000000"/>
              </a:solidFill>
              <a:latin typeface="Calibri"/>
              <a:ea typeface="Calibri"/>
              <a:cs typeface="Calibri"/>
            </a:rPr>
            <a:pPr algn="ctr"/>
            <a:t>E</a:t>
          </a:fld>
          <a:endParaRPr lang="es-ES" sz="1000">
            <a:solidFill>
              <a:schemeClr val="tx1">
                <a:lumMod val="50000"/>
                <a:lumOff val="50000"/>
              </a:schemeClr>
            </a:solidFill>
          </a:endParaRPr>
        </a:p>
      </cdr:txBody>
    </cdr:sp>
  </cdr:relSizeAnchor>
</c:userShapes>
</file>

<file path=xl/drawings/drawing10.xml><?xml version="1.0" encoding="utf-8"?>
<xdr:wsDr xmlns:xdr="http://schemas.openxmlformats.org/drawingml/2006/spreadsheetDrawing" xmlns:a="http://schemas.openxmlformats.org/drawingml/2006/main">
  <xdr:twoCellAnchor editAs="oneCell">
    <xdr:from>
      <xdr:col>0</xdr:col>
      <xdr:colOff>576264</xdr:colOff>
      <xdr:row>12</xdr:row>
      <xdr:rowOff>14288</xdr:rowOff>
    </xdr:from>
    <xdr:to>
      <xdr:col>6</xdr:col>
      <xdr:colOff>257102</xdr:colOff>
      <xdr:row>18</xdr:row>
      <xdr:rowOff>50008</xdr:rowOff>
    </xdr:to>
    <xdr:pic>
      <xdr:nvPicPr>
        <xdr:cNvPr id="2" name="Imagen 1" descr="Hoja de cálculo">
          <a:extLst>
            <a:ext uri="{FF2B5EF4-FFF2-40B4-BE49-F238E27FC236}">
              <a16:creationId xmlns:a16="http://schemas.microsoft.com/office/drawing/2014/main" id="{76ED28CA-CCC2-7645-AB8D-5419DDFB98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6264" y="2300288"/>
          <a:ext cx="4176638" cy="1178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821530</xdr:colOff>
      <xdr:row>0</xdr:row>
      <xdr:rowOff>0</xdr:rowOff>
    </xdr:from>
    <xdr:to>
      <xdr:col>16</xdr:col>
      <xdr:colOff>431466</xdr:colOff>
      <xdr:row>3</xdr:row>
      <xdr:rowOff>114396</xdr:rowOff>
    </xdr:to>
    <xdr:pic>
      <xdr:nvPicPr>
        <xdr:cNvPr id="3" name="Imagen 2">
          <a:extLst>
            <a:ext uri="{FF2B5EF4-FFF2-40B4-BE49-F238E27FC236}">
              <a16:creationId xmlns:a16="http://schemas.microsoft.com/office/drawing/2014/main" id="{A3844829-964F-4EF0-9292-06722F89BDF8}"/>
            </a:ext>
          </a:extLst>
        </xdr:cNvPr>
        <xdr:cNvPicPr>
          <a:picLocks noChangeAspect="1"/>
        </xdr:cNvPicPr>
      </xdr:nvPicPr>
      <xdr:blipFill>
        <a:blip xmlns:r="http://schemas.openxmlformats.org/officeDocument/2006/relationships" r:embed="rId2"/>
        <a:stretch>
          <a:fillRect/>
        </a:stretch>
      </xdr:blipFill>
      <xdr:spPr>
        <a:xfrm>
          <a:off x="10032205" y="0"/>
          <a:ext cx="3286586" cy="68589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1</xdr:row>
      <xdr:rowOff>0</xdr:rowOff>
    </xdr:from>
    <xdr:to>
      <xdr:col>16</xdr:col>
      <xdr:colOff>702468</xdr:colOff>
      <xdr:row>12</xdr:row>
      <xdr:rowOff>59531</xdr:rowOff>
    </xdr:to>
    <xdr:graphicFrame macro="">
      <xdr:nvGraphicFramePr>
        <xdr:cNvPr id="2" name="Gráfico 1">
          <a:extLst>
            <a:ext uri="{FF2B5EF4-FFF2-40B4-BE49-F238E27FC236}">
              <a16:creationId xmlns:a16="http://schemas.microsoft.com/office/drawing/2014/main" id="{05024A1C-0FC9-4579-A022-CD77C090E2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14</xdr:row>
      <xdr:rowOff>0</xdr:rowOff>
    </xdr:from>
    <xdr:to>
      <xdr:col>16</xdr:col>
      <xdr:colOff>702468</xdr:colOff>
      <xdr:row>25</xdr:row>
      <xdr:rowOff>59531</xdr:rowOff>
    </xdr:to>
    <xdr:graphicFrame macro="">
      <xdr:nvGraphicFramePr>
        <xdr:cNvPr id="3" name="Gráfico 2">
          <a:extLst>
            <a:ext uri="{FF2B5EF4-FFF2-40B4-BE49-F238E27FC236}">
              <a16:creationId xmlns:a16="http://schemas.microsoft.com/office/drawing/2014/main" id="{4478FB86-88E8-4B14-88A0-AE6388EEFE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8</xdr:col>
      <xdr:colOff>261933</xdr:colOff>
      <xdr:row>0</xdr:row>
      <xdr:rowOff>0</xdr:rowOff>
    </xdr:from>
    <xdr:to>
      <xdr:col>16</xdr:col>
      <xdr:colOff>107156</xdr:colOff>
      <xdr:row>26</xdr:row>
      <xdr:rowOff>23812</xdr:rowOff>
    </xdr:to>
    <xdr:graphicFrame macro="">
      <xdr:nvGraphicFramePr>
        <xdr:cNvPr id="2" name="Gráfico 1">
          <a:extLst>
            <a:ext uri="{FF2B5EF4-FFF2-40B4-BE49-F238E27FC236}">
              <a16:creationId xmlns:a16="http://schemas.microsoft.com/office/drawing/2014/main" id="{B43933D4-30E8-4F1E-A716-6018357487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11</xdr:col>
      <xdr:colOff>261933</xdr:colOff>
      <xdr:row>0</xdr:row>
      <xdr:rowOff>0</xdr:rowOff>
    </xdr:from>
    <xdr:to>
      <xdr:col>19</xdr:col>
      <xdr:colOff>107156</xdr:colOff>
      <xdr:row>26</xdr:row>
      <xdr:rowOff>23812</xdr:rowOff>
    </xdr:to>
    <xdr:graphicFrame macro="">
      <xdr:nvGraphicFramePr>
        <xdr:cNvPr id="2" name="Gráfico 1">
          <a:extLst>
            <a:ext uri="{FF2B5EF4-FFF2-40B4-BE49-F238E27FC236}">
              <a16:creationId xmlns:a16="http://schemas.microsoft.com/office/drawing/2014/main" id="{8422D72D-FAB3-47C1-869E-C173D873AD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4597A-F210-4CEC-85C3-AA29665D252B}">
  <sheetPr codeName="Hoja1">
    <tabColor theme="1"/>
  </sheetPr>
  <dimension ref="A1:N27"/>
  <sheetViews>
    <sheetView tabSelected="1" zoomScaleNormal="100" workbookViewId="0"/>
  </sheetViews>
  <sheetFormatPr baseColWidth="10" defaultColWidth="0" defaultRowHeight="15" zeroHeight="1" x14ac:dyDescent="0.25"/>
  <cols>
    <col min="1" max="1" width="4.5703125" customWidth="1"/>
    <col min="2" max="13" width="11.42578125" customWidth="1"/>
    <col min="14" max="14" width="25.5703125" customWidth="1"/>
    <col min="15" max="16384" width="11.42578125" hidden="1"/>
  </cols>
  <sheetData>
    <row r="1" spans="1:14" x14ac:dyDescent="0.25">
      <c r="A1" s="4" t="s">
        <v>34</v>
      </c>
    </row>
    <row r="2" spans="1:14" x14ac:dyDescent="0.25"/>
    <row r="3" spans="1:14" x14ac:dyDescent="0.25">
      <c r="A3">
        <v>1</v>
      </c>
      <c r="B3" t="s">
        <v>119</v>
      </c>
      <c r="N3" s="13" t="s">
        <v>156</v>
      </c>
    </row>
    <row r="4" spans="1:14" x14ac:dyDescent="0.25">
      <c r="A4">
        <v>2</v>
      </c>
      <c r="B4" t="s">
        <v>101</v>
      </c>
      <c r="N4" s="13" t="s">
        <v>74</v>
      </c>
    </row>
    <row r="5" spans="1:14" x14ac:dyDescent="0.25"/>
    <row r="6" spans="1:14" x14ac:dyDescent="0.25">
      <c r="A6" s="4" t="s">
        <v>102</v>
      </c>
    </row>
    <row r="7" spans="1:14" x14ac:dyDescent="0.25">
      <c r="A7" s="4"/>
    </row>
    <row r="8" spans="1:14" x14ac:dyDescent="0.25">
      <c r="B8" t="s">
        <v>170</v>
      </c>
      <c r="E8" t="s">
        <v>103</v>
      </c>
      <c r="N8" s="13" t="s">
        <v>157</v>
      </c>
    </row>
    <row r="9" spans="1:14" x14ac:dyDescent="0.25">
      <c r="B9" t="s">
        <v>105</v>
      </c>
      <c r="E9" t="s">
        <v>104</v>
      </c>
      <c r="N9" s="13" t="s">
        <v>158</v>
      </c>
    </row>
    <row r="10" spans="1:14" x14ac:dyDescent="0.25">
      <c r="E10" t="s">
        <v>106</v>
      </c>
      <c r="G10" t="s">
        <v>107</v>
      </c>
      <c r="N10" s="13" t="s">
        <v>159</v>
      </c>
    </row>
    <row r="11" spans="1:14" x14ac:dyDescent="0.25">
      <c r="G11" t="s">
        <v>108</v>
      </c>
      <c r="N11" s="13" t="s">
        <v>160</v>
      </c>
    </row>
    <row r="12" spans="1:14" x14ac:dyDescent="0.25">
      <c r="G12" t="s">
        <v>109</v>
      </c>
      <c r="N12" s="13" t="s">
        <v>161</v>
      </c>
    </row>
    <row r="13" spans="1:14" x14ac:dyDescent="0.25">
      <c r="B13" t="s">
        <v>110</v>
      </c>
      <c r="E13" t="s">
        <v>155</v>
      </c>
      <c r="N13" s="13" t="s">
        <v>169</v>
      </c>
    </row>
    <row r="14" spans="1:14" x14ac:dyDescent="0.25">
      <c r="E14" t="s">
        <v>168</v>
      </c>
      <c r="N14" s="13" t="s">
        <v>162</v>
      </c>
    </row>
    <row r="15" spans="1:14" x14ac:dyDescent="0.25">
      <c r="E15" t="s">
        <v>118</v>
      </c>
      <c r="N15" s="13" t="s">
        <v>163</v>
      </c>
    </row>
    <row r="16" spans="1:14" x14ac:dyDescent="0.25">
      <c r="E16" t="s">
        <v>111</v>
      </c>
      <c r="G16" t="s">
        <v>112</v>
      </c>
      <c r="N16" s="13" t="s">
        <v>164</v>
      </c>
    </row>
    <row r="17" spans="1:14" x14ac:dyDescent="0.25">
      <c r="G17" t="s">
        <v>113</v>
      </c>
      <c r="N17" s="13" t="s">
        <v>165</v>
      </c>
    </row>
    <row r="18" spans="1:14" x14ac:dyDescent="0.25">
      <c r="E18" t="s">
        <v>139</v>
      </c>
      <c r="N18" s="13" t="s">
        <v>166</v>
      </c>
    </row>
    <row r="19" spans="1:14" x14ac:dyDescent="0.25">
      <c r="E19" t="s">
        <v>151</v>
      </c>
      <c r="N19" s="13" t="s">
        <v>167</v>
      </c>
    </row>
    <row r="20" spans="1:14" x14ac:dyDescent="0.25"/>
    <row r="21" spans="1:14" x14ac:dyDescent="0.25">
      <c r="A21" t="s">
        <v>131</v>
      </c>
    </row>
    <row r="22" spans="1:14" x14ac:dyDescent="0.25"/>
    <row r="23" spans="1:14" ht="15" customHeight="1" x14ac:dyDescent="0.25">
      <c r="A23" s="20" t="s">
        <v>175</v>
      </c>
      <c r="B23" s="20"/>
      <c r="C23" s="20"/>
      <c r="D23" s="20"/>
      <c r="E23" s="20"/>
      <c r="F23" s="20"/>
      <c r="G23" s="20"/>
      <c r="H23" s="20"/>
      <c r="I23" s="20"/>
      <c r="J23" s="20"/>
      <c r="K23" s="20"/>
      <c r="L23" s="20"/>
      <c r="M23" s="20"/>
      <c r="N23" s="20"/>
    </row>
    <row r="24" spans="1:14" x14ac:dyDescent="0.25">
      <c r="A24" s="20"/>
      <c r="B24" s="20"/>
      <c r="C24" s="20"/>
      <c r="D24" s="20"/>
      <c r="E24" s="20"/>
      <c r="F24" s="20"/>
      <c r="G24" s="20"/>
      <c r="H24" s="20"/>
      <c r="I24" s="20"/>
      <c r="J24" s="20"/>
      <c r="K24" s="20"/>
      <c r="L24" s="20"/>
      <c r="M24" s="20"/>
      <c r="N24" s="20"/>
    </row>
    <row r="25" spans="1:14" x14ac:dyDescent="0.25">
      <c r="A25" s="20"/>
      <c r="B25" s="20"/>
      <c r="C25" s="20"/>
      <c r="D25" s="20"/>
      <c r="E25" s="20"/>
      <c r="F25" s="20"/>
      <c r="G25" s="20"/>
      <c r="H25" s="20"/>
      <c r="I25" s="20"/>
      <c r="J25" s="20"/>
      <c r="K25" s="20"/>
      <c r="L25" s="20"/>
      <c r="M25" s="20"/>
      <c r="N25" s="20"/>
    </row>
    <row r="26" spans="1:14" x14ac:dyDescent="0.25">
      <c r="A26" s="20"/>
      <c r="B26" s="20"/>
      <c r="C26" s="20"/>
      <c r="D26" s="20"/>
      <c r="E26" s="20"/>
      <c r="F26" s="20"/>
      <c r="G26" s="20"/>
      <c r="H26" s="20"/>
      <c r="I26" s="20"/>
      <c r="J26" s="20"/>
      <c r="K26" s="20"/>
      <c r="L26" s="20"/>
      <c r="M26" s="20"/>
      <c r="N26" s="20"/>
    </row>
    <row r="27" spans="1:14" x14ac:dyDescent="0.25">
      <c r="A27" s="20"/>
      <c r="B27" s="20"/>
      <c r="C27" s="20"/>
      <c r="D27" s="20"/>
      <c r="E27" s="20"/>
      <c r="F27" s="20"/>
      <c r="G27" s="20"/>
      <c r="H27" s="20"/>
      <c r="I27" s="20"/>
      <c r="J27" s="20"/>
      <c r="K27" s="20"/>
      <c r="L27" s="20"/>
      <c r="M27" s="20"/>
      <c r="N27" s="20"/>
    </row>
  </sheetData>
  <mergeCells count="1">
    <mergeCell ref="A23:N27"/>
  </mergeCells>
  <hyperlinks>
    <hyperlink ref="N8" location="DESIGN_CORRELATION!A1" display="DESIGN_CORRELATION!A1" xr:uid="{5EB4CD22-98EB-47CA-86C4-82162B049F55}"/>
    <hyperlink ref="N4" location="MODEL!A1" display="MODEL!A1" xr:uid="{6E3CD989-580E-40D3-904A-C12DA6F50BCA}"/>
    <hyperlink ref="N9" location="EDA!A1" display="EDA!A1" xr:uid="{406EF238-669E-4611-884B-9B9610B62558}"/>
    <hyperlink ref="N10" location="MODEL_PARETO!A1" display="MODEL_PARETO!A1" xr:uid="{48FE2070-5094-4F66-A4DC-F614B37BB8D9}"/>
    <hyperlink ref="N11" location="MODEL_MAINEFFECTS!A1" display="MODEL_MAINEFFECTS!A1" xr:uid="{EA1EDB6E-BF5F-4B2F-88FB-E35FFC60E7C0}"/>
    <hyperlink ref="N12" location="MODEL_INTERACTIONS!A1" display="MODEL_INTERACTIONS!A1" xr:uid="{EA2D0F9B-C706-4DC5-923A-C0A417F7A152}"/>
    <hyperlink ref="N16" location="MODEL_RESIDUALPLOTS!A1" display="MODEL_RESIDUALPLOTS!A1" xr:uid="{D33D51FC-EF45-423A-BAFC-3B7EB31235D0}"/>
    <hyperlink ref="N17" location="MODEL_RESIDUALSQQ!A1" display="MODEL_RESIDUALSQQ!A1" xr:uid="{6BF81ABC-89E9-48AB-972A-32C99E739EF2}"/>
    <hyperlink ref="N14" location="MODEL_FIT!A1" display="MODEL_FIT!A1" xr:uid="{6C76F799-E77D-4A2B-909E-1CBB50586916}"/>
    <hyperlink ref="N15" location="MODEL_ANOVA!A1" display="MODEL_ANOVA!A1" xr:uid="{F2F0BE06-284F-46D8-93BA-203B3BA25B01}"/>
    <hyperlink ref="N3" location="EXP_MATRIX!A1" display="EXP_MATRIX!A1" xr:uid="{BD5A91C7-05D8-457B-A741-F17599F12BB0}"/>
    <hyperlink ref="N18" location="MODEL_PREDICTION!A1" display="MODEL_PREDICTION!A1" xr:uid="{737B9109-C2E5-4C2D-8973-5AF644348C0F}"/>
    <hyperlink ref="N19" location="CENTER_POINTS!A1" display="CENTER_POINTS!A1" xr:uid="{30C6F072-51E3-43D0-B02D-DA4CBCACA58F}"/>
    <hyperlink ref="N13" location="MODEL_CORRELATION!A1" display="MODEL_CORRELATION!A1" xr:uid="{9BA3833A-DE20-4241-9A58-399F50C5924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50BBB-CF55-4151-A43A-2E76932606B1}">
  <sheetPr codeName="Hoja2">
    <tabColor rgb="FFFFFF00"/>
  </sheetPr>
  <dimension ref="A1:AA71"/>
  <sheetViews>
    <sheetView zoomScaleNormal="100" workbookViewId="0"/>
  </sheetViews>
  <sheetFormatPr baseColWidth="10" defaultColWidth="0" defaultRowHeight="15" zeroHeight="1" x14ac:dyDescent="0.25"/>
  <cols>
    <col min="1" max="1" width="5.42578125" customWidth="1"/>
    <col min="2" max="2" width="9.28515625" customWidth="1"/>
    <col min="3" max="26" width="3.28515625" customWidth="1"/>
    <col min="27" max="27" width="58.42578125" customWidth="1"/>
    <col min="28" max="16384" width="11.42578125" hidden="1"/>
  </cols>
  <sheetData>
    <row r="1" spans="1:27" x14ac:dyDescent="0.25">
      <c r="B1" t="s">
        <v>15</v>
      </c>
      <c r="C1" t="s">
        <v>0</v>
      </c>
      <c r="D1" t="s">
        <v>1</v>
      </c>
      <c r="E1" t="s">
        <v>2</v>
      </c>
      <c r="F1" t="s">
        <v>3</v>
      </c>
      <c r="G1" t="s">
        <v>4</v>
      </c>
      <c r="H1" t="s">
        <v>5</v>
      </c>
      <c r="I1" t="s">
        <v>6</v>
      </c>
      <c r="J1" t="s">
        <v>7</v>
      </c>
      <c r="K1" t="s">
        <v>8</v>
      </c>
      <c r="L1" t="s">
        <v>9</v>
      </c>
      <c r="M1" t="s">
        <v>10</v>
      </c>
      <c r="N1" t="s">
        <v>11</v>
      </c>
      <c r="O1" t="s">
        <v>12</v>
      </c>
      <c r="P1" t="s">
        <v>13</v>
      </c>
      <c r="Q1" t="s">
        <v>14</v>
      </c>
      <c r="R1" t="s">
        <v>16</v>
      </c>
      <c r="S1" t="s">
        <v>17</v>
      </c>
      <c r="T1" t="s">
        <v>24</v>
      </c>
      <c r="U1" t="s">
        <v>18</v>
      </c>
      <c r="V1" t="s">
        <v>19</v>
      </c>
      <c r="W1" t="s">
        <v>20</v>
      </c>
      <c r="X1" t="s">
        <v>21</v>
      </c>
      <c r="Y1" t="s">
        <v>22</v>
      </c>
      <c r="Z1" t="s">
        <v>23</v>
      </c>
      <c r="AA1" s="20" t="s">
        <v>123</v>
      </c>
    </row>
    <row r="2" spans="1:27" x14ac:dyDescent="0.25">
      <c r="A2">
        <v>1</v>
      </c>
      <c r="B2" s="2">
        <v>4.2919815187500001</v>
      </c>
      <c r="C2" s="2">
        <v>-1</v>
      </c>
      <c r="D2" s="2">
        <v>-1</v>
      </c>
      <c r="E2" s="2">
        <v>-1</v>
      </c>
      <c r="F2" s="2">
        <v>-1</v>
      </c>
      <c r="G2" s="2">
        <v>-1</v>
      </c>
      <c r="H2" s="2">
        <v>-1</v>
      </c>
      <c r="I2" s="2">
        <v>-1</v>
      </c>
      <c r="J2" s="2">
        <v>-1</v>
      </c>
      <c r="K2" s="2">
        <v>-1</v>
      </c>
      <c r="L2" s="2"/>
      <c r="M2" s="2"/>
      <c r="N2" s="2"/>
      <c r="O2" s="2"/>
      <c r="P2" s="2"/>
      <c r="Q2" s="2"/>
      <c r="R2" s="2"/>
      <c r="S2" s="2"/>
      <c r="T2" s="2"/>
      <c r="U2" s="2"/>
      <c r="V2" s="2"/>
      <c r="W2" s="2"/>
      <c r="X2" s="2"/>
      <c r="Y2" s="2"/>
      <c r="Z2" s="2"/>
      <c r="AA2" s="21"/>
    </row>
    <row r="3" spans="1:27" x14ac:dyDescent="0.25">
      <c r="A3">
        <v>2</v>
      </c>
      <c r="B3" s="2">
        <v>4.00793976875</v>
      </c>
      <c r="C3" s="2">
        <v>1</v>
      </c>
      <c r="D3" s="2">
        <v>-1</v>
      </c>
      <c r="E3" s="2">
        <v>-1</v>
      </c>
      <c r="F3" s="2">
        <v>-1</v>
      </c>
      <c r="G3" s="2">
        <v>-1</v>
      </c>
      <c r="H3" s="2">
        <v>1</v>
      </c>
      <c r="I3" s="2">
        <v>1</v>
      </c>
      <c r="J3" s="2">
        <v>-1</v>
      </c>
      <c r="K3" s="2">
        <v>-1</v>
      </c>
      <c r="L3" s="2"/>
      <c r="M3" s="2"/>
      <c r="N3" s="2"/>
      <c r="O3" s="2"/>
      <c r="P3" s="2"/>
      <c r="Q3" s="2"/>
      <c r="R3" s="2"/>
      <c r="S3" s="2"/>
      <c r="T3" s="2"/>
      <c r="U3" s="2"/>
      <c r="V3" s="2"/>
      <c r="W3" s="2"/>
      <c r="X3" s="2"/>
      <c r="Y3" s="2"/>
      <c r="Z3" s="2"/>
      <c r="AA3" s="21"/>
    </row>
    <row r="4" spans="1:27" x14ac:dyDescent="0.25">
      <c r="A4">
        <v>3</v>
      </c>
      <c r="B4" s="2">
        <v>5.1804760187500003</v>
      </c>
      <c r="C4" s="2">
        <v>-1</v>
      </c>
      <c r="D4" s="2">
        <v>1</v>
      </c>
      <c r="E4" s="2">
        <v>-1</v>
      </c>
      <c r="F4" s="2">
        <v>-1</v>
      </c>
      <c r="G4" s="2">
        <v>-1</v>
      </c>
      <c r="H4" s="2">
        <v>1</v>
      </c>
      <c r="I4" s="2">
        <v>1</v>
      </c>
      <c r="J4" s="2">
        <v>1</v>
      </c>
      <c r="K4" s="2">
        <v>-1</v>
      </c>
      <c r="L4" s="2"/>
      <c r="M4" s="2"/>
      <c r="N4" s="2"/>
      <c r="O4" s="2"/>
      <c r="P4" s="2"/>
      <c r="Q4" s="2"/>
      <c r="R4" s="2"/>
      <c r="S4" s="2"/>
      <c r="T4" s="2"/>
      <c r="U4" s="2"/>
      <c r="V4" s="2"/>
      <c r="W4" s="2"/>
      <c r="X4" s="2"/>
      <c r="Y4" s="2"/>
      <c r="Z4" s="2"/>
      <c r="AA4" s="21"/>
    </row>
    <row r="5" spans="1:27" x14ac:dyDescent="0.25">
      <c r="A5">
        <v>4</v>
      </c>
      <c r="B5" s="2">
        <v>4.6917005187500003</v>
      </c>
      <c r="C5" s="2">
        <v>1</v>
      </c>
      <c r="D5" s="2">
        <v>1</v>
      </c>
      <c r="E5" s="2">
        <v>-1</v>
      </c>
      <c r="F5" s="2">
        <v>-1</v>
      </c>
      <c r="G5" s="2">
        <v>-1</v>
      </c>
      <c r="H5" s="2">
        <v>-1</v>
      </c>
      <c r="I5" s="2">
        <v>-1</v>
      </c>
      <c r="J5" s="2">
        <v>1</v>
      </c>
      <c r="K5" s="2">
        <v>-1</v>
      </c>
      <c r="L5" s="2"/>
      <c r="M5" s="2"/>
      <c r="N5" s="2"/>
      <c r="O5" s="2"/>
      <c r="P5" s="2"/>
      <c r="Q5" s="2"/>
      <c r="R5" s="2"/>
      <c r="S5" s="2"/>
      <c r="T5" s="2"/>
      <c r="U5" s="2"/>
      <c r="V5" s="2"/>
      <c r="W5" s="2"/>
      <c r="X5" s="2"/>
      <c r="Y5" s="2"/>
      <c r="Z5" s="2"/>
      <c r="AA5" s="21"/>
    </row>
    <row r="6" spans="1:27" x14ac:dyDescent="0.25">
      <c r="A6">
        <v>5</v>
      </c>
      <c r="B6" s="2">
        <v>8.5331880187499998</v>
      </c>
      <c r="C6" s="2">
        <v>-1</v>
      </c>
      <c r="D6" s="2">
        <v>-1</v>
      </c>
      <c r="E6" s="2">
        <v>1</v>
      </c>
      <c r="F6" s="2">
        <v>-1</v>
      </c>
      <c r="G6" s="2">
        <v>-1</v>
      </c>
      <c r="H6" s="2">
        <v>1</v>
      </c>
      <c r="I6" s="2">
        <v>-1</v>
      </c>
      <c r="J6" s="2">
        <v>1</v>
      </c>
      <c r="K6" s="2">
        <v>-1</v>
      </c>
      <c r="L6" s="2"/>
      <c r="M6" s="2"/>
      <c r="N6" s="2"/>
      <c r="O6" s="2"/>
      <c r="P6" s="2"/>
      <c r="Q6" s="2"/>
      <c r="R6" s="2"/>
      <c r="S6" s="2"/>
      <c r="T6" s="2"/>
      <c r="U6" s="2"/>
      <c r="V6" s="2"/>
      <c r="W6" s="2"/>
      <c r="X6" s="2"/>
      <c r="Y6" s="2"/>
      <c r="Z6" s="2"/>
      <c r="AA6" s="21"/>
    </row>
    <row r="7" spans="1:27" x14ac:dyDescent="0.25">
      <c r="A7">
        <v>6</v>
      </c>
      <c r="B7" s="2">
        <v>4.3121690187499997</v>
      </c>
      <c r="C7" s="2">
        <v>1</v>
      </c>
      <c r="D7" s="2">
        <v>-1</v>
      </c>
      <c r="E7" s="2">
        <v>1</v>
      </c>
      <c r="F7" s="2">
        <v>-1</v>
      </c>
      <c r="G7" s="2">
        <v>-1</v>
      </c>
      <c r="H7" s="2">
        <v>-1</v>
      </c>
      <c r="I7" s="2">
        <v>1</v>
      </c>
      <c r="J7" s="2">
        <v>1</v>
      </c>
      <c r="K7" s="2">
        <v>-1</v>
      </c>
      <c r="L7" s="2"/>
      <c r="M7" s="2"/>
      <c r="N7" s="2"/>
      <c r="O7" s="2"/>
      <c r="P7" s="2"/>
      <c r="Q7" s="2"/>
      <c r="R7" s="2"/>
      <c r="S7" s="2"/>
      <c r="T7" s="2"/>
      <c r="U7" s="2"/>
      <c r="V7" s="2"/>
      <c r="W7" s="2"/>
      <c r="X7" s="2"/>
      <c r="Y7" s="2"/>
      <c r="Z7" s="2"/>
      <c r="AA7" s="21"/>
    </row>
    <row r="8" spans="1:27" x14ac:dyDescent="0.25">
      <c r="A8">
        <v>7</v>
      </c>
      <c r="B8" s="2">
        <v>8.3170460187500002</v>
      </c>
      <c r="C8" s="2">
        <v>-1</v>
      </c>
      <c r="D8" s="2">
        <v>1</v>
      </c>
      <c r="E8" s="2">
        <v>1</v>
      </c>
      <c r="F8" s="2">
        <v>-1</v>
      </c>
      <c r="G8" s="2">
        <v>-1</v>
      </c>
      <c r="H8" s="2">
        <v>-1</v>
      </c>
      <c r="I8" s="2">
        <v>1</v>
      </c>
      <c r="J8" s="2">
        <v>-1</v>
      </c>
      <c r="K8" s="2">
        <v>-1</v>
      </c>
      <c r="L8" s="2"/>
      <c r="M8" s="2"/>
      <c r="N8" s="2"/>
      <c r="O8" s="2"/>
      <c r="P8" s="2"/>
      <c r="Q8" s="2"/>
      <c r="R8" s="2"/>
      <c r="S8" s="2"/>
      <c r="T8" s="2"/>
      <c r="U8" s="2"/>
      <c r="V8" s="2"/>
      <c r="W8" s="2"/>
      <c r="X8" s="2"/>
      <c r="Y8" s="2"/>
      <c r="Z8" s="2"/>
      <c r="AA8" s="21"/>
    </row>
    <row r="9" spans="1:27" x14ac:dyDescent="0.25">
      <c r="A9">
        <v>8</v>
      </c>
      <c r="B9" s="2">
        <v>4.2429670187499999</v>
      </c>
      <c r="C9" s="2">
        <v>1</v>
      </c>
      <c r="D9" s="2">
        <v>1</v>
      </c>
      <c r="E9" s="2">
        <v>1</v>
      </c>
      <c r="F9" s="2">
        <v>-1</v>
      </c>
      <c r="G9" s="2">
        <v>-1</v>
      </c>
      <c r="H9" s="2">
        <v>1</v>
      </c>
      <c r="I9" s="2">
        <v>-1</v>
      </c>
      <c r="J9" s="2">
        <v>-1</v>
      </c>
      <c r="K9" s="2">
        <v>-1</v>
      </c>
      <c r="L9" s="2"/>
      <c r="M9" s="2"/>
      <c r="N9" s="2"/>
      <c r="O9" s="2"/>
      <c r="P9" s="2"/>
      <c r="Q9" s="2"/>
      <c r="R9" s="2"/>
      <c r="S9" s="2"/>
      <c r="T9" s="2"/>
      <c r="U9" s="2"/>
      <c r="V9" s="2"/>
      <c r="W9" s="2"/>
      <c r="X9" s="2"/>
      <c r="Y9" s="2"/>
      <c r="Z9" s="2"/>
      <c r="AA9" s="21"/>
    </row>
    <row r="10" spans="1:27" x14ac:dyDescent="0.25">
      <c r="A10">
        <v>9</v>
      </c>
      <c r="B10" s="2">
        <v>4.7379400187499998</v>
      </c>
      <c r="C10" s="2">
        <v>-1</v>
      </c>
      <c r="D10" s="2">
        <v>-1</v>
      </c>
      <c r="E10" s="2">
        <v>-1</v>
      </c>
      <c r="F10" s="2">
        <v>1</v>
      </c>
      <c r="G10" s="2">
        <v>-1</v>
      </c>
      <c r="H10" s="2">
        <v>-1</v>
      </c>
      <c r="I10" s="2">
        <v>1</v>
      </c>
      <c r="J10" s="2">
        <v>1</v>
      </c>
      <c r="K10" s="2">
        <v>1</v>
      </c>
      <c r="L10" s="2"/>
      <c r="M10" s="2"/>
      <c r="N10" s="2"/>
      <c r="O10" s="2"/>
      <c r="P10" s="2"/>
      <c r="Q10" s="2"/>
      <c r="R10" s="2"/>
      <c r="S10" s="2"/>
      <c r="T10" s="2"/>
      <c r="U10" s="2"/>
      <c r="V10" s="2"/>
      <c r="W10" s="2"/>
      <c r="X10" s="2"/>
      <c r="Y10" s="2"/>
      <c r="Z10" s="2"/>
      <c r="AA10" s="21"/>
    </row>
    <row r="11" spans="1:27" x14ac:dyDescent="0.25">
      <c r="A11">
        <v>10</v>
      </c>
      <c r="B11" s="2">
        <v>3.8313652687499999</v>
      </c>
      <c r="C11" s="2">
        <v>1</v>
      </c>
      <c r="D11" s="2">
        <v>-1</v>
      </c>
      <c r="E11" s="2">
        <v>-1</v>
      </c>
      <c r="F11" s="2">
        <v>1</v>
      </c>
      <c r="G11" s="2">
        <v>-1</v>
      </c>
      <c r="H11" s="2">
        <v>1</v>
      </c>
      <c r="I11" s="2">
        <v>-1</v>
      </c>
      <c r="J11" s="2">
        <v>1</v>
      </c>
      <c r="K11" s="2">
        <v>1</v>
      </c>
      <c r="L11" s="2"/>
      <c r="M11" s="2"/>
      <c r="N11" s="2"/>
      <c r="O11" s="2"/>
      <c r="P11" s="2"/>
      <c r="Q11" s="2"/>
      <c r="R11" s="2"/>
      <c r="S11" s="2"/>
      <c r="T11" s="2"/>
      <c r="U11" s="2"/>
      <c r="V11" s="2"/>
      <c r="W11" s="2"/>
      <c r="X11" s="2"/>
      <c r="Y11" s="2"/>
      <c r="Z11" s="2"/>
      <c r="AA11" s="21"/>
    </row>
    <row r="12" spans="1:27" x14ac:dyDescent="0.25">
      <c r="A12">
        <v>11</v>
      </c>
      <c r="B12" s="2">
        <v>5.4280640187499998</v>
      </c>
      <c r="C12" s="2">
        <v>-1</v>
      </c>
      <c r="D12" s="2">
        <v>1</v>
      </c>
      <c r="E12" s="2">
        <v>-1</v>
      </c>
      <c r="F12" s="2">
        <v>1</v>
      </c>
      <c r="G12" s="2">
        <v>-1</v>
      </c>
      <c r="H12" s="2">
        <v>1</v>
      </c>
      <c r="I12" s="2">
        <v>-1</v>
      </c>
      <c r="J12" s="2">
        <v>-1</v>
      </c>
      <c r="K12" s="2">
        <v>1</v>
      </c>
      <c r="L12" s="2"/>
      <c r="M12" s="2"/>
      <c r="N12" s="2"/>
      <c r="O12" s="2"/>
      <c r="P12" s="2"/>
      <c r="Q12" s="2"/>
      <c r="R12" s="2"/>
      <c r="S12" s="2"/>
      <c r="T12" s="2"/>
      <c r="U12" s="2"/>
      <c r="V12" s="2"/>
      <c r="W12" s="2"/>
      <c r="X12" s="2"/>
      <c r="Y12" s="2"/>
      <c r="Z12" s="2"/>
      <c r="AA12" s="21"/>
    </row>
    <row r="13" spans="1:27" x14ac:dyDescent="0.25">
      <c r="A13">
        <v>12</v>
      </c>
      <c r="B13" s="2">
        <v>4.8226030187499997</v>
      </c>
      <c r="C13" s="2">
        <v>1</v>
      </c>
      <c r="D13" s="2">
        <v>1</v>
      </c>
      <c r="E13" s="2">
        <v>-1</v>
      </c>
      <c r="F13" s="2">
        <v>1</v>
      </c>
      <c r="G13" s="2">
        <v>-1</v>
      </c>
      <c r="H13" s="2">
        <v>-1</v>
      </c>
      <c r="I13" s="2">
        <v>1</v>
      </c>
      <c r="J13" s="2">
        <v>-1</v>
      </c>
      <c r="K13" s="2">
        <v>-1</v>
      </c>
      <c r="L13" s="2"/>
      <c r="M13" s="2"/>
      <c r="N13" s="2"/>
      <c r="O13" s="2"/>
      <c r="P13" s="2"/>
      <c r="Q13" s="2"/>
      <c r="R13" s="2"/>
      <c r="S13" s="2"/>
      <c r="T13" s="2"/>
      <c r="U13" s="2"/>
      <c r="V13" s="2"/>
      <c r="W13" s="2"/>
      <c r="X13" s="2"/>
      <c r="Y13" s="2"/>
      <c r="Z13" s="2"/>
      <c r="AA13" s="21"/>
    </row>
    <row r="14" spans="1:27" x14ac:dyDescent="0.25">
      <c r="A14">
        <v>13</v>
      </c>
      <c r="B14" s="2">
        <v>7.74115001875</v>
      </c>
      <c r="C14" s="2">
        <v>-1</v>
      </c>
      <c r="D14" s="2">
        <v>-1</v>
      </c>
      <c r="E14" s="2">
        <v>1</v>
      </c>
      <c r="F14" s="2">
        <v>1</v>
      </c>
      <c r="G14" s="2">
        <v>-1</v>
      </c>
      <c r="H14" s="2">
        <v>1</v>
      </c>
      <c r="I14" s="2">
        <v>1</v>
      </c>
      <c r="J14" s="2">
        <v>-1</v>
      </c>
      <c r="K14" s="2">
        <v>-1</v>
      </c>
      <c r="L14" s="2"/>
      <c r="M14" s="2"/>
      <c r="N14" s="2"/>
      <c r="O14" s="2"/>
      <c r="P14" s="2"/>
      <c r="Q14" s="2"/>
      <c r="R14" s="2"/>
      <c r="S14" s="2"/>
      <c r="T14" s="2"/>
      <c r="U14" s="2"/>
      <c r="V14" s="2"/>
      <c r="W14" s="2"/>
      <c r="X14" s="2"/>
      <c r="Y14" s="2"/>
      <c r="Z14" s="2"/>
      <c r="AA14" s="21"/>
    </row>
    <row r="15" spans="1:27" x14ac:dyDescent="0.25">
      <c r="A15">
        <v>14</v>
      </c>
      <c r="B15" s="2">
        <v>5.2487835187499998</v>
      </c>
      <c r="C15" s="2">
        <v>1</v>
      </c>
      <c r="D15" s="2">
        <v>-1</v>
      </c>
      <c r="E15" s="2">
        <v>1</v>
      </c>
      <c r="F15" s="2">
        <v>1</v>
      </c>
      <c r="G15" s="2">
        <v>-1</v>
      </c>
      <c r="H15" s="2">
        <v>-1</v>
      </c>
      <c r="I15" s="2">
        <v>-1</v>
      </c>
      <c r="J15" s="2">
        <v>-1</v>
      </c>
      <c r="K15" s="2">
        <v>-1</v>
      </c>
      <c r="L15" s="2"/>
      <c r="M15" s="2"/>
      <c r="N15" s="2"/>
      <c r="O15" s="2"/>
      <c r="P15" s="2"/>
      <c r="Q15" s="2"/>
      <c r="R15" s="2"/>
      <c r="S15" s="2"/>
      <c r="T15" s="2"/>
      <c r="U15" s="2"/>
      <c r="V15" s="2"/>
      <c r="W15" s="2"/>
      <c r="X15" s="2"/>
      <c r="Y15" s="2"/>
      <c r="Z15" s="2"/>
      <c r="AA15" s="21"/>
    </row>
    <row r="16" spans="1:27" x14ac:dyDescent="0.25">
      <c r="A16">
        <v>15</v>
      </c>
      <c r="B16" s="2">
        <v>7.0982790187499996</v>
      </c>
      <c r="C16" s="2">
        <v>-1</v>
      </c>
      <c r="D16" s="2">
        <v>1</v>
      </c>
      <c r="E16" s="2">
        <v>1</v>
      </c>
      <c r="F16" s="2">
        <v>1</v>
      </c>
      <c r="G16" s="2">
        <v>-1</v>
      </c>
      <c r="H16" s="2">
        <v>-1</v>
      </c>
      <c r="I16" s="2">
        <v>-1</v>
      </c>
      <c r="J16" s="2">
        <v>1</v>
      </c>
      <c r="K16" s="2">
        <v>-1</v>
      </c>
      <c r="L16" s="2"/>
      <c r="M16" s="2"/>
      <c r="N16" s="2"/>
      <c r="O16" s="2"/>
      <c r="P16" s="2"/>
      <c r="Q16" s="2"/>
      <c r="R16" s="2"/>
      <c r="S16" s="2"/>
      <c r="T16" s="2"/>
      <c r="U16" s="2"/>
      <c r="V16" s="2"/>
      <c r="W16" s="2"/>
      <c r="X16" s="2"/>
      <c r="Y16" s="2"/>
      <c r="Z16" s="2"/>
      <c r="AA16" s="21"/>
    </row>
    <row r="17" spans="1:27" x14ac:dyDescent="0.25">
      <c r="A17">
        <v>16</v>
      </c>
      <c r="B17" s="2">
        <v>5.84936901875</v>
      </c>
      <c r="C17" s="2">
        <v>1</v>
      </c>
      <c r="D17" s="2">
        <v>1</v>
      </c>
      <c r="E17" s="2">
        <v>1</v>
      </c>
      <c r="F17" s="2">
        <v>1</v>
      </c>
      <c r="G17" s="2">
        <v>-1</v>
      </c>
      <c r="H17" s="2">
        <v>1</v>
      </c>
      <c r="I17" s="2">
        <v>1</v>
      </c>
      <c r="J17" s="2">
        <v>1</v>
      </c>
      <c r="K17" s="2">
        <v>-1</v>
      </c>
      <c r="L17" s="2"/>
      <c r="M17" s="2"/>
      <c r="N17" s="2"/>
      <c r="O17" s="2"/>
      <c r="P17" s="2"/>
      <c r="Q17" s="2"/>
      <c r="R17" s="2"/>
      <c r="S17" s="2"/>
      <c r="T17" s="2"/>
      <c r="U17" s="2"/>
      <c r="V17" s="2"/>
      <c r="W17" s="2"/>
      <c r="X17" s="2"/>
      <c r="Y17" s="2"/>
      <c r="Z17" s="2"/>
      <c r="AA17" s="21"/>
    </row>
    <row r="18" spans="1:27" x14ac:dyDescent="0.25">
      <c r="A18">
        <v>17</v>
      </c>
      <c r="B18" s="2">
        <v>4.5330400187500004</v>
      </c>
      <c r="C18" s="2">
        <v>-1</v>
      </c>
      <c r="D18" s="2">
        <v>-1</v>
      </c>
      <c r="E18" s="2">
        <v>-1</v>
      </c>
      <c r="F18" s="2">
        <v>-1</v>
      </c>
      <c r="G18" s="2">
        <v>1</v>
      </c>
      <c r="H18" s="2">
        <v>-1</v>
      </c>
      <c r="I18" s="2">
        <v>-1</v>
      </c>
      <c r="J18" s="2">
        <v>1</v>
      </c>
      <c r="K18" s="2">
        <v>-1</v>
      </c>
      <c r="L18" s="2"/>
      <c r="M18" s="2"/>
      <c r="N18" s="2"/>
      <c r="O18" s="2"/>
      <c r="P18" s="2"/>
      <c r="Q18" s="2"/>
      <c r="R18" s="2"/>
      <c r="S18" s="2"/>
      <c r="T18" s="2"/>
      <c r="U18" s="2"/>
      <c r="V18" s="2"/>
      <c r="W18" s="2"/>
      <c r="X18" s="2"/>
      <c r="Y18" s="2"/>
      <c r="Z18" s="2"/>
      <c r="AA18" s="21"/>
    </row>
    <row r="19" spans="1:27" x14ac:dyDescent="0.25">
      <c r="A19">
        <v>18</v>
      </c>
      <c r="B19" s="2">
        <v>5.7342475187500002</v>
      </c>
      <c r="C19" s="2">
        <v>1</v>
      </c>
      <c r="D19" s="2">
        <v>-1</v>
      </c>
      <c r="E19" s="2">
        <v>-1</v>
      </c>
      <c r="F19" s="2">
        <v>-1</v>
      </c>
      <c r="G19" s="2">
        <v>1</v>
      </c>
      <c r="H19" s="2">
        <v>1</v>
      </c>
      <c r="I19" s="2">
        <v>1</v>
      </c>
      <c r="J19" s="2">
        <v>1</v>
      </c>
      <c r="K19" s="2">
        <v>-1</v>
      </c>
      <c r="L19" s="2"/>
      <c r="M19" s="2"/>
      <c r="N19" s="2"/>
      <c r="O19" s="2"/>
      <c r="P19" s="2"/>
      <c r="Q19" s="2"/>
      <c r="R19" s="2"/>
      <c r="S19" s="2"/>
      <c r="T19" s="2"/>
      <c r="U19" s="2"/>
      <c r="V19" s="2"/>
      <c r="W19" s="2"/>
      <c r="X19" s="2"/>
      <c r="Y19" s="2"/>
      <c r="Z19" s="2"/>
      <c r="AA19" s="21"/>
    </row>
    <row r="20" spans="1:27" x14ac:dyDescent="0.25">
      <c r="A20">
        <v>19</v>
      </c>
      <c r="B20" s="2">
        <v>5.8781730187500001</v>
      </c>
      <c r="C20" s="2">
        <v>-1</v>
      </c>
      <c r="D20" s="2">
        <v>1</v>
      </c>
      <c r="E20" s="2">
        <v>-1</v>
      </c>
      <c r="F20" s="2">
        <v>-1</v>
      </c>
      <c r="G20" s="2">
        <v>1</v>
      </c>
      <c r="H20" s="2">
        <v>1</v>
      </c>
      <c r="I20" s="2">
        <v>1</v>
      </c>
      <c r="J20" s="2">
        <v>-1</v>
      </c>
      <c r="K20" s="2">
        <v>-1</v>
      </c>
      <c r="L20" s="2"/>
      <c r="M20" s="2"/>
      <c r="N20" s="2"/>
      <c r="O20" s="2"/>
      <c r="P20" s="2"/>
      <c r="Q20" s="2"/>
      <c r="R20" s="2"/>
      <c r="S20" s="2"/>
      <c r="T20" s="2"/>
      <c r="U20" s="2"/>
      <c r="V20" s="2"/>
      <c r="W20" s="2"/>
      <c r="X20" s="2"/>
      <c r="Y20" s="2"/>
      <c r="Z20" s="2"/>
      <c r="AA20" s="21"/>
    </row>
    <row r="21" spans="1:27" x14ac:dyDescent="0.25">
      <c r="A21">
        <v>20</v>
      </c>
      <c r="B21" s="2">
        <v>5.2625435187500003</v>
      </c>
      <c r="C21" s="2">
        <v>1</v>
      </c>
      <c r="D21" s="2">
        <v>1</v>
      </c>
      <c r="E21" s="2">
        <v>-1</v>
      </c>
      <c r="F21" s="2">
        <v>-1</v>
      </c>
      <c r="G21" s="2">
        <v>1</v>
      </c>
      <c r="H21" s="2">
        <v>-1</v>
      </c>
      <c r="I21" s="2">
        <v>-1</v>
      </c>
      <c r="J21" s="2">
        <v>-1</v>
      </c>
      <c r="K21" s="2">
        <v>-1</v>
      </c>
      <c r="L21" s="2"/>
      <c r="M21" s="2"/>
      <c r="N21" s="2"/>
      <c r="O21" s="2"/>
      <c r="P21" s="2"/>
      <c r="Q21" s="2"/>
      <c r="R21" s="2"/>
      <c r="S21" s="2"/>
      <c r="T21" s="2"/>
      <c r="U21" s="2"/>
      <c r="V21" s="2"/>
      <c r="W21" s="2"/>
      <c r="X21" s="2"/>
      <c r="Y21" s="2"/>
      <c r="Z21" s="2"/>
      <c r="AA21" s="21"/>
    </row>
    <row r="22" spans="1:27" x14ac:dyDescent="0.25">
      <c r="A22">
        <v>21</v>
      </c>
      <c r="B22" s="2">
        <v>6.6597015187500004</v>
      </c>
      <c r="C22" s="2">
        <v>-1</v>
      </c>
      <c r="D22" s="2">
        <v>-1</v>
      </c>
      <c r="E22" s="2">
        <v>1</v>
      </c>
      <c r="F22" s="2">
        <v>-1</v>
      </c>
      <c r="G22" s="2">
        <v>1</v>
      </c>
      <c r="H22" s="2">
        <v>1</v>
      </c>
      <c r="I22" s="2">
        <v>-1</v>
      </c>
      <c r="J22" s="2">
        <v>-1</v>
      </c>
      <c r="K22" s="2">
        <v>-1</v>
      </c>
      <c r="L22" s="2"/>
      <c r="M22" s="2"/>
      <c r="N22" s="2"/>
      <c r="O22" s="2"/>
      <c r="P22" s="2"/>
      <c r="Q22" s="2"/>
      <c r="R22" s="2"/>
      <c r="S22" s="2"/>
      <c r="T22" s="2"/>
      <c r="U22" s="2"/>
      <c r="V22" s="2"/>
      <c r="W22" s="2"/>
      <c r="X22" s="2"/>
      <c r="Y22" s="2"/>
      <c r="Z22" s="2"/>
      <c r="AA22" s="21"/>
    </row>
    <row r="23" spans="1:27" x14ac:dyDescent="0.25">
      <c r="A23">
        <v>22</v>
      </c>
      <c r="B23" s="2">
        <v>8.10153251875</v>
      </c>
      <c r="C23" s="2">
        <v>1</v>
      </c>
      <c r="D23" s="2">
        <v>-1</v>
      </c>
      <c r="E23" s="2">
        <v>1</v>
      </c>
      <c r="F23" s="2">
        <v>-1</v>
      </c>
      <c r="G23" s="2">
        <v>1</v>
      </c>
      <c r="H23" s="2">
        <v>-1</v>
      </c>
      <c r="I23" s="2">
        <v>1</v>
      </c>
      <c r="J23" s="2">
        <v>-1</v>
      </c>
      <c r="K23" s="2">
        <v>-1</v>
      </c>
      <c r="L23" s="2"/>
      <c r="M23" s="2"/>
      <c r="N23" s="2"/>
      <c r="O23" s="2"/>
      <c r="P23" s="2"/>
      <c r="Q23" s="2"/>
      <c r="R23" s="2"/>
      <c r="S23" s="2"/>
      <c r="T23" s="2"/>
      <c r="U23" s="2"/>
      <c r="V23" s="2"/>
      <c r="W23" s="2"/>
      <c r="X23" s="2"/>
      <c r="Y23" s="2"/>
      <c r="Z23" s="2"/>
      <c r="AA23" s="21"/>
    </row>
    <row r="24" spans="1:27" x14ac:dyDescent="0.25">
      <c r="A24">
        <v>23</v>
      </c>
      <c r="B24" s="2">
        <v>8.9268260187500008</v>
      </c>
      <c r="C24" s="2">
        <v>-1</v>
      </c>
      <c r="D24" s="2">
        <v>1</v>
      </c>
      <c r="E24" s="2">
        <v>1</v>
      </c>
      <c r="F24" s="2">
        <v>-1</v>
      </c>
      <c r="G24" s="2">
        <v>1</v>
      </c>
      <c r="H24" s="2">
        <v>-1</v>
      </c>
      <c r="I24" s="2">
        <v>1</v>
      </c>
      <c r="J24" s="2">
        <v>1</v>
      </c>
      <c r="K24" s="2">
        <v>1</v>
      </c>
      <c r="L24" s="2"/>
      <c r="M24" s="2"/>
      <c r="N24" s="2"/>
      <c r="O24" s="2"/>
      <c r="P24" s="2"/>
      <c r="Q24" s="2"/>
      <c r="R24" s="2"/>
      <c r="S24" s="2"/>
      <c r="T24" s="2"/>
      <c r="U24" s="2"/>
      <c r="V24" s="2"/>
      <c r="W24" s="2"/>
      <c r="X24" s="2"/>
      <c r="Y24" s="2"/>
      <c r="Z24" s="2"/>
      <c r="AA24" s="21"/>
    </row>
    <row r="25" spans="1:27" x14ac:dyDescent="0.25">
      <c r="A25">
        <v>24</v>
      </c>
      <c r="B25" s="2">
        <v>7.0592920187499999</v>
      </c>
      <c r="C25" s="2">
        <v>1</v>
      </c>
      <c r="D25" s="2">
        <v>1</v>
      </c>
      <c r="E25" s="2">
        <v>1</v>
      </c>
      <c r="F25" s="2">
        <v>-1</v>
      </c>
      <c r="G25" s="2">
        <v>1</v>
      </c>
      <c r="H25" s="2">
        <v>1</v>
      </c>
      <c r="I25" s="2">
        <v>-1</v>
      </c>
      <c r="J25" s="2">
        <v>1</v>
      </c>
      <c r="K25" s="2">
        <v>-1</v>
      </c>
      <c r="L25" s="2"/>
      <c r="M25" s="2"/>
      <c r="N25" s="2"/>
      <c r="O25" s="2"/>
      <c r="P25" s="2"/>
      <c r="Q25" s="2"/>
      <c r="R25" s="2"/>
      <c r="S25" s="2"/>
      <c r="T25" s="2"/>
      <c r="U25" s="2"/>
      <c r="V25" s="2"/>
      <c r="W25" s="2"/>
      <c r="X25" s="2"/>
      <c r="Y25" s="2"/>
      <c r="Z25" s="2"/>
    </row>
    <row r="26" spans="1:27" x14ac:dyDescent="0.25">
      <c r="A26">
        <v>25</v>
      </c>
      <c r="B26" s="2">
        <v>4.4412020187500003</v>
      </c>
      <c r="C26" s="2">
        <v>-1</v>
      </c>
      <c r="D26" s="2">
        <v>-1</v>
      </c>
      <c r="E26" s="2">
        <v>-1</v>
      </c>
      <c r="F26" s="2">
        <v>1</v>
      </c>
      <c r="G26" s="2">
        <v>1</v>
      </c>
      <c r="H26" s="2">
        <v>-1</v>
      </c>
      <c r="I26" s="2">
        <v>1</v>
      </c>
      <c r="J26" s="2">
        <v>-1</v>
      </c>
      <c r="K26" s="2">
        <v>-1</v>
      </c>
      <c r="L26" s="2"/>
      <c r="M26" s="2"/>
      <c r="N26" s="2"/>
      <c r="O26" s="2"/>
      <c r="P26" s="2"/>
      <c r="Q26" s="2"/>
      <c r="R26" s="2"/>
      <c r="S26" s="2"/>
      <c r="T26" s="2"/>
      <c r="U26" s="2"/>
      <c r="V26" s="2"/>
      <c r="W26" s="2"/>
      <c r="X26" s="2"/>
      <c r="Y26" s="2"/>
      <c r="Z26" s="2"/>
    </row>
    <row r="27" spans="1:27" x14ac:dyDescent="0.25">
      <c r="A27">
        <v>26</v>
      </c>
      <c r="B27" s="2">
        <v>4.1802867687500003</v>
      </c>
      <c r="C27" s="2">
        <v>1</v>
      </c>
      <c r="D27" s="2">
        <v>-1</v>
      </c>
      <c r="E27" s="2">
        <v>-1</v>
      </c>
      <c r="F27" s="2">
        <v>1</v>
      </c>
      <c r="G27" s="2">
        <v>1</v>
      </c>
      <c r="H27" s="2">
        <v>1</v>
      </c>
      <c r="I27" s="2">
        <v>-1</v>
      </c>
      <c r="J27" s="2">
        <v>-1</v>
      </c>
      <c r="K27" s="2">
        <v>-1</v>
      </c>
      <c r="L27" s="2"/>
      <c r="M27" s="2"/>
      <c r="N27" s="2"/>
      <c r="O27" s="2"/>
      <c r="P27" s="2"/>
      <c r="Q27" s="2"/>
      <c r="R27" s="2"/>
      <c r="S27" s="2"/>
      <c r="T27" s="2"/>
      <c r="U27" s="2"/>
      <c r="V27" s="2"/>
      <c r="W27" s="2"/>
      <c r="X27" s="2"/>
      <c r="Y27" s="2"/>
      <c r="Z27" s="2"/>
    </row>
    <row r="28" spans="1:27" x14ac:dyDescent="0.25">
      <c r="A28">
        <v>27</v>
      </c>
      <c r="B28" s="2">
        <v>5.6820480187499998</v>
      </c>
      <c r="C28" s="2">
        <v>-1</v>
      </c>
      <c r="D28" s="2">
        <v>1</v>
      </c>
      <c r="E28" s="2">
        <v>-1</v>
      </c>
      <c r="F28" s="2">
        <v>1</v>
      </c>
      <c r="G28" s="2">
        <v>1</v>
      </c>
      <c r="H28" s="2">
        <v>1</v>
      </c>
      <c r="I28" s="2">
        <v>-1</v>
      </c>
      <c r="J28" s="2">
        <v>1</v>
      </c>
      <c r="K28" s="2">
        <v>-1</v>
      </c>
      <c r="L28" s="2"/>
      <c r="M28" s="2"/>
      <c r="N28" s="2"/>
      <c r="O28" s="2"/>
      <c r="P28" s="2"/>
      <c r="Q28" s="2"/>
      <c r="R28" s="2"/>
      <c r="S28" s="2"/>
      <c r="T28" s="2"/>
      <c r="U28" s="2"/>
      <c r="V28" s="2"/>
      <c r="W28" s="2"/>
      <c r="X28" s="2"/>
      <c r="Y28" s="2"/>
      <c r="Z28" s="2"/>
    </row>
    <row r="29" spans="1:27" x14ac:dyDescent="0.25">
      <c r="A29">
        <v>28</v>
      </c>
      <c r="B29" s="2">
        <v>5.7801725187499997</v>
      </c>
      <c r="C29" s="2">
        <v>1</v>
      </c>
      <c r="D29" s="2">
        <v>1</v>
      </c>
      <c r="E29" s="2">
        <v>-1</v>
      </c>
      <c r="F29" s="2">
        <v>1</v>
      </c>
      <c r="G29" s="2">
        <v>1</v>
      </c>
      <c r="H29" s="2">
        <v>-1</v>
      </c>
      <c r="I29" s="2">
        <v>1</v>
      </c>
      <c r="J29" s="2">
        <v>1</v>
      </c>
      <c r="K29" s="2">
        <v>-1</v>
      </c>
      <c r="L29" s="2"/>
      <c r="M29" s="2"/>
      <c r="N29" s="2"/>
      <c r="O29" s="2"/>
      <c r="P29" s="2"/>
      <c r="Q29" s="2"/>
      <c r="R29" s="2"/>
      <c r="S29" s="2"/>
      <c r="T29" s="2"/>
      <c r="U29" s="2"/>
      <c r="V29" s="2"/>
      <c r="W29" s="2"/>
      <c r="X29" s="2"/>
      <c r="Y29" s="2"/>
      <c r="Z29" s="2"/>
    </row>
    <row r="30" spans="1:27" x14ac:dyDescent="0.25">
      <c r="A30">
        <v>29</v>
      </c>
      <c r="B30" s="2">
        <v>8.7397320187500007</v>
      </c>
      <c r="C30" s="2">
        <v>-1</v>
      </c>
      <c r="D30" s="2">
        <v>-1</v>
      </c>
      <c r="E30" s="2">
        <v>1</v>
      </c>
      <c r="F30" s="2">
        <v>1</v>
      </c>
      <c r="G30" s="2">
        <v>1</v>
      </c>
      <c r="H30" s="2">
        <v>1</v>
      </c>
      <c r="I30" s="2">
        <v>1</v>
      </c>
      <c r="J30" s="2">
        <v>1</v>
      </c>
      <c r="K30" s="2">
        <v>-1</v>
      </c>
      <c r="L30" s="2"/>
      <c r="M30" s="2"/>
      <c r="N30" s="2"/>
      <c r="O30" s="2"/>
      <c r="P30" s="2"/>
      <c r="Q30" s="2"/>
      <c r="R30" s="2"/>
      <c r="S30" s="2"/>
      <c r="T30" s="2"/>
      <c r="U30" s="2"/>
      <c r="V30" s="2"/>
      <c r="W30" s="2"/>
      <c r="X30" s="2"/>
      <c r="Y30" s="2"/>
      <c r="Z30" s="2"/>
    </row>
    <row r="31" spans="1:27" x14ac:dyDescent="0.25">
      <c r="A31">
        <v>30</v>
      </c>
      <c r="B31" s="2">
        <v>7.8388045187499999</v>
      </c>
      <c r="C31" s="2">
        <v>1</v>
      </c>
      <c r="D31" s="2">
        <v>-1</v>
      </c>
      <c r="E31" s="2">
        <v>1</v>
      </c>
      <c r="F31" s="2">
        <v>1</v>
      </c>
      <c r="G31" s="2">
        <v>1</v>
      </c>
      <c r="H31" s="2">
        <v>-1</v>
      </c>
      <c r="I31" s="2">
        <v>-1</v>
      </c>
      <c r="J31" s="2">
        <v>1</v>
      </c>
      <c r="K31" s="2">
        <v>-1</v>
      </c>
      <c r="L31" s="2"/>
      <c r="M31" s="2"/>
      <c r="N31" s="2"/>
      <c r="O31" s="2"/>
      <c r="P31" s="2"/>
      <c r="Q31" s="2"/>
      <c r="R31" s="2"/>
      <c r="S31" s="2"/>
      <c r="T31" s="2"/>
      <c r="U31" s="2"/>
      <c r="V31" s="2"/>
      <c r="W31" s="2"/>
      <c r="X31" s="2"/>
      <c r="Y31" s="2"/>
      <c r="Z31" s="2"/>
    </row>
    <row r="32" spans="1:27" x14ac:dyDescent="0.25">
      <c r="A32">
        <v>31</v>
      </c>
      <c r="B32" s="2">
        <v>7.2539075187500002</v>
      </c>
      <c r="C32" s="2">
        <v>-1</v>
      </c>
      <c r="D32" s="2">
        <v>1</v>
      </c>
      <c r="E32" s="2">
        <v>1</v>
      </c>
      <c r="F32" s="2">
        <v>1</v>
      </c>
      <c r="G32" s="2">
        <v>1</v>
      </c>
      <c r="H32" s="2">
        <v>-1</v>
      </c>
      <c r="I32" s="2">
        <v>-1</v>
      </c>
      <c r="J32" s="2">
        <v>-1</v>
      </c>
      <c r="K32" s="2">
        <v>-1</v>
      </c>
      <c r="L32" s="2"/>
      <c r="M32" s="2"/>
      <c r="N32" s="2"/>
      <c r="O32" s="2"/>
      <c r="P32" s="2"/>
      <c r="Q32" s="2"/>
      <c r="R32" s="2"/>
      <c r="S32" s="2"/>
      <c r="T32" s="2"/>
      <c r="U32" s="2"/>
      <c r="V32" s="2"/>
      <c r="W32" s="2"/>
      <c r="X32" s="2"/>
      <c r="Y32" s="2"/>
      <c r="Z32" s="2"/>
    </row>
    <row r="33" spans="1:26" x14ac:dyDescent="0.25">
      <c r="A33">
        <v>32</v>
      </c>
      <c r="B33" s="2">
        <v>7.2391970187499997</v>
      </c>
      <c r="C33" s="2">
        <v>1</v>
      </c>
      <c r="D33" s="2">
        <v>1</v>
      </c>
      <c r="E33" s="2">
        <v>1</v>
      </c>
      <c r="F33" s="2">
        <v>1</v>
      </c>
      <c r="G33" s="2">
        <v>1</v>
      </c>
      <c r="H33" s="2">
        <v>1</v>
      </c>
      <c r="I33" s="2">
        <v>1</v>
      </c>
      <c r="J33" s="2">
        <v>-1</v>
      </c>
      <c r="K33" s="2">
        <v>1</v>
      </c>
      <c r="L33" s="2"/>
      <c r="M33" s="2"/>
      <c r="N33" s="2"/>
      <c r="O33" s="2"/>
      <c r="P33" s="2"/>
      <c r="Q33" s="2"/>
      <c r="R33" s="2"/>
      <c r="S33" s="2"/>
      <c r="T33" s="2"/>
      <c r="U33" s="2"/>
      <c r="V33" s="2"/>
      <c r="W33" s="2"/>
      <c r="X33" s="2"/>
      <c r="Y33" s="2"/>
      <c r="Z33" s="2"/>
    </row>
    <row r="34" spans="1:26" x14ac:dyDescent="0.25">
      <c r="A34">
        <v>33</v>
      </c>
      <c r="B34" s="2"/>
      <c r="C34" s="2"/>
      <c r="D34" s="2"/>
      <c r="E34" s="2"/>
      <c r="F34" s="2"/>
      <c r="G34" s="2"/>
      <c r="H34" s="2"/>
      <c r="I34" s="2"/>
      <c r="J34" s="2"/>
      <c r="K34" s="2"/>
      <c r="L34" s="2"/>
      <c r="M34" s="2"/>
      <c r="N34" s="2"/>
      <c r="O34" s="2"/>
      <c r="P34" s="2"/>
      <c r="Q34" s="2"/>
      <c r="R34" s="2"/>
      <c r="S34" s="2"/>
      <c r="T34" s="2"/>
      <c r="U34" s="2"/>
      <c r="V34" s="2"/>
      <c r="W34" s="2"/>
      <c r="X34" s="2"/>
      <c r="Y34" s="2"/>
      <c r="Z34" s="2"/>
    </row>
    <row r="35" spans="1:26" x14ac:dyDescent="0.25">
      <c r="A35">
        <v>34</v>
      </c>
      <c r="B35" s="2"/>
      <c r="C35" s="2"/>
      <c r="D35" s="2"/>
      <c r="E35" s="2"/>
      <c r="F35" s="2"/>
      <c r="G35" s="2"/>
      <c r="H35" s="2"/>
      <c r="I35" s="2"/>
      <c r="J35" s="2"/>
      <c r="K35" s="2"/>
      <c r="L35" s="2"/>
      <c r="M35" s="2"/>
      <c r="N35" s="2"/>
      <c r="O35" s="2"/>
      <c r="P35" s="2"/>
      <c r="Q35" s="2"/>
      <c r="R35" s="2"/>
      <c r="S35" s="2"/>
      <c r="T35" s="2"/>
      <c r="U35" s="2"/>
      <c r="V35" s="2"/>
      <c r="W35" s="2"/>
      <c r="X35" s="2"/>
      <c r="Y35" s="2"/>
      <c r="Z35" s="2"/>
    </row>
    <row r="36" spans="1:26" x14ac:dyDescent="0.25">
      <c r="A36">
        <v>35</v>
      </c>
      <c r="B36" s="2"/>
      <c r="C36" s="2"/>
      <c r="D36" s="2"/>
      <c r="E36" s="2"/>
      <c r="F36" s="2"/>
      <c r="G36" s="2"/>
      <c r="H36" s="2"/>
      <c r="I36" s="2"/>
      <c r="J36" s="2"/>
      <c r="K36" s="2"/>
      <c r="L36" s="2"/>
      <c r="M36" s="2"/>
      <c r="N36" s="2"/>
      <c r="O36" s="2"/>
      <c r="P36" s="2"/>
      <c r="Q36" s="2"/>
      <c r="R36" s="2"/>
      <c r="S36" s="2"/>
      <c r="T36" s="2"/>
      <c r="U36" s="2"/>
      <c r="V36" s="2"/>
      <c r="W36" s="2"/>
      <c r="X36" s="2"/>
      <c r="Y36" s="2"/>
      <c r="Z36" s="2"/>
    </row>
    <row r="37" spans="1:26" x14ac:dyDescent="0.25">
      <c r="A37">
        <v>36</v>
      </c>
      <c r="B37" s="2"/>
      <c r="C37" s="2"/>
      <c r="D37" s="2"/>
      <c r="E37" s="2"/>
      <c r="F37" s="2"/>
      <c r="G37" s="2"/>
      <c r="H37" s="2"/>
      <c r="I37" s="2"/>
      <c r="J37" s="2"/>
      <c r="K37" s="2"/>
      <c r="L37" s="2"/>
      <c r="M37" s="2"/>
      <c r="N37" s="2"/>
      <c r="O37" s="2"/>
      <c r="P37" s="2"/>
      <c r="Q37" s="2"/>
      <c r="R37" s="2"/>
      <c r="S37" s="2"/>
      <c r="T37" s="2"/>
      <c r="U37" s="2"/>
      <c r="V37" s="2"/>
      <c r="W37" s="2"/>
      <c r="X37" s="2"/>
      <c r="Y37" s="2"/>
      <c r="Z37" s="2"/>
    </row>
    <row r="38" spans="1:26" x14ac:dyDescent="0.25">
      <c r="A38">
        <v>37</v>
      </c>
      <c r="B38" s="2"/>
      <c r="C38" s="2"/>
      <c r="D38" s="2"/>
      <c r="E38" s="2"/>
      <c r="F38" s="2"/>
      <c r="G38" s="2"/>
      <c r="H38" s="2"/>
      <c r="I38" s="2"/>
      <c r="J38" s="2"/>
      <c r="K38" s="2"/>
      <c r="L38" s="2"/>
      <c r="M38" s="2"/>
      <c r="N38" s="2"/>
      <c r="O38" s="2"/>
      <c r="P38" s="2"/>
      <c r="Q38" s="2"/>
      <c r="R38" s="2"/>
      <c r="S38" s="2"/>
      <c r="T38" s="2"/>
      <c r="U38" s="2"/>
      <c r="V38" s="2"/>
      <c r="W38" s="2"/>
      <c r="X38" s="2"/>
      <c r="Y38" s="2"/>
      <c r="Z38" s="2"/>
    </row>
    <row r="39" spans="1:26" x14ac:dyDescent="0.25">
      <c r="A39">
        <v>38</v>
      </c>
      <c r="B39" s="2"/>
      <c r="C39" s="2"/>
      <c r="D39" s="2"/>
      <c r="E39" s="2"/>
      <c r="F39" s="2"/>
      <c r="G39" s="2"/>
      <c r="H39" s="2"/>
      <c r="I39" s="2"/>
      <c r="J39" s="2"/>
      <c r="K39" s="2"/>
      <c r="L39" s="2"/>
      <c r="M39" s="2"/>
      <c r="N39" s="2"/>
      <c r="O39" s="2"/>
      <c r="P39" s="2"/>
      <c r="Q39" s="2"/>
      <c r="R39" s="2"/>
      <c r="S39" s="2"/>
      <c r="T39" s="2"/>
      <c r="U39" s="2"/>
      <c r="V39" s="2"/>
      <c r="W39" s="2"/>
      <c r="X39" s="2"/>
      <c r="Y39" s="2"/>
      <c r="Z39" s="2"/>
    </row>
    <row r="40" spans="1:26" x14ac:dyDescent="0.25">
      <c r="A40">
        <v>39</v>
      </c>
      <c r="B40" s="2"/>
      <c r="C40" s="2"/>
      <c r="D40" s="2"/>
      <c r="E40" s="2"/>
      <c r="F40" s="2"/>
      <c r="G40" s="2"/>
      <c r="H40" s="2"/>
      <c r="I40" s="2"/>
      <c r="J40" s="2"/>
      <c r="K40" s="2"/>
      <c r="L40" s="2"/>
      <c r="M40" s="2"/>
      <c r="N40" s="2"/>
      <c r="O40" s="2"/>
      <c r="P40" s="2"/>
      <c r="Q40" s="2"/>
      <c r="R40" s="2"/>
      <c r="S40" s="2"/>
      <c r="T40" s="2"/>
      <c r="U40" s="2"/>
      <c r="V40" s="2"/>
      <c r="W40" s="2"/>
      <c r="X40" s="2"/>
      <c r="Y40" s="2"/>
      <c r="Z40" s="2"/>
    </row>
    <row r="41" spans="1:26" x14ac:dyDescent="0.25">
      <c r="A41">
        <v>40</v>
      </c>
      <c r="B41" s="2"/>
      <c r="C41" s="2"/>
      <c r="D41" s="2"/>
      <c r="E41" s="2"/>
      <c r="F41" s="2"/>
      <c r="G41" s="2"/>
      <c r="H41" s="2"/>
      <c r="I41" s="2"/>
      <c r="J41" s="2"/>
      <c r="K41" s="2"/>
      <c r="L41" s="2"/>
      <c r="M41" s="2"/>
      <c r="N41" s="2"/>
      <c r="O41" s="2"/>
      <c r="P41" s="2"/>
      <c r="Q41" s="2"/>
      <c r="R41" s="2"/>
      <c r="S41" s="2"/>
      <c r="T41" s="2"/>
      <c r="U41" s="2"/>
      <c r="V41" s="2"/>
      <c r="W41" s="2"/>
      <c r="X41" s="2"/>
      <c r="Y41" s="2"/>
      <c r="Z41" s="2"/>
    </row>
    <row r="42" spans="1:26" x14ac:dyDescent="0.25">
      <c r="A42">
        <v>41</v>
      </c>
      <c r="B42" s="2"/>
      <c r="C42" s="2"/>
      <c r="D42" s="2"/>
      <c r="E42" s="2"/>
      <c r="F42" s="2"/>
      <c r="G42" s="2"/>
      <c r="H42" s="2"/>
      <c r="I42" s="2"/>
      <c r="J42" s="2"/>
      <c r="K42" s="2"/>
      <c r="L42" s="2"/>
      <c r="M42" s="2"/>
      <c r="N42" s="2"/>
      <c r="O42" s="2"/>
      <c r="P42" s="2"/>
      <c r="Q42" s="2"/>
      <c r="R42" s="2"/>
      <c r="S42" s="2"/>
      <c r="T42" s="2"/>
      <c r="U42" s="2"/>
      <c r="V42" s="2"/>
      <c r="W42" s="2"/>
      <c r="X42" s="2"/>
      <c r="Y42" s="2"/>
      <c r="Z42" s="2"/>
    </row>
    <row r="43" spans="1:26" x14ac:dyDescent="0.25">
      <c r="A43">
        <v>42</v>
      </c>
      <c r="B43" s="2"/>
      <c r="C43" s="2"/>
      <c r="D43" s="2"/>
      <c r="E43" s="2"/>
      <c r="F43" s="2"/>
      <c r="G43" s="2"/>
      <c r="H43" s="2"/>
      <c r="I43" s="2"/>
      <c r="J43" s="2"/>
      <c r="K43" s="2"/>
      <c r="L43" s="2"/>
      <c r="M43" s="2"/>
      <c r="N43" s="2"/>
      <c r="O43" s="2"/>
      <c r="P43" s="2"/>
      <c r="Q43" s="2"/>
      <c r="R43" s="2"/>
      <c r="S43" s="2"/>
      <c r="T43" s="2"/>
      <c r="U43" s="2"/>
      <c r="V43" s="2"/>
      <c r="W43" s="2"/>
      <c r="X43" s="2"/>
      <c r="Y43" s="2"/>
      <c r="Z43" s="2"/>
    </row>
    <row r="44" spans="1:26" x14ac:dyDescent="0.25">
      <c r="A44">
        <v>43</v>
      </c>
      <c r="B44" s="2"/>
      <c r="C44" s="2"/>
      <c r="D44" s="2"/>
      <c r="E44" s="2"/>
      <c r="F44" s="2"/>
      <c r="G44" s="2"/>
      <c r="H44" s="2"/>
      <c r="I44" s="2"/>
      <c r="J44" s="2"/>
      <c r="K44" s="2"/>
      <c r="L44" s="2"/>
      <c r="M44" s="2"/>
      <c r="N44" s="2"/>
      <c r="O44" s="2"/>
      <c r="P44" s="2"/>
      <c r="Q44" s="2"/>
      <c r="R44" s="2"/>
      <c r="S44" s="2"/>
      <c r="T44" s="2"/>
      <c r="U44" s="2"/>
      <c r="V44" s="2"/>
      <c r="W44" s="2"/>
      <c r="X44" s="2"/>
      <c r="Y44" s="2"/>
      <c r="Z44" s="2"/>
    </row>
    <row r="45" spans="1:26" x14ac:dyDescent="0.25">
      <c r="A45">
        <v>44</v>
      </c>
      <c r="B45" s="2"/>
      <c r="C45" s="2"/>
      <c r="D45" s="2"/>
      <c r="E45" s="2"/>
      <c r="F45" s="2"/>
      <c r="G45" s="2"/>
      <c r="H45" s="2"/>
      <c r="I45" s="2"/>
      <c r="J45" s="2"/>
      <c r="K45" s="2"/>
      <c r="L45" s="2"/>
      <c r="M45" s="2"/>
      <c r="N45" s="2"/>
      <c r="O45" s="2"/>
      <c r="P45" s="2"/>
      <c r="Q45" s="2"/>
      <c r="R45" s="2"/>
      <c r="S45" s="2"/>
      <c r="T45" s="2"/>
      <c r="U45" s="2"/>
      <c r="V45" s="2"/>
      <c r="W45" s="2"/>
      <c r="X45" s="2"/>
      <c r="Y45" s="2"/>
      <c r="Z45" s="2"/>
    </row>
    <row r="46" spans="1:26" x14ac:dyDescent="0.25">
      <c r="A46">
        <v>45</v>
      </c>
      <c r="B46" s="2"/>
      <c r="C46" s="2"/>
      <c r="D46" s="2"/>
      <c r="E46" s="2"/>
      <c r="F46" s="2"/>
      <c r="G46" s="2"/>
      <c r="H46" s="2"/>
      <c r="I46" s="2"/>
      <c r="J46" s="2"/>
      <c r="K46" s="2"/>
      <c r="L46" s="2"/>
      <c r="M46" s="2"/>
      <c r="N46" s="2"/>
      <c r="O46" s="2"/>
      <c r="P46" s="2"/>
      <c r="Q46" s="2"/>
      <c r="R46" s="2"/>
      <c r="S46" s="2"/>
      <c r="T46" s="2"/>
      <c r="U46" s="2"/>
      <c r="V46" s="2"/>
      <c r="W46" s="2"/>
      <c r="X46" s="2"/>
      <c r="Y46" s="2"/>
      <c r="Z46" s="2"/>
    </row>
    <row r="47" spans="1:26" x14ac:dyDescent="0.25">
      <c r="A47">
        <v>46</v>
      </c>
      <c r="B47" s="2"/>
      <c r="C47" s="2"/>
      <c r="D47" s="2"/>
      <c r="E47" s="2"/>
      <c r="F47" s="2"/>
      <c r="G47" s="2"/>
      <c r="H47" s="2"/>
      <c r="I47" s="2"/>
      <c r="J47" s="2"/>
      <c r="K47" s="2"/>
      <c r="L47" s="2"/>
      <c r="M47" s="2"/>
      <c r="N47" s="2"/>
      <c r="O47" s="2"/>
      <c r="P47" s="2"/>
      <c r="Q47" s="2"/>
      <c r="R47" s="2"/>
      <c r="S47" s="2"/>
      <c r="T47" s="2"/>
      <c r="U47" s="2"/>
      <c r="V47" s="2"/>
      <c r="W47" s="2"/>
      <c r="X47" s="2"/>
      <c r="Y47" s="2"/>
      <c r="Z47" s="2"/>
    </row>
    <row r="48" spans="1:26" x14ac:dyDescent="0.25">
      <c r="A48">
        <v>47</v>
      </c>
      <c r="B48" s="2"/>
      <c r="C48" s="2"/>
      <c r="D48" s="2"/>
      <c r="E48" s="2"/>
      <c r="F48" s="2"/>
      <c r="G48" s="2"/>
      <c r="H48" s="2"/>
      <c r="I48" s="2"/>
      <c r="J48" s="2"/>
      <c r="K48" s="2"/>
      <c r="L48" s="2"/>
      <c r="M48" s="2"/>
      <c r="N48" s="2"/>
      <c r="O48" s="2"/>
      <c r="P48" s="2"/>
      <c r="Q48" s="2"/>
      <c r="R48" s="2"/>
      <c r="S48" s="2"/>
      <c r="T48" s="2"/>
      <c r="U48" s="2"/>
      <c r="V48" s="2"/>
      <c r="W48" s="2"/>
      <c r="X48" s="2"/>
      <c r="Y48" s="2"/>
      <c r="Z48" s="2"/>
    </row>
    <row r="49" spans="1:26" x14ac:dyDescent="0.25">
      <c r="A49">
        <v>48</v>
      </c>
      <c r="B49" s="2"/>
      <c r="C49" s="2"/>
      <c r="D49" s="2"/>
      <c r="E49" s="2"/>
      <c r="F49" s="2"/>
      <c r="G49" s="2"/>
      <c r="H49" s="2"/>
      <c r="I49" s="2"/>
      <c r="J49" s="2"/>
      <c r="K49" s="2"/>
      <c r="L49" s="2"/>
      <c r="M49" s="2"/>
      <c r="N49" s="2"/>
      <c r="O49" s="2"/>
      <c r="P49" s="2"/>
      <c r="Q49" s="2"/>
      <c r="R49" s="2"/>
      <c r="S49" s="2"/>
      <c r="T49" s="2"/>
      <c r="U49" s="2"/>
      <c r="V49" s="2"/>
      <c r="W49" s="2"/>
      <c r="X49" s="2"/>
      <c r="Y49" s="2"/>
      <c r="Z49" s="2"/>
    </row>
    <row r="50" spans="1:26" x14ac:dyDescent="0.25">
      <c r="A50">
        <v>49</v>
      </c>
      <c r="B50" s="2"/>
      <c r="C50" s="2"/>
      <c r="D50" s="2"/>
      <c r="E50" s="2"/>
      <c r="F50" s="2"/>
      <c r="G50" s="2"/>
      <c r="H50" s="2"/>
      <c r="I50" s="2"/>
      <c r="J50" s="2"/>
      <c r="K50" s="2"/>
      <c r="L50" s="2"/>
      <c r="M50" s="2"/>
      <c r="N50" s="2"/>
      <c r="O50" s="2"/>
      <c r="P50" s="2"/>
      <c r="Q50" s="2"/>
      <c r="R50" s="2"/>
      <c r="S50" s="2"/>
      <c r="T50" s="2"/>
      <c r="U50" s="2"/>
      <c r="V50" s="2"/>
      <c r="W50" s="2"/>
      <c r="X50" s="2"/>
      <c r="Y50" s="2"/>
      <c r="Z50" s="2"/>
    </row>
    <row r="51" spans="1:26" x14ac:dyDescent="0.25">
      <c r="A51">
        <v>50</v>
      </c>
      <c r="B51" s="2"/>
      <c r="C51" s="2"/>
      <c r="D51" s="2"/>
      <c r="E51" s="2"/>
      <c r="F51" s="2"/>
      <c r="G51" s="2"/>
      <c r="H51" s="2"/>
      <c r="I51" s="2"/>
      <c r="J51" s="2"/>
      <c r="K51" s="2"/>
      <c r="L51" s="2"/>
      <c r="M51" s="2"/>
      <c r="N51" s="2"/>
      <c r="O51" s="2"/>
      <c r="P51" s="2"/>
      <c r="Q51" s="2"/>
      <c r="R51" s="2"/>
      <c r="S51" s="2"/>
      <c r="T51" s="2"/>
      <c r="U51" s="2"/>
      <c r="V51" s="2"/>
      <c r="W51" s="2"/>
      <c r="X51" s="2"/>
      <c r="Y51" s="2"/>
      <c r="Z51" s="2"/>
    </row>
    <row r="52" spans="1:26" x14ac:dyDescent="0.25">
      <c r="A52">
        <v>51</v>
      </c>
      <c r="B52" s="2"/>
      <c r="C52" s="2"/>
      <c r="D52" s="2"/>
      <c r="E52" s="2"/>
      <c r="F52" s="2"/>
      <c r="G52" s="2"/>
      <c r="H52" s="2"/>
      <c r="I52" s="2"/>
      <c r="J52" s="2"/>
      <c r="K52" s="2"/>
      <c r="L52" s="2"/>
      <c r="M52" s="2"/>
      <c r="N52" s="2"/>
      <c r="O52" s="2"/>
      <c r="P52" s="2"/>
      <c r="Q52" s="2"/>
      <c r="R52" s="2"/>
      <c r="S52" s="2"/>
      <c r="T52" s="2"/>
      <c r="U52" s="2"/>
      <c r="V52" s="2"/>
      <c r="W52" s="2"/>
      <c r="X52" s="2"/>
      <c r="Y52" s="2"/>
      <c r="Z52" s="2"/>
    </row>
    <row r="53" spans="1:26" x14ac:dyDescent="0.25">
      <c r="A53">
        <v>52</v>
      </c>
      <c r="B53" s="2"/>
      <c r="C53" s="2"/>
      <c r="D53" s="2"/>
      <c r="E53" s="2"/>
      <c r="F53" s="2"/>
      <c r="G53" s="2"/>
      <c r="H53" s="2"/>
      <c r="I53" s="2"/>
      <c r="J53" s="2"/>
      <c r="K53" s="2"/>
      <c r="L53" s="2"/>
      <c r="M53" s="2"/>
      <c r="N53" s="2"/>
      <c r="O53" s="2"/>
      <c r="P53" s="2"/>
      <c r="Q53" s="2"/>
      <c r="R53" s="2"/>
      <c r="S53" s="2"/>
      <c r="T53" s="2"/>
      <c r="U53" s="2"/>
      <c r="V53" s="2"/>
      <c r="W53" s="2"/>
      <c r="X53" s="2"/>
      <c r="Y53" s="2"/>
      <c r="Z53" s="2"/>
    </row>
    <row r="54" spans="1:26" x14ac:dyDescent="0.25">
      <c r="A54">
        <v>53</v>
      </c>
      <c r="B54" s="2"/>
      <c r="C54" s="2"/>
      <c r="D54" s="2"/>
      <c r="E54" s="2"/>
      <c r="F54" s="2"/>
      <c r="G54" s="2"/>
      <c r="H54" s="2"/>
      <c r="I54" s="2"/>
      <c r="J54" s="2"/>
      <c r="K54" s="2"/>
      <c r="L54" s="2"/>
      <c r="M54" s="2"/>
      <c r="N54" s="2"/>
      <c r="O54" s="2"/>
      <c r="P54" s="2"/>
      <c r="Q54" s="2"/>
      <c r="R54" s="2"/>
      <c r="S54" s="2"/>
      <c r="T54" s="2"/>
      <c r="U54" s="2"/>
      <c r="V54" s="2"/>
      <c r="W54" s="2"/>
      <c r="X54" s="2"/>
      <c r="Y54" s="2"/>
      <c r="Z54" s="2"/>
    </row>
    <row r="55" spans="1:26" x14ac:dyDescent="0.25">
      <c r="A55">
        <v>54</v>
      </c>
      <c r="B55" s="2"/>
      <c r="C55" s="2"/>
      <c r="D55" s="2"/>
      <c r="E55" s="2"/>
      <c r="F55" s="2"/>
      <c r="G55" s="2"/>
      <c r="H55" s="2"/>
      <c r="I55" s="2"/>
      <c r="J55" s="2"/>
      <c r="K55" s="2"/>
      <c r="L55" s="2"/>
      <c r="M55" s="2"/>
      <c r="N55" s="2"/>
      <c r="O55" s="2"/>
      <c r="P55" s="2"/>
      <c r="Q55" s="2"/>
      <c r="R55" s="2"/>
      <c r="S55" s="2"/>
      <c r="T55" s="2"/>
      <c r="U55" s="2"/>
      <c r="V55" s="2"/>
      <c r="W55" s="2"/>
      <c r="X55" s="2"/>
      <c r="Y55" s="2"/>
      <c r="Z55" s="2"/>
    </row>
    <row r="56" spans="1:26" x14ac:dyDescent="0.25">
      <c r="A56">
        <v>55</v>
      </c>
      <c r="B56" s="2"/>
      <c r="C56" s="2"/>
      <c r="D56" s="2"/>
      <c r="E56" s="2"/>
      <c r="F56" s="2"/>
      <c r="G56" s="2"/>
      <c r="H56" s="2"/>
      <c r="I56" s="2"/>
      <c r="J56" s="2"/>
      <c r="K56" s="2"/>
      <c r="L56" s="2"/>
      <c r="M56" s="2"/>
      <c r="N56" s="2"/>
      <c r="O56" s="2"/>
      <c r="P56" s="2"/>
      <c r="Q56" s="2"/>
      <c r="R56" s="2"/>
      <c r="S56" s="2"/>
      <c r="T56" s="2"/>
      <c r="U56" s="2"/>
      <c r="V56" s="2"/>
      <c r="W56" s="2"/>
      <c r="X56" s="2"/>
      <c r="Y56" s="2"/>
      <c r="Z56" s="2"/>
    </row>
    <row r="57" spans="1:26" x14ac:dyDescent="0.25">
      <c r="A57">
        <v>56</v>
      </c>
      <c r="B57" s="2"/>
      <c r="C57" s="2"/>
      <c r="D57" s="2"/>
      <c r="E57" s="2"/>
      <c r="F57" s="2"/>
      <c r="G57" s="2"/>
      <c r="H57" s="2"/>
      <c r="I57" s="2"/>
      <c r="J57" s="2"/>
      <c r="K57" s="2"/>
      <c r="L57" s="2"/>
      <c r="M57" s="2"/>
      <c r="N57" s="2"/>
      <c r="O57" s="2"/>
      <c r="P57" s="2"/>
      <c r="Q57" s="2"/>
      <c r="R57" s="2"/>
      <c r="S57" s="2"/>
      <c r="T57" s="2"/>
      <c r="U57" s="2"/>
      <c r="V57" s="2"/>
      <c r="W57" s="2"/>
      <c r="X57" s="2"/>
      <c r="Y57" s="2"/>
      <c r="Z57" s="2"/>
    </row>
    <row r="58" spans="1:26" x14ac:dyDescent="0.25">
      <c r="A58">
        <v>57</v>
      </c>
      <c r="B58" s="2"/>
      <c r="C58" s="2"/>
      <c r="D58" s="2"/>
      <c r="E58" s="2"/>
      <c r="F58" s="2"/>
      <c r="G58" s="2"/>
      <c r="H58" s="2"/>
      <c r="I58" s="2"/>
      <c r="J58" s="2"/>
      <c r="K58" s="2"/>
      <c r="L58" s="2"/>
      <c r="M58" s="2"/>
      <c r="N58" s="2"/>
      <c r="O58" s="2"/>
      <c r="P58" s="2"/>
      <c r="Q58" s="2"/>
      <c r="R58" s="2"/>
      <c r="S58" s="2"/>
      <c r="T58" s="2"/>
      <c r="U58" s="2"/>
      <c r="V58" s="2"/>
      <c r="W58" s="2"/>
      <c r="X58" s="2"/>
      <c r="Y58" s="2"/>
      <c r="Z58" s="2"/>
    </row>
    <row r="59" spans="1:26" x14ac:dyDescent="0.25">
      <c r="A59">
        <v>58</v>
      </c>
      <c r="B59" s="2"/>
      <c r="C59" s="2"/>
      <c r="D59" s="2"/>
      <c r="E59" s="2"/>
      <c r="F59" s="2"/>
      <c r="G59" s="2"/>
      <c r="H59" s="2"/>
      <c r="I59" s="2"/>
      <c r="J59" s="2"/>
      <c r="K59" s="2"/>
      <c r="L59" s="2"/>
      <c r="M59" s="2"/>
      <c r="N59" s="2"/>
      <c r="O59" s="2"/>
      <c r="P59" s="2"/>
      <c r="Q59" s="2"/>
      <c r="R59" s="2"/>
      <c r="S59" s="2"/>
      <c r="T59" s="2"/>
      <c r="U59" s="2"/>
      <c r="V59" s="2"/>
      <c r="W59" s="2"/>
      <c r="X59" s="2"/>
      <c r="Y59" s="2"/>
      <c r="Z59" s="2"/>
    </row>
    <row r="60" spans="1:26" x14ac:dyDescent="0.25">
      <c r="A60">
        <v>59</v>
      </c>
      <c r="B60" s="2"/>
      <c r="C60" s="2"/>
      <c r="D60" s="2"/>
      <c r="E60" s="2"/>
      <c r="F60" s="2"/>
      <c r="G60" s="2"/>
      <c r="H60" s="2"/>
      <c r="I60" s="2"/>
      <c r="J60" s="2"/>
      <c r="K60" s="2"/>
      <c r="L60" s="2"/>
      <c r="M60" s="2"/>
      <c r="N60" s="2"/>
      <c r="O60" s="2"/>
      <c r="P60" s="2"/>
      <c r="Q60" s="2"/>
      <c r="R60" s="2"/>
      <c r="S60" s="2"/>
      <c r="T60" s="2"/>
      <c r="U60" s="2"/>
      <c r="V60" s="2"/>
      <c r="W60" s="2"/>
      <c r="X60" s="2"/>
      <c r="Y60" s="2"/>
      <c r="Z60" s="2"/>
    </row>
    <row r="61" spans="1:26" x14ac:dyDescent="0.25">
      <c r="A61">
        <v>60</v>
      </c>
      <c r="B61" s="2"/>
      <c r="C61" s="2"/>
      <c r="D61" s="2"/>
      <c r="E61" s="2"/>
      <c r="F61" s="2"/>
      <c r="G61" s="2"/>
      <c r="H61" s="2"/>
      <c r="I61" s="2"/>
      <c r="J61" s="2"/>
      <c r="K61" s="2"/>
      <c r="L61" s="2"/>
      <c r="M61" s="2"/>
      <c r="N61" s="2"/>
      <c r="O61" s="2"/>
      <c r="P61" s="2"/>
      <c r="Q61" s="2"/>
      <c r="R61" s="2"/>
      <c r="S61" s="2"/>
      <c r="T61" s="2"/>
      <c r="U61" s="2"/>
      <c r="V61" s="2"/>
      <c r="W61" s="2"/>
      <c r="X61" s="2"/>
      <c r="Y61" s="2"/>
      <c r="Z61" s="2"/>
    </row>
    <row r="62" spans="1:26" x14ac:dyDescent="0.25">
      <c r="A62">
        <v>61</v>
      </c>
      <c r="B62" s="2"/>
      <c r="C62" s="2"/>
      <c r="D62" s="2"/>
      <c r="E62" s="2"/>
      <c r="F62" s="2"/>
      <c r="G62" s="2"/>
      <c r="H62" s="2"/>
      <c r="I62" s="2"/>
      <c r="J62" s="2"/>
      <c r="K62" s="2"/>
      <c r="L62" s="2"/>
      <c r="M62" s="2"/>
      <c r="N62" s="2"/>
      <c r="O62" s="2"/>
      <c r="P62" s="2"/>
      <c r="Q62" s="2"/>
      <c r="R62" s="2"/>
      <c r="S62" s="2"/>
      <c r="T62" s="2"/>
      <c r="U62" s="2"/>
      <c r="V62" s="2"/>
      <c r="W62" s="2"/>
      <c r="X62" s="2"/>
      <c r="Y62" s="2"/>
      <c r="Z62" s="2"/>
    </row>
    <row r="63" spans="1:26" x14ac:dyDescent="0.25">
      <c r="A63">
        <v>62</v>
      </c>
      <c r="B63" s="2"/>
      <c r="C63" s="2"/>
      <c r="D63" s="2"/>
      <c r="E63" s="2"/>
      <c r="F63" s="2"/>
      <c r="G63" s="2"/>
      <c r="H63" s="2"/>
      <c r="I63" s="2"/>
      <c r="J63" s="2"/>
      <c r="K63" s="2"/>
      <c r="L63" s="2"/>
      <c r="M63" s="2"/>
      <c r="N63" s="2"/>
      <c r="O63" s="2"/>
      <c r="P63" s="2"/>
      <c r="Q63" s="2"/>
      <c r="R63" s="2"/>
      <c r="S63" s="2"/>
      <c r="T63" s="2"/>
      <c r="U63" s="2"/>
      <c r="V63" s="2"/>
      <c r="W63" s="2"/>
      <c r="X63" s="2"/>
      <c r="Y63" s="2"/>
      <c r="Z63" s="2"/>
    </row>
    <row r="64" spans="1:26" x14ac:dyDescent="0.25">
      <c r="A64">
        <v>63</v>
      </c>
      <c r="B64" s="2"/>
      <c r="C64" s="2"/>
      <c r="D64" s="2"/>
      <c r="E64" s="2"/>
      <c r="F64" s="2"/>
      <c r="G64" s="2"/>
      <c r="H64" s="2"/>
      <c r="I64" s="2"/>
      <c r="J64" s="2"/>
      <c r="K64" s="2"/>
      <c r="L64" s="2"/>
      <c r="M64" s="2"/>
      <c r="N64" s="2"/>
      <c r="O64" s="2"/>
      <c r="P64" s="2"/>
      <c r="Q64" s="2"/>
      <c r="R64" s="2"/>
      <c r="S64" s="2"/>
      <c r="T64" s="2"/>
      <c r="U64" s="2"/>
      <c r="V64" s="2"/>
      <c r="W64" s="2"/>
      <c r="X64" s="2"/>
      <c r="Y64" s="2"/>
      <c r="Z64" s="2"/>
    </row>
    <row r="65" spans="1:26" x14ac:dyDescent="0.25">
      <c r="A65">
        <v>64</v>
      </c>
      <c r="B65" s="2"/>
      <c r="C65" s="2"/>
      <c r="D65" s="2"/>
      <c r="E65" s="2"/>
      <c r="F65" s="2"/>
      <c r="G65" s="2"/>
      <c r="H65" s="2"/>
      <c r="I65" s="2"/>
      <c r="J65" s="2"/>
      <c r="K65" s="2"/>
      <c r="L65" s="2"/>
      <c r="M65" s="2"/>
      <c r="N65" s="2"/>
      <c r="O65" s="2"/>
      <c r="P65" s="2"/>
      <c r="Q65" s="2"/>
      <c r="R65" s="2"/>
      <c r="S65" s="2"/>
      <c r="T65" s="2"/>
      <c r="U65" s="2"/>
      <c r="V65" s="2"/>
      <c r="W65" s="2"/>
      <c r="X65" s="2"/>
      <c r="Y65" s="2"/>
      <c r="Z65" s="2"/>
    </row>
    <row r="66" spans="1:26" x14ac:dyDescent="0.25">
      <c r="A66">
        <v>65</v>
      </c>
      <c r="B66" s="2"/>
      <c r="C66" s="2"/>
      <c r="D66" s="2"/>
      <c r="E66" s="2"/>
      <c r="F66" s="2"/>
      <c r="G66" s="2"/>
      <c r="H66" s="2"/>
      <c r="I66" s="2"/>
      <c r="J66" s="2"/>
      <c r="K66" s="2"/>
      <c r="L66" s="2"/>
      <c r="M66" s="2"/>
      <c r="N66" s="2"/>
      <c r="O66" s="2"/>
      <c r="P66" s="2"/>
      <c r="Q66" s="2"/>
      <c r="R66" s="2"/>
      <c r="S66" s="2"/>
      <c r="T66" s="2"/>
      <c r="U66" s="2"/>
      <c r="V66" s="2"/>
      <c r="W66" s="2"/>
      <c r="X66" s="2"/>
      <c r="Y66" s="2"/>
      <c r="Z66" s="2"/>
    </row>
    <row r="67" spans="1:26" x14ac:dyDescent="0.25">
      <c r="A67">
        <v>66</v>
      </c>
      <c r="B67" s="2"/>
      <c r="C67" s="2"/>
      <c r="D67" s="2"/>
      <c r="E67" s="2"/>
      <c r="F67" s="2"/>
      <c r="G67" s="2"/>
      <c r="H67" s="2"/>
      <c r="I67" s="2"/>
      <c r="J67" s="2"/>
      <c r="K67" s="2"/>
      <c r="L67" s="2"/>
      <c r="M67" s="2"/>
      <c r="N67" s="2"/>
      <c r="O67" s="2"/>
      <c r="P67" s="2"/>
      <c r="Q67" s="2"/>
      <c r="R67" s="2"/>
      <c r="S67" s="2"/>
      <c r="T67" s="2"/>
      <c r="U67" s="2"/>
      <c r="V67" s="2"/>
      <c r="W67" s="2"/>
      <c r="X67" s="2"/>
      <c r="Y67" s="2"/>
      <c r="Z67" s="2"/>
    </row>
    <row r="68" spans="1:26" x14ac:dyDescent="0.25">
      <c r="A68">
        <v>67</v>
      </c>
      <c r="B68" s="2"/>
      <c r="C68" s="2"/>
      <c r="D68" s="2"/>
      <c r="E68" s="2"/>
      <c r="F68" s="2"/>
      <c r="G68" s="2"/>
      <c r="H68" s="2"/>
      <c r="I68" s="2"/>
      <c r="J68" s="2"/>
      <c r="K68" s="2"/>
      <c r="L68" s="2"/>
      <c r="M68" s="2"/>
      <c r="N68" s="2"/>
      <c r="O68" s="2"/>
      <c r="P68" s="2"/>
      <c r="Q68" s="2"/>
      <c r="R68" s="2"/>
      <c r="S68" s="2"/>
      <c r="T68" s="2"/>
      <c r="U68" s="2"/>
      <c r="V68" s="2"/>
      <c r="W68" s="2"/>
      <c r="X68" s="2"/>
      <c r="Y68" s="2"/>
      <c r="Z68" s="2"/>
    </row>
    <row r="69" spans="1:26" x14ac:dyDescent="0.25">
      <c r="A69">
        <v>68</v>
      </c>
      <c r="B69" s="2"/>
      <c r="C69" s="2"/>
      <c r="D69" s="2"/>
      <c r="E69" s="2"/>
      <c r="F69" s="2"/>
      <c r="G69" s="2"/>
      <c r="H69" s="2"/>
      <c r="I69" s="2"/>
      <c r="J69" s="2"/>
      <c r="K69" s="2"/>
      <c r="L69" s="2"/>
      <c r="M69" s="2"/>
      <c r="N69" s="2"/>
      <c r="O69" s="2"/>
      <c r="P69" s="2"/>
      <c r="Q69" s="2"/>
      <c r="R69" s="2"/>
      <c r="S69" s="2"/>
      <c r="T69" s="2"/>
      <c r="U69" s="2"/>
      <c r="V69" s="2"/>
      <c r="W69" s="2"/>
      <c r="X69" s="2"/>
      <c r="Y69" s="2"/>
      <c r="Z69" s="2"/>
    </row>
    <row r="70" spans="1:26" x14ac:dyDescent="0.25">
      <c r="A70">
        <v>69</v>
      </c>
      <c r="B70" s="2"/>
      <c r="C70" s="2"/>
      <c r="D70" s="2"/>
      <c r="E70" s="2"/>
      <c r="F70" s="2"/>
      <c r="G70" s="2"/>
      <c r="H70" s="2"/>
      <c r="I70" s="2"/>
      <c r="J70" s="2"/>
      <c r="K70" s="2"/>
      <c r="L70" s="2"/>
      <c r="M70" s="2"/>
      <c r="N70" s="2"/>
      <c r="O70" s="2"/>
      <c r="P70" s="2"/>
      <c r="Q70" s="2"/>
      <c r="R70" s="2"/>
      <c r="S70" s="2"/>
      <c r="T70" s="2"/>
      <c r="U70" s="2"/>
      <c r="V70" s="2"/>
      <c r="W70" s="2"/>
      <c r="X70" s="2"/>
      <c r="Y70" s="2"/>
      <c r="Z70" s="2"/>
    </row>
    <row r="71" spans="1:26" x14ac:dyDescent="0.25">
      <c r="A71">
        <v>70</v>
      </c>
      <c r="B71" s="2"/>
      <c r="C71" s="2"/>
      <c r="D71" s="2"/>
      <c r="E71" s="2"/>
      <c r="F71" s="2"/>
      <c r="G71" s="2"/>
      <c r="H71" s="2"/>
      <c r="I71" s="2"/>
      <c r="J71" s="2"/>
      <c r="K71" s="2"/>
      <c r="L71" s="2"/>
      <c r="M71" s="2"/>
      <c r="N71" s="2"/>
      <c r="O71" s="2"/>
      <c r="P71" s="2"/>
      <c r="Q71" s="2"/>
      <c r="R71" s="2"/>
      <c r="S71" s="2"/>
      <c r="T71" s="2"/>
      <c r="U71" s="2"/>
      <c r="V71" s="2"/>
      <c r="W71" s="2"/>
      <c r="X71" s="2"/>
      <c r="Y71" s="2"/>
      <c r="Z71" s="2"/>
    </row>
  </sheetData>
  <mergeCells count="1">
    <mergeCell ref="AA1:AA2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C6490-89E5-478F-A3E0-4372E4D51C03}">
  <sheetPr codeName="Hoja5">
    <tabColor rgb="FFFFFF00"/>
  </sheetPr>
  <dimension ref="A1:XFC88"/>
  <sheetViews>
    <sheetView zoomScaleNormal="100" workbookViewId="0"/>
  </sheetViews>
  <sheetFormatPr baseColWidth="10" defaultColWidth="0" defaultRowHeight="15" x14ac:dyDescent="0.25"/>
  <cols>
    <col min="1" max="25" width="7.5703125" customWidth="1"/>
    <col min="26" max="26" width="39.7109375" customWidth="1"/>
    <col min="27" max="16383" width="11.42578125" hidden="1"/>
    <col min="16384" max="16384" width="18.28515625" hidden="1" customWidth="1"/>
  </cols>
  <sheetData>
    <row r="1" spans="1:26" x14ac:dyDescent="0.25">
      <c r="A1" t="s">
        <v>31</v>
      </c>
      <c r="Z1" s="20" t="s">
        <v>122</v>
      </c>
    </row>
    <row r="2" spans="1:26" x14ac:dyDescent="0.25">
      <c r="A2" s="2" t="s">
        <v>0</v>
      </c>
      <c r="B2" s="2" t="s">
        <v>2</v>
      </c>
      <c r="C2" s="2" t="s">
        <v>4</v>
      </c>
      <c r="D2" s="2" t="s">
        <v>145</v>
      </c>
      <c r="E2" s="2" t="s">
        <v>186</v>
      </c>
      <c r="F2" s="2"/>
      <c r="G2" s="2"/>
      <c r="H2" s="2"/>
      <c r="I2" s="2"/>
      <c r="J2" s="2"/>
      <c r="K2" s="2"/>
      <c r="L2" s="2"/>
      <c r="M2" s="2"/>
      <c r="N2" s="2"/>
      <c r="O2" s="2"/>
      <c r="P2" s="2"/>
      <c r="Q2" s="2"/>
      <c r="R2" s="2"/>
      <c r="S2" s="2"/>
      <c r="T2" s="2"/>
      <c r="U2" s="2"/>
      <c r="V2" s="2"/>
      <c r="W2" s="2"/>
      <c r="X2" s="2"/>
      <c r="Y2" s="2"/>
      <c r="Z2" s="20"/>
    </row>
    <row r="3" spans="1:26" x14ac:dyDescent="0.25">
      <c r="A3" t="s">
        <v>29</v>
      </c>
      <c r="F3" s="22">
        <f ca="1">IFERROR(MODEL_CORRELATION!F1,"")</f>
        <v>1</v>
      </c>
      <c r="G3" s="23"/>
      <c r="H3" s="6" t="s">
        <v>121</v>
      </c>
      <c r="I3" s="6"/>
      <c r="J3" s="6"/>
      <c r="K3" s="6"/>
      <c r="L3" s="6"/>
      <c r="M3" s="6"/>
      <c r="N3" s="6"/>
      <c r="O3" s="6"/>
      <c r="P3" s="6"/>
      <c r="Q3" s="6"/>
      <c r="R3" s="6"/>
      <c r="S3" s="6"/>
      <c r="T3" s="6"/>
      <c r="U3" s="6"/>
      <c r="V3" s="6"/>
      <c r="W3" s="6"/>
      <c r="X3" s="6"/>
      <c r="Y3" s="6"/>
      <c r="Z3" s="20"/>
    </row>
    <row r="4" spans="1:26" x14ac:dyDescent="0.25">
      <c r="A4" s="8" t="str">
        <f ca="1">IFERROR(IF(F3&lt;0.5,"AVAILABLE DATA/DESIGN DOES NOT ALLOW FITTING THIS MODEL",""),"")</f>
        <v/>
      </c>
      <c r="Z4" s="20"/>
    </row>
    <row r="5" spans="1:26" x14ac:dyDescent="0.25">
      <c r="Z5" s="20"/>
    </row>
    <row r="6" spans="1:26" x14ac:dyDescent="0.25">
      <c r="A6" t="str">
        <f>IF(A2="","",A2)</f>
        <v>A</v>
      </c>
      <c r="B6" t="str">
        <f t="shared" ref="B6:Y6" si="0">IF(B2="","",B2)</f>
        <v>C</v>
      </c>
      <c r="C6" t="str">
        <f t="shared" si="0"/>
        <v>E</v>
      </c>
      <c r="D6" t="str">
        <f t="shared" si="0"/>
        <v>AC</v>
      </c>
      <c r="E6" t="str">
        <f t="shared" si="0"/>
        <v>AE</v>
      </c>
      <c r="F6" t="str">
        <f t="shared" si="0"/>
        <v/>
      </c>
      <c r="G6" t="str">
        <f t="shared" si="0"/>
        <v/>
      </c>
      <c r="H6" t="str">
        <f t="shared" si="0"/>
        <v/>
      </c>
      <c r="I6" t="str">
        <f t="shared" si="0"/>
        <v/>
      </c>
      <c r="J6" t="str">
        <f t="shared" si="0"/>
        <v/>
      </c>
      <c r="K6" t="str">
        <f t="shared" si="0"/>
        <v/>
      </c>
      <c r="L6" t="str">
        <f t="shared" si="0"/>
        <v/>
      </c>
      <c r="M6" t="str">
        <f t="shared" si="0"/>
        <v/>
      </c>
      <c r="N6" t="str">
        <f t="shared" si="0"/>
        <v/>
      </c>
      <c r="O6" t="str">
        <f t="shared" si="0"/>
        <v/>
      </c>
      <c r="P6" t="str">
        <f t="shared" si="0"/>
        <v/>
      </c>
      <c r="Q6" t="str">
        <f t="shared" si="0"/>
        <v/>
      </c>
      <c r="R6" t="str">
        <f t="shared" si="0"/>
        <v/>
      </c>
      <c r="S6" t="str">
        <f t="shared" si="0"/>
        <v/>
      </c>
      <c r="T6" t="str">
        <f t="shared" si="0"/>
        <v/>
      </c>
      <c r="U6" t="str">
        <f t="shared" si="0"/>
        <v/>
      </c>
      <c r="V6" t="str">
        <f t="shared" si="0"/>
        <v/>
      </c>
      <c r="W6" t="str">
        <f t="shared" si="0"/>
        <v/>
      </c>
      <c r="X6" t="str">
        <f t="shared" si="0"/>
        <v/>
      </c>
      <c r="Y6" t="str">
        <f t="shared" si="0"/>
        <v/>
      </c>
      <c r="Z6" s="20"/>
    </row>
    <row r="7" spans="1:26" x14ac:dyDescent="0.25">
      <c r="A7" s="6">
        <f ca="1">IFERROR(A80,A64)</f>
        <v>9.4223631576323796E-2</v>
      </c>
      <c r="B7" s="6">
        <f t="shared" ref="B7:Y7" ca="1" si="1">IFERROR(B80,B64)</f>
        <v>0.48788166330387112</v>
      </c>
      <c r="C7" s="6">
        <f t="shared" ca="1" si="1"/>
        <v>9.0986246841254018E-2</v>
      </c>
      <c r="D7" s="6">
        <f t="shared" ca="1" si="1"/>
        <v>5.3799627282635543E-2</v>
      </c>
      <c r="E7" s="6">
        <f t="shared" ca="1" si="1"/>
        <v>7.2876123722829395E-2</v>
      </c>
      <c r="F7" s="6" t="str">
        <f t="shared" si="1"/>
        <v/>
      </c>
      <c r="G7" s="6" t="str">
        <f t="shared" si="1"/>
        <v/>
      </c>
      <c r="H7" s="6" t="str">
        <f t="shared" si="1"/>
        <v/>
      </c>
      <c r="I7" s="6" t="str">
        <f t="shared" si="1"/>
        <v/>
      </c>
      <c r="J7" s="6" t="str">
        <f t="shared" si="1"/>
        <v/>
      </c>
      <c r="K7" s="6" t="str">
        <f t="shared" si="1"/>
        <v/>
      </c>
      <c r="L7" s="6" t="str">
        <f t="shared" si="1"/>
        <v/>
      </c>
      <c r="M7" s="6" t="str">
        <f t="shared" si="1"/>
        <v/>
      </c>
      <c r="N7" s="6" t="str">
        <f t="shared" si="1"/>
        <v/>
      </c>
      <c r="O7" s="6" t="str">
        <f t="shared" si="1"/>
        <v/>
      </c>
      <c r="P7" s="6" t="str">
        <f t="shared" si="1"/>
        <v/>
      </c>
      <c r="Q7" s="6" t="str">
        <f t="shared" si="1"/>
        <v/>
      </c>
      <c r="R7" s="6" t="str">
        <f t="shared" si="1"/>
        <v/>
      </c>
      <c r="S7" s="6" t="str">
        <f t="shared" si="1"/>
        <v/>
      </c>
      <c r="T7" s="6" t="str">
        <f t="shared" si="1"/>
        <v/>
      </c>
      <c r="U7" s="6" t="str">
        <f t="shared" si="1"/>
        <v/>
      </c>
      <c r="V7" s="6" t="str">
        <f t="shared" si="1"/>
        <v/>
      </c>
      <c r="W7" s="6" t="str">
        <f t="shared" si="1"/>
        <v/>
      </c>
      <c r="X7" s="6" t="str">
        <f t="shared" si="1"/>
        <v/>
      </c>
      <c r="Y7" s="6" t="str">
        <f t="shared" si="1"/>
        <v/>
      </c>
      <c r="Z7" s="20"/>
    </row>
    <row r="8" spans="1:26" x14ac:dyDescent="0.25">
      <c r="A8" s="7" t="str">
        <f ca="1">"↑ " &amp; IF(ISERROR(A80),A61,A78)</f>
        <v>↑ Explained variability (ANOVA Type II - Unique SS)</v>
      </c>
      <c r="Z8" s="20"/>
    </row>
    <row r="9" spans="1:26" x14ac:dyDescent="0.25">
      <c r="A9" t="s">
        <v>41</v>
      </c>
      <c r="G9" s="6">
        <f ca="1">MODEL_FIT!B8</f>
        <v>0.79976729272691449</v>
      </c>
      <c r="Z9" s="20"/>
    </row>
    <row r="10" spans="1:26" x14ac:dyDescent="0.25">
      <c r="Z10" s="20"/>
    </row>
    <row r="11" spans="1:26" x14ac:dyDescent="0.25">
      <c r="Z11" s="20"/>
    </row>
    <row r="12" spans="1:26" x14ac:dyDescent="0.25">
      <c r="A12" t="s">
        <v>27</v>
      </c>
      <c r="Z12" s="20"/>
    </row>
    <row r="13" spans="1:26" x14ac:dyDescent="0.25">
      <c r="A13" t="str">
        <f>A15</f>
        <v>A</v>
      </c>
      <c r="B13" t="str">
        <f t="shared" ref="B13:Y13" si="2">B15</f>
        <v>C</v>
      </c>
      <c r="C13" t="str">
        <f t="shared" si="2"/>
        <v>E</v>
      </c>
      <c r="D13" t="str">
        <f t="shared" si="2"/>
        <v>AC</v>
      </c>
      <c r="E13" t="str">
        <f t="shared" si="2"/>
        <v>AE</v>
      </c>
      <c r="F13" t="str">
        <f t="shared" si="2"/>
        <v/>
      </c>
      <c r="G13" t="str">
        <f t="shared" si="2"/>
        <v/>
      </c>
      <c r="H13" t="str">
        <f t="shared" si="2"/>
        <v/>
      </c>
      <c r="I13" t="str">
        <f t="shared" si="2"/>
        <v/>
      </c>
      <c r="J13" t="str">
        <f t="shared" si="2"/>
        <v/>
      </c>
      <c r="K13" t="str">
        <f t="shared" si="2"/>
        <v/>
      </c>
      <c r="L13" t="str">
        <f t="shared" si="2"/>
        <v/>
      </c>
      <c r="M13" t="str">
        <f t="shared" si="2"/>
        <v/>
      </c>
      <c r="N13" t="str">
        <f t="shared" si="2"/>
        <v/>
      </c>
      <c r="O13" t="str">
        <f t="shared" si="2"/>
        <v/>
      </c>
      <c r="P13" t="str">
        <f t="shared" si="2"/>
        <v/>
      </c>
      <c r="Q13" t="str">
        <f t="shared" si="2"/>
        <v/>
      </c>
      <c r="R13" t="str">
        <f t="shared" si="2"/>
        <v/>
      </c>
      <c r="S13" t="str">
        <f t="shared" si="2"/>
        <v/>
      </c>
      <c r="T13" t="str">
        <f t="shared" si="2"/>
        <v/>
      </c>
      <c r="U13" t="str">
        <f t="shared" si="2"/>
        <v/>
      </c>
      <c r="V13" t="str">
        <f t="shared" si="2"/>
        <v/>
      </c>
      <c r="W13" t="str">
        <f t="shared" si="2"/>
        <v/>
      </c>
      <c r="X13" t="str">
        <f t="shared" si="2"/>
        <v/>
      </c>
      <c r="Y13" t="str">
        <f t="shared" si="2"/>
        <v/>
      </c>
      <c r="Z13" s="20"/>
    </row>
    <row r="14" spans="1:26" x14ac:dyDescent="0.25">
      <c r="A14">
        <f>IF(COUNT(A16:A24)&gt;0,COUNT(A16:A24),"")</f>
        <v>2</v>
      </c>
      <c r="B14">
        <f t="shared" ref="B14:Y14" si="3">IF(COUNT(B16:B24)&gt;0,COUNT(B16:B24),"")</f>
        <v>2</v>
      </c>
      <c r="C14">
        <f t="shared" si="3"/>
        <v>2</v>
      </c>
      <c r="D14">
        <f t="shared" si="3"/>
        <v>2</v>
      </c>
      <c r="E14">
        <f t="shared" si="3"/>
        <v>2</v>
      </c>
      <c r="F14" t="str">
        <f t="shared" si="3"/>
        <v/>
      </c>
      <c r="G14" t="str">
        <f t="shared" si="3"/>
        <v/>
      </c>
      <c r="H14" t="str">
        <f t="shared" si="3"/>
        <v/>
      </c>
      <c r="I14" t="str">
        <f t="shared" si="3"/>
        <v/>
      </c>
      <c r="J14" t="str">
        <f t="shared" si="3"/>
        <v/>
      </c>
      <c r="K14" t="str">
        <f t="shared" si="3"/>
        <v/>
      </c>
      <c r="L14" t="str">
        <f t="shared" si="3"/>
        <v/>
      </c>
      <c r="M14" t="str">
        <f t="shared" si="3"/>
        <v/>
      </c>
      <c r="N14" t="str">
        <f t="shared" si="3"/>
        <v/>
      </c>
      <c r="O14" t="str">
        <f t="shared" si="3"/>
        <v/>
      </c>
      <c r="P14" t="str">
        <f t="shared" si="3"/>
        <v/>
      </c>
      <c r="Q14" t="str">
        <f t="shared" si="3"/>
        <v/>
      </c>
      <c r="R14" t="str">
        <f t="shared" si="3"/>
        <v/>
      </c>
      <c r="S14" t="str">
        <f t="shared" si="3"/>
        <v/>
      </c>
      <c r="T14" t="str">
        <f t="shared" si="3"/>
        <v/>
      </c>
      <c r="U14" t="str">
        <f t="shared" si="3"/>
        <v/>
      </c>
      <c r="V14" t="str">
        <f t="shared" si="3"/>
        <v/>
      </c>
      <c r="W14" t="str">
        <f t="shared" si="3"/>
        <v/>
      </c>
      <c r="X14" t="str">
        <f t="shared" si="3"/>
        <v/>
      </c>
      <c r="Y14" t="str">
        <f t="shared" si="3"/>
        <v/>
      </c>
      <c r="Z14" s="20"/>
    </row>
    <row r="15" spans="1:26" x14ac:dyDescent="0.25">
      <c r="A15" t="str">
        <f>IF(A2="","",A2)</f>
        <v>A</v>
      </c>
      <c r="B15" t="str">
        <f t="shared" ref="B15:Y15" si="4">IF(B2="","",B2)</f>
        <v>C</v>
      </c>
      <c r="C15" t="str">
        <f t="shared" si="4"/>
        <v>E</v>
      </c>
      <c r="D15" t="str">
        <f t="shared" si="4"/>
        <v>AC</v>
      </c>
      <c r="E15" t="str">
        <f t="shared" si="4"/>
        <v>AE</v>
      </c>
      <c r="F15" t="str">
        <f t="shared" si="4"/>
        <v/>
      </c>
      <c r="G15" t="str">
        <f t="shared" si="4"/>
        <v/>
      </c>
      <c r="H15" t="str">
        <f t="shared" si="4"/>
        <v/>
      </c>
      <c r="I15" t="str">
        <f t="shared" si="4"/>
        <v/>
      </c>
      <c r="J15" t="str">
        <f t="shared" si="4"/>
        <v/>
      </c>
      <c r="K15" t="str">
        <f t="shared" si="4"/>
        <v/>
      </c>
      <c r="L15" t="str">
        <f t="shared" si="4"/>
        <v/>
      </c>
      <c r="M15" t="str">
        <f t="shared" si="4"/>
        <v/>
      </c>
      <c r="N15" t="str">
        <f t="shared" si="4"/>
        <v/>
      </c>
      <c r="O15" t="str">
        <f t="shared" si="4"/>
        <v/>
      </c>
      <c r="P15" t="str">
        <f t="shared" si="4"/>
        <v/>
      </c>
      <c r="Q15" t="str">
        <f t="shared" si="4"/>
        <v/>
      </c>
      <c r="R15" t="str">
        <f t="shared" si="4"/>
        <v/>
      </c>
      <c r="S15" t="str">
        <f t="shared" si="4"/>
        <v/>
      </c>
      <c r="T15" t="str">
        <f t="shared" si="4"/>
        <v/>
      </c>
      <c r="U15" t="str">
        <f t="shared" si="4"/>
        <v/>
      </c>
      <c r="V15" t="str">
        <f t="shared" si="4"/>
        <v/>
      </c>
      <c r="W15" t="str">
        <f t="shared" si="4"/>
        <v/>
      </c>
      <c r="X15" t="str">
        <f t="shared" si="4"/>
        <v/>
      </c>
      <c r="Y15" t="str">
        <f t="shared" si="4"/>
        <v/>
      </c>
      <c r="Z15" s="20"/>
    </row>
    <row r="16" spans="1:26" x14ac:dyDescent="0.25">
      <c r="A16" cm="1">
        <f t="array" ref="A16:A18">_xlfn._xlws.SORT(_xlfn.UNIQUE(IF(MODEL_MATRIX!C2:C71="","",ROUND(MODEL_MATRIX!C2:C71,10))))</f>
        <v>-1</v>
      </c>
      <c r="B16" cm="1">
        <f t="array" ref="B16:B18">_xlfn._xlws.SORT(_xlfn.UNIQUE(IF(MODEL_MATRIX!D2:D71="","",ROUND(MODEL_MATRIX!D2:D71,10))))</f>
        <v>-1</v>
      </c>
      <c r="C16" cm="1">
        <f t="array" ref="C16:C18">_xlfn._xlws.SORT(_xlfn.UNIQUE(IF(MODEL_MATRIX!E2:E71="","",ROUND(MODEL_MATRIX!E2:E71,10))))</f>
        <v>-1</v>
      </c>
      <c r="D16" cm="1">
        <f t="array" ref="D16:D18">_xlfn._xlws.SORT(_xlfn.UNIQUE(IF(MODEL_MATRIX!F2:F71="","",ROUND(MODEL_MATRIX!F2:F71,10))))</f>
        <v>-1</v>
      </c>
      <c r="E16" cm="1">
        <f t="array" ref="E16:E18">_xlfn._xlws.SORT(_xlfn.UNIQUE(IF(MODEL_MATRIX!G2:G71="","",ROUND(MODEL_MATRIX!G2:G71,10))))</f>
        <v>-1</v>
      </c>
      <c r="F16" t="str" cm="1">
        <f t="array" ref="F16">_xlfn._xlws.SORT(_xlfn.UNIQUE(IF(MODEL_MATRIX!H2:H71="","",ROUND(MODEL_MATRIX!H2:H71,10))))</f>
        <v/>
      </c>
      <c r="G16" t="str" cm="1">
        <f t="array" ref="G16">_xlfn._xlws.SORT(_xlfn.UNIQUE(IF(MODEL_MATRIX!I2:I71="","",ROUND(MODEL_MATRIX!I2:I71,10))))</f>
        <v/>
      </c>
      <c r="H16" t="str" cm="1">
        <f t="array" ref="H16">_xlfn._xlws.SORT(_xlfn.UNIQUE(IF(MODEL_MATRIX!J2:J71="","",ROUND(MODEL_MATRIX!J2:J71,10))))</f>
        <v/>
      </c>
      <c r="I16" t="str" cm="1">
        <f t="array" ref="I16">_xlfn._xlws.SORT(_xlfn.UNIQUE(IF(MODEL_MATRIX!K2:K71="","",ROUND(MODEL_MATRIX!K2:K71,10))))</f>
        <v/>
      </c>
      <c r="J16" t="str" cm="1">
        <f t="array" ref="J16">_xlfn._xlws.SORT(_xlfn.UNIQUE(IF(MODEL_MATRIX!L2:L71="","",ROUND(MODEL_MATRIX!L2:L71,10))))</f>
        <v/>
      </c>
      <c r="K16" t="str" cm="1">
        <f t="array" ref="K16">_xlfn._xlws.SORT(_xlfn.UNIQUE(IF(MODEL_MATRIX!M2:M71="","",ROUND(MODEL_MATRIX!M2:M71,10))))</f>
        <v/>
      </c>
      <c r="L16" t="str" cm="1">
        <f t="array" ref="L16">_xlfn._xlws.SORT(_xlfn.UNIQUE(IF(MODEL_MATRIX!N2:N71="","",ROUND(MODEL_MATRIX!N2:N71,10))))</f>
        <v/>
      </c>
      <c r="M16" t="str" cm="1">
        <f t="array" ref="M16">_xlfn._xlws.SORT(_xlfn.UNIQUE(IF(MODEL_MATRIX!O2:O71="","",ROUND(MODEL_MATRIX!O2:O71,10))))</f>
        <v/>
      </c>
      <c r="N16" t="str" cm="1">
        <f t="array" ref="N16">_xlfn._xlws.SORT(_xlfn.UNIQUE(IF(MODEL_MATRIX!P2:P71="","",ROUND(MODEL_MATRIX!P2:P71,10))))</f>
        <v/>
      </c>
      <c r="O16" t="str" cm="1">
        <f t="array" ref="O16">_xlfn._xlws.SORT(_xlfn.UNIQUE(IF(MODEL_MATRIX!Q2:Q71="","",ROUND(MODEL_MATRIX!Q2:Q71,10))))</f>
        <v/>
      </c>
      <c r="P16" t="str" cm="1">
        <f t="array" ref="P16">_xlfn._xlws.SORT(_xlfn.UNIQUE(IF(MODEL_MATRIX!R2:R71="","",ROUND(MODEL_MATRIX!R2:R71,10))))</f>
        <v/>
      </c>
      <c r="Q16" t="str" cm="1">
        <f t="array" ref="Q16">_xlfn._xlws.SORT(_xlfn.UNIQUE(IF(MODEL_MATRIX!S2:S71="","",ROUND(MODEL_MATRIX!S2:S71,10))))</f>
        <v/>
      </c>
      <c r="R16" t="str" cm="1">
        <f t="array" ref="R16">_xlfn._xlws.SORT(_xlfn.UNIQUE(IF(MODEL_MATRIX!T2:T71="","",ROUND(MODEL_MATRIX!T2:T71,10))))</f>
        <v/>
      </c>
      <c r="S16" t="str" cm="1">
        <f t="array" ref="S16">_xlfn._xlws.SORT(_xlfn.UNIQUE(IF(MODEL_MATRIX!U2:U71="","",ROUND(MODEL_MATRIX!U2:U71,10))))</f>
        <v/>
      </c>
      <c r="T16" t="str" cm="1">
        <f t="array" ref="T16">_xlfn._xlws.SORT(_xlfn.UNIQUE(IF(MODEL_MATRIX!V2:V71="","",ROUND(MODEL_MATRIX!V2:V71,10))))</f>
        <v/>
      </c>
      <c r="U16" t="str" cm="1">
        <f t="array" ref="U16">_xlfn._xlws.SORT(_xlfn.UNIQUE(IF(MODEL_MATRIX!W2:W71="","",ROUND(MODEL_MATRIX!W2:W71,10))))</f>
        <v/>
      </c>
      <c r="V16" t="str" cm="1">
        <f t="array" ref="V16">_xlfn._xlws.SORT(_xlfn.UNIQUE(IF(MODEL_MATRIX!X2:X71="","",ROUND(MODEL_MATRIX!X2:X71,10))))</f>
        <v/>
      </c>
      <c r="W16" t="str" cm="1">
        <f t="array" ref="W16">_xlfn._xlws.SORT(_xlfn.UNIQUE(IF(MODEL_MATRIX!Y2:Y71="","",ROUND(MODEL_MATRIX!Y2:Y71,10))))</f>
        <v/>
      </c>
      <c r="X16" t="str" cm="1">
        <f t="array" ref="X16">_xlfn._xlws.SORT(_xlfn.UNIQUE(IF(MODEL_MATRIX!Z2:Z71="","",ROUND(MODEL_MATRIX!Z2:Z71,10))))</f>
        <v/>
      </c>
      <c r="Y16" t="str" cm="1">
        <f t="array" ref="Y16">_xlfn._xlws.SORT(_xlfn.UNIQUE(IF(MODEL_MATRIX!AA2:AA71="","",ROUND(MODEL_MATRIX!AA2:AA71,10))))</f>
        <v/>
      </c>
      <c r="Z16" s="20"/>
    </row>
    <row r="17" spans="1:26" x14ac:dyDescent="0.25">
      <c r="A17">
        <v>1</v>
      </c>
      <c r="B17">
        <v>1</v>
      </c>
      <c r="C17">
        <v>1</v>
      </c>
      <c r="D17">
        <v>1</v>
      </c>
      <c r="E17">
        <v>1</v>
      </c>
      <c r="Z17" s="20"/>
    </row>
    <row r="18" spans="1:26" x14ac:dyDescent="0.25">
      <c r="A18" t="str">
        <v/>
      </c>
      <c r="B18" t="str">
        <v/>
      </c>
      <c r="C18" t="str">
        <v/>
      </c>
      <c r="D18" t="str">
        <v/>
      </c>
      <c r="E18" t="str">
        <v/>
      </c>
      <c r="Z18" s="20"/>
    </row>
    <row r="19" spans="1:26" x14ac:dyDescent="0.25">
      <c r="Z19" s="20"/>
    </row>
    <row r="20" spans="1:26" x14ac:dyDescent="0.25">
      <c r="Z20" s="20"/>
    </row>
    <row r="21" spans="1:26" x14ac:dyDescent="0.25">
      <c r="Z21" s="20"/>
    </row>
    <row r="26" spans="1:26" x14ac:dyDescent="0.25">
      <c r="A26" t="s">
        <v>65</v>
      </c>
    </row>
    <row r="27" spans="1:26" x14ac:dyDescent="0.25">
      <c r="A27" t="str">
        <f>IF(A2="","",A2)</f>
        <v>A</v>
      </c>
      <c r="B27" t="str">
        <f t="shared" ref="B27:Y27" si="5">IF(B2="","",B2)</f>
        <v>C</v>
      </c>
      <c r="C27" t="str">
        <f t="shared" si="5"/>
        <v>E</v>
      </c>
      <c r="D27" t="str">
        <f t="shared" si="5"/>
        <v>AC</v>
      </c>
      <c r="E27" t="str">
        <f t="shared" si="5"/>
        <v>AE</v>
      </c>
      <c r="F27" t="str">
        <f t="shared" si="5"/>
        <v/>
      </c>
      <c r="G27" t="str">
        <f t="shared" si="5"/>
        <v/>
      </c>
      <c r="H27" t="str">
        <f t="shared" si="5"/>
        <v/>
      </c>
      <c r="I27" t="str">
        <f t="shared" si="5"/>
        <v/>
      </c>
      <c r="J27" t="str">
        <f t="shared" si="5"/>
        <v/>
      </c>
      <c r="K27" t="str">
        <f t="shared" si="5"/>
        <v/>
      </c>
      <c r="L27" t="str">
        <f t="shared" si="5"/>
        <v/>
      </c>
      <c r="M27" t="str">
        <f t="shared" si="5"/>
        <v/>
      </c>
      <c r="N27" t="str">
        <f t="shared" si="5"/>
        <v/>
      </c>
      <c r="O27" t="str">
        <f t="shared" si="5"/>
        <v/>
      </c>
      <c r="P27" t="str">
        <f t="shared" si="5"/>
        <v/>
      </c>
      <c r="Q27" t="str">
        <f t="shared" si="5"/>
        <v/>
      </c>
      <c r="R27" t="str">
        <f t="shared" si="5"/>
        <v/>
      </c>
      <c r="S27" t="str">
        <f t="shared" si="5"/>
        <v/>
      </c>
      <c r="T27" t="str">
        <f t="shared" si="5"/>
        <v/>
      </c>
      <c r="U27" t="str">
        <f t="shared" si="5"/>
        <v/>
      </c>
      <c r="V27" t="str">
        <f t="shared" si="5"/>
        <v/>
      </c>
      <c r="W27" t="str">
        <f t="shared" si="5"/>
        <v/>
      </c>
      <c r="X27" t="str">
        <f t="shared" si="5"/>
        <v/>
      </c>
      <c r="Y27" t="str">
        <f t="shared" si="5"/>
        <v/>
      </c>
    </row>
    <row r="28" spans="1:26" x14ac:dyDescent="0.25">
      <c r="A28">
        <f t="array" ref="A28">IF(A27="","",PRODUCT(IF(ISERROR(FIND(DESIGN_FEATURES!$A$6:$X$6,MODEL!A27)),1,DESIGN_FEATURES!$A$5:$X$5-1)))</f>
        <v>1</v>
      </c>
      <c r="B28">
        <f t="array" ref="B28">IF(B27="","",PRODUCT(IF(ISERROR(FIND(DESIGN_FEATURES!$A$6:$X$6,MODEL!B27)),1,DESIGN_FEATURES!$A$5:$X$5-1)))</f>
        <v>1</v>
      </c>
      <c r="C28">
        <f t="array" ref="C28">IF(C27="","",PRODUCT(IF(ISERROR(FIND(DESIGN_FEATURES!$A$6:$X$6,MODEL!C27)),1,DESIGN_FEATURES!$A$5:$X$5-1)))</f>
        <v>1</v>
      </c>
      <c r="D28">
        <f t="array" ref="D28">IF(D27="","",PRODUCT(IF(ISERROR(FIND(DESIGN_FEATURES!$A$6:$X$6,MODEL!D27)),1,DESIGN_FEATURES!$A$5:$X$5-1)))</f>
        <v>1</v>
      </c>
      <c r="E28">
        <f t="array" ref="E28">IF(E27="","",PRODUCT(IF(ISERROR(FIND(DESIGN_FEATURES!$A$6:$X$6,MODEL!E27)),1,DESIGN_FEATURES!$A$5:$X$5-1)))</f>
        <v>1</v>
      </c>
      <c r="F28" t="str">
        <f t="array" ref="F28">IF(F27="","",PRODUCT(IF(ISERROR(FIND(DESIGN_FEATURES!$A$6:$X$6,MODEL!F27)),1,DESIGN_FEATURES!$A$5:$X$5-1)))</f>
        <v/>
      </c>
      <c r="G28" t="str">
        <f t="array" ref="G28">IF(G27="","",PRODUCT(IF(ISERROR(FIND(DESIGN_FEATURES!$A$6:$X$6,MODEL!G27)),1,DESIGN_FEATURES!$A$5:$X$5-1)))</f>
        <v/>
      </c>
      <c r="H28" t="str">
        <f t="array" ref="H28">IF(H27="","",PRODUCT(IF(ISERROR(FIND(DESIGN_FEATURES!$A$6:$X$6,MODEL!H27)),1,DESIGN_FEATURES!$A$5:$X$5-1)))</f>
        <v/>
      </c>
      <c r="I28" t="str">
        <f t="array" ref="I28">IF(I27="","",PRODUCT(IF(ISERROR(FIND(DESIGN_FEATURES!$A$6:$X$6,MODEL!I27)),1,DESIGN_FEATURES!$A$5:$X$5-1)))</f>
        <v/>
      </c>
      <c r="J28" t="str">
        <f t="array" ref="J28">IF(J27="","",PRODUCT(IF(ISERROR(FIND(DESIGN_FEATURES!$A$6:$X$6,MODEL!J27)),1,DESIGN_FEATURES!$A$5:$X$5-1)))</f>
        <v/>
      </c>
      <c r="K28" t="str">
        <f t="array" ref="K28">IF(K27="","",PRODUCT(IF(ISERROR(FIND(DESIGN_FEATURES!$A$6:$X$6,MODEL!K27)),1,DESIGN_FEATURES!$A$5:$X$5-1)))</f>
        <v/>
      </c>
      <c r="L28" t="str">
        <f t="array" ref="L28">IF(L27="","",PRODUCT(IF(ISERROR(FIND(DESIGN_FEATURES!$A$6:$X$6,MODEL!L27)),1,DESIGN_FEATURES!$A$5:$X$5-1)))</f>
        <v/>
      </c>
      <c r="M28" t="str">
        <f t="array" ref="M28">IF(M27="","",PRODUCT(IF(ISERROR(FIND(DESIGN_FEATURES!$A$6:$X$6,MODEL!M27)),1,DESIGN_FEATURES!$A$5:$X$5-1)))</f>
        <v/>
      </c>
      <c r="N28" t="str">
        <f t="array" ref="N28">IF(N27="","",PRODUCT(IF(ISERROR(FIND(DESIGN_FEATURES!$A$6:$X$6,MODEL!N27)),1,DESIGN_FEATURES!$A$5:$X$5-1)))</f>
        <v/>
      </c>
      <c r="O28" t="str">
        <f t="array" ref="O28">IF(O27="","",PRODUCT(IF(ISERROR(FIND(DESIGN_FEATURES!$A$6:$X$6,MODEL!O27)),1,DESIGN_FEATURES!$A$5:$X$5-1)))</f>
        <v/>
      </c>
      <c r="P28" t="str">
        <f t="array" ref="P28">IF(P27="","",PRODUCT(IF(ISERROR(FIND(DESIGN_FEATURES!$A$6:$X$6,MODEL!P27)),1,DESIGN_FEATURES!$A$5:$X$5-1)))</f>
        <v/>
      </c>
      <c r="Q28" t="str">
        <f t="array" ref="Q28">IF(Q27="","",PRODUCT(IF(ISERROR(FIND(DESIGN_FEATURES!$A$6:$X$6,MODEL!Q27)),1,DESIGN_FEATURES!$A$5:$X$5-1)))</f>
        <v/>
      </c>
      <c r="R28" t="str">
        <f t="array" ref="R28">IF(R27="","",PRODUCT(IF(ISERROR(FIND(DESIGN_FEATURES!$A$6:$X$6,MODEL!R27)),1,DESIGN_FEATURES!$A$5:$X$5-1)))</f>
        <v/>
      </c>
      <c r="S28" t="str">
        <f t="array" ref="S28">IF(S27="","",PRODUCT(IF(ISERROR(FIND(DESIGN_FEATURES!$A$6:$X$6,MODEL!S27)),1,DESIGN_FEATURES!$A$5:$X$5-1)))</f>
        <v/>
      </c>
      <c r="T28" t="str">
        <f t="array" ref="T28">IF(T27="","",PRODUCT(IF(ISERROR(FIND(DESIGN_FEATURES!$A$6:$X$6,MODEL!T27)),1,DESIGN_FEATURES!$A$5:$X$5-1)))</f>
        <v/>
      </c>
      <c r="U28" t="str">
        <f t="array" ref="U28">IF(U27="","",PRODUCT(IF(ISERROR(FIND(DESIGN_FEATURES!$A$6:$X$6,MODEL!U27)),1,DESIGN_FEATURES!$A$5:$X$5-1)))</f>
        <v/>
      </c>
      <c r="V28" t="str">
        <f t="array" ref="V28">IF(V27="","",PRODUCT(IF(ISERROR(FIND(DESIGN_FEATURES!$A$6:$X$6,MODEL!V27)),1,DESIGN_FEATURES!$A$5:$X$5-1)))</f>
        <v/>
      </c>
      <c r="W28" t="str">
        <f t="array" ref="W28">IF(W27="","",PRODUCT(IF(ISERROR(FIND(DESIGN_FEATURES!$A$6:$X$6,MODEL!W27)),1,DESIGN_FEATURES!$A$5:$X$5-1)))</f>
        <v/>
      </c>
      <c r="X28" t="str">
        <f t="array" ref="X28">IF(X27="","",PRODUCT(IF(ISERROR(FIND(DESIGN_FEATURES!$A$6:$X$6,MODEL!X27)),1,DESIGN_FEATURES!$A$5:$X$5-1)))</f>
        <v/>
      </c>
      <c r="Y28" t="str">
        <f t="array" ref="Y28">IF(Y27="","",PRODUCT(IF(ISERROR(FIND(DESIGN_FEATURES!$A$6:$X$6,MODEL!Y27)),1,DESIGN_FEATURES!$A$5:$X$5-1)))</f>
        <v/>
      </c>
    </row>
    <row r="32" spans="1:26" x14ac:dyDescent="0.25">
      <c r="A32" t="s">
        <v>36</v>
      </c>
    </row>
    <row r="33" spans="1:26" x14ac:dyDescent="0.25">
      <c r="A33" t="str">
        <f t="shared" ref="A33:Y33" si="6">A15</f>
        <v>A</v>
      </c>
      <c r="B33" t="str">
        <f t="shared" si="6"/>
        <v>C</v>
      </c>
      <c r="C33" t="str">
        <f t="shared" si="6"/>
        <v>E</v>
      </c>
      <c r="D33" t="str">
        <f t="shared" si="6"/>
        <v>AC</v>
      </c>
      <c r="E33" t="str">
        <f t="shared" si="6"/>
        <v>AE</v>
      </c>
      <c r="F33" t="str">
        <f t="shared" si="6"/>
        <v/>
      </c>
      <c r="G33" t="str">
        <f t="shared" si="6"/>
        <v/>
      </c>
      <c r="H33" t="str">
        <f t="shared" si="6"/>
        <v/>
      </c>
      <c r="I33" t="str">
        <f t="shared" si="6"/>
        <v/>
      </c>
      <c r="J33" t="str">
        <f t="shared" si="6"/>
        <v/>
      </c>
      <c r="K33" t="str">
        <f t="shared" si="6"/>
        <v/>
      </c>
      <c r="L33" t="str">
        <f t="shared" si="6"/>
        <v/>
      </c>
      <c r="M33" t="str">
        <f t="shared" si="6"/>
        <v/>
      </c>
      <c r="N33" t="str">
        <f t="shared" si="6"/>
        <v/>
      </c>
      <c r="O33" t="str">
        <f t="shared" si="6"/>
        <v/>
      </c>
      <c r="P33" t="str">
        <f t="shared" si="6"/>
        <v/>
      </c>
      <c r="Q33" t="str">
        <f t="shared" si="6"/>
        <v/>
      </c>
      <c r="R33" t="str">
        <f t="shared" si="6"/>
        <v/>
      </c>
      <c r="S33" t="str">
        <f t="shared" si="6"/>
        <v/>
      </c>
      <c r="T33" t="str">
        <f t="shared" si="6"/>
        <v/>
      </c>
      <c r="U33" t="str">
        <f t="shared" si="6"/>
        <v/>
      </c>
      <c r="V33" t="str">
        <f t="shared" si="6"/>
        <v/>
      </c>
      <c r="W33" t="str">
        <f t="shared" si="6"/>
        <v/>
      </c>
      <c r="X33" t="str">
        <f t="shared" si="6"/>
        <v/>
      </c>
      <c r="Y33" t="str">
        <f t="shared" si="6"/>
        <v/>
      </c>
    </row>
    <row r="34" spans="1:26" x14ac:dyDescent="0.25">
      <c r="A34">
        <f>IF(A16="","",COUNTIF(MODEL_MATRIX!C$2:C$71,A16))</f>
        <v>16</v>
      </c>
      <c r="B34">
        <f>IF(B16="","",COUNTIF(MODEL_MATRIX!D$2:D$71,B16))</f>
        <v>16</v>
      </c>
      <c r="C34">
        <f>IF(C16="","",COUNTIF(MODEL_MATRIX!E$2:E$71,C16))</f>
        <v>16</v>
      </c>
      <c r="D34">
        <f>IF(D16="","",COUNTIF(MODEL_MATRIX!F$2:F$71,D16))</f>
        <v>16</v>
      </c>
      <c r="E34">
        <f>IF(E16="","",COUNTIF(MODEL_MATRIX!G$2:G$71,E16))</f>
        <v>16</v>
      </c>
      <c r="F34" t="str">
        <f>IF(F16="","",COUNTIF(MODEL_MATRIX!H$2:H$71,F16))</f>
        <v/>
      </c>
      <c r="G34" t="str">
        <f>IF(G16="","",COUNTIF(MODEL_MATRIX!I$2:I$71,G16))</f>
        <v/>
      </c>
      <c r="H34" t="str">
        <f>IF(H16="","",COUNTIF(MODEL_MATRIX!J$2:J$71,H16))</f>
        <v/>
      </c>
      <c r="I34" t="str">
        <f>IF(I16="","",COUNTIF(MODEL_MATRIX!K$2:K$71,I16))</f>
        <v/>
      </c>
      <c r="J34" t="str">
        <f>IF(J16="","",COUNTIF(MODEL_MATRIX!L$2:L$71,J16))</f>
        <v/>
      </c>
      <c r="K34" t="str">
        <f>IF(K16="","",COUNTIF(MODEL_MATRIX!M$2:M$71,K16))</f>
        <v/>
      </c>
      <c r="L34" t="str">
        <f>IF(L16="","",COUNTIF(MODEL_MATRIX!N$2:N$71,L16))</f>
        <v/>
      </c>
      <c r="M34" t="str">
        <f>IF(M16="","",COUNTIF(MODEL_MATRIX!O$2:O$71,M16))</f>
        <v/>
      </c>
      <c r="N34" t="str">
        <f>IF(N16="","",COUNTIF(MODEL_MATRIX!P$2:P$71,N16))</f>
        <v/>
      </c>
      <c r="O34" t="str">
        <f>IF(O16="","",COUNTIF(MODEL_MATRIX!Q$2:Q$71,O16))</f>
        <v/>
      </c>
      <c r="P34" t="str">
        <f>IF(P16="","",COUNTIF(MODEL_MATRIX!R$2:R$71,P16))</f>
        <v/>
      </c>
      <c r="Q34" t="str">
        <f>IF(Q16="","",COUNTIF(MODEL_MATRIX!S$2:S$71,Q16))</f>
        <v/>
      </c>
      <c r="R34" t="str">
        <f>IF(R16="","",COUNTIF(MODEL_MATRIX!T$2:T$71,R16))</f>
        <v/>
      </c>
      <c r="S34" t="str">
        <f>IF(S16="","",COUNTIF(MODEL_MATRIX!U$2:U$71,S16))</f>
        <v/>
      </c>
      <c r="T34" t="str">
        <f>IF(T16="","",COUNTIF(MODEL_MATRIX!V$2:V$71,T16))</f>
        <v/>
      </c>
      <c r="U34" t="str">
        <f>IF(U16="","",COUNTIF(MODEL_MATRIX!W$2:W$71,U16))</f>
        <v/>
      </c>
      <c r="V34" t="str">
        <f>IF(V16="","",COUNTIF(MODEL_MATRIX!X$2:X$71,V16))</f>
        <v/>
      </c>
      <c r="W34" t="str">
        <f>IF(W16="","",COUNTIF(MODEL_MATRIX!Y$2:Y$71,W16))</f>
        <v/>
      </c>
      <c r="X34" t="str">
        <f>IF(X16="","",COUNTIF(MODEL_MATRIX!Z$2:Z$71,X16))</f>
        <v/>
      </c>
      <c r="Y34" t="str">
        <f>IF(Y16="","",COUNTIF(MODEL_MATRIX!AA$2:AA$71,Y16))</f>
        <v/>
      </c>
    </row>
    <row r="35" spans="1:26" x14ac:dyDescent="0.25">
      <c r="A35">
        <f>IF(A17="","",COUNTIF(MODEL_MATRIX!C$2:C$71,A17))</f>
        <v>16</v>
      </c>
      <c r="B35">
        <f>IF(B17="","",COUNTIF(MODEL_MATRIX!D$2:D$71,B17))</f>
        <v>16</v>
      </c>
      <c r="C35">
        <f>IF(C17="","",COUNTIF(MODEL_MATRIX!E$2:E$71,C17))</f>
        <v>16</v>
      </c>
      <c r="D35">
        <f>IF(D17="","",COUNTIF(MODEL_MATRIX!F$2:F$71,D17))</f>
        <v>16</v>
      </c>
      <c r="E35">
        <f>IF(E17="","",COUNTIF(MODEL_MATRIX!G$2:G$71,E17))</f>
        <v>16</v>
      </c>
      <c r="F35" t="str">
        <f>IF(F17="","",COUNTIF(MODEL_MATRIX!H$2:H$71,F17))</f>
        <v/>
      </c>
      <c r="G35" t="str">
        <f>IF(G17="","",COUNTIF(MODEL_MATRIX!I$2:I$71,G17))</f>
        <v/>
      </c>
      <c r="H35" t="str">
        <f>IF(H17="","",COUNTIF(MODEL_MATRIX!J$2:J$71,H17))</f>
        <v/>
      </c>
      <c r="I35" t="str">
        <f>IF(I17="","",COUNTIF(MODEL_MATRIX!K$2:K$71,I17))</f>
        <v/>
      </c>
      <c r="J35" t="str">
        <f>IF(J17="","",COUNTIF(MODEL_MATRIX!L$2:L$71,J17))</f>
        <v/>
      </c>
      <c r="K35" t="str">
        <f>IF(K17="","",COUNTIF(MODEL_MATRIX!M$2:M$71,K17))</f>
        <v/>
      </c>
      <c r="L35" t="str">
        <f>IF(L17="","",COUNTIF(MODEL_MATRIX!N$2:N$71,L17))</f>
        <v/>
      </c>
      <c r="M35" t="str">
        <f>IF(M17="","",COUNTIF(MODEL_MATRIX!O$2:O$71,M17))</f>
        <v/>
      </c>
      <c r="N35" t="str">
        <f>IF(N17="","",COUNTIF(MODEL_MATRIX!P$2:P$71,N17))</f>
        <v/>
      </c>
      <c r="O35" t="str">
        <f>IF(O17="","",COUNTIF(MODEL_MATRIX!Q$2:Q$71,O17))</f>
        <v/>
      </c>
      <c r="P35" t="str">
        <f>IF(P17="","",COUNTIF(MODEL_MATRIX!R$2:R$71,P17))</f>
        <v/>
      </c>
      <c r="Q35" t="str">
        <f>IF(Q17="","",COUNTIF(MODEL_MATRIX!S$2:S$71,Q17))</f>
        <v/>
      </c>
      <c r="R35" t="str">
        <f>IF(R17="","",COUNTIF(MODEL_MATRIX!T$2:T$71,R17))</f>
        <v/>
      </c>
      <c r="S35" t="str">
        <f>IF(S17="","",COUNTIF(MODEL_MATRIX!U$2:U$71,S17))</f>
        <v/>
      </c>
      <c r="T35" t="str">
        <f>IF(T17="","",COUNTIF(MODEL_MATRIX!V$2:V$71,T17))</f>
        <v/>
      </c>
      <c r="U35" t="str">
        <f>IF(U17="","",COUNTIF(MODEL_MATRIX!W$2:W$71,U17))</f>
        <v/>
      </c>
      <c r="V35" t="str">
        <f>IF(V17="","",COUNTIF(MODEL_MATRIX!X$2:X$71,V17))</f>
        <v/>
      </c>
      <c r="W35" t="str">
        <f>IF(W17="","",COUNTIF(MODEL_MATRIX!Y$2:Y$71,W17))</f>
        <v/>
      </c>
      <c r="X35" t="str">
        <f>IF(X17="","",COUNTIF(MODEL_MATRIX!Z$2:Z$71,X17))</f>
        <v/>
      </c>
      <c r="Y35" t="str">
        <f>IF(Y17="","",COUNTIF(MODEL_MATRIX!AA$2:AA$71,Y17))</f>
        <v/>
      </c>
    </row>
    <row r="36" spans="1:26" x14ac:dyDescent="0.25">
      <c r="A36" t="str">
        <f>IF(A18="","",COUNTIF(MODEL_MATRIX!C$2:C$71,A18))</f>
        <v/>
      </c>
      <c r="B36" t="str">
        <f>IF(B18="","",COUNTIF(MODEL_MATRIX!D$2:D$71,B18))</f>
        <v/>
      </c>
      <c r="C36" t="str">
        <f>IF(C18="","",COUNTIF(MODEL_MATRIX!E$2:E$71,C18))</f>
        <v/>
      </c>
      <c r="D36" t="str">
        <f>IF(D18="","",COUNTIF(MODEL_MATRIX!F$2:F$71,D18))</f>
        <v/>
      </c>
      <c r="E36" t="str">
        <f>IF(E18="","",COUNTIF(MODEL_MATRIX!G$2:G$71,E18))</f>
        <v/>
      </c>
      <c r="F36" t="str">
        <f>IF(F18="","",COUNTIF(MODEL_MATRIX!H$2:H$71,F18))</f>
        <v/>
      </c>
      <c r="G36" t="str">
        <f>IF(G18="","",COUNTIF(MODEL_MATRIX!I$2:I$71,G18))</f>
        <v/>
      </c>
      <c r="H36" t="str">
        <f>IF(H18="","",COUNTIF(MODEL_MATRIX!J$2:J$71,H18))</f>
        <v/>
      </c>
      <c r="I36" t="str">
        <f>IF(I18="","",COUNTIF(MODEL_MATRIX!K$2:K$71,I18))</f>
        <v/>
      </c>
      <c r="J36" t="str">
        <f>IF(J18="","",COUNTIF(MODEL_MATRIX!L$2:L$71,J18))</f>
        <v/>
      </c>
      <c r="K36" t="str">
        <f>IF(K18="","",COUNTIF(MODEL_MATRIX!M$2:M$71,K18))</f>
        <v/>
      </c>
      <c r="L36" t="str">
        <f>IF(L18="","",COUNTIF(MODEL_MATRIX!N$2:N$71,L18))</f>
        <v/>
      </c>
      <c r="M36" t="str">
        <f>IF(M18="","",COUNTIF(MODEL_MATRIX!O$2:O$71,M18))</f>
        <v/>
      </c>
      <c r="N36" t="str">
        <f>IF(N18="","",COUNTIF(MODEL_MATRIX!P$2:P$71,N18))</f>
        <v/>
      </c>
      <c r="O36" t="str">
        <f>IF(O18="","",COUNTIF(MODEL_MATRIX!Q$2:Q$71,O18))</f>
        <v/>
      </c>
      <c r="P36" t="str">
        <f>IF(P18="","",COUNTIF(MODEL_MATRIX!R$2:R$71,P18))</f>
        <v/>
      </c>
      <c r="Q36" t="str">
        <f>IF(Q18="","",COUNTIF(MODEL_MATRIX!S$2:S$71,Q18))</f>
        <v/>
      </c>
      <c r="R36" t="str">
        <f>IF(R18="","",COUNTIF(MODEL_MATRIX!T$2:T$71,R18))</f>
        <v/>
      </c>
      <c r="S36" t="str">
        <f>IF(S18="","",COUNTIF(MODEL_MATRIX!U$2:U$71,S18))</f>
        <v/>
      </c>
      <c r="T36" t="str">
        <f>IF(T18="","",COUNTIF(MODEL_MATRIX!V$2:V$71,T18))</f>
        <v/>
      </c>
      <c r="U36" t="str">
        <f>IF(U18="","",COUNTIF(MODEL_MATRIX!W$2:W$71,U18))</f>
        <v/>
      </c>
      <c r="V36" t="str">
        <f>IF(V18="","",COUNTIF(MODEL_MATRIX!X$2:X$71,V18))</f>
        <v/>
      </c>
      <c r="W36" t="str">
        <f>IF(W18="","",COUNTIF(MODEL_MATRIX!Y$2:Y$71,W18))</f>
        <v/>
      </c>
      <c r="X36" t="str">
        <f>IF(X18="","",COUNTIF(MODEL_MATRIX!Z$2:Z$71,X18))</f>
        <v/>
      </c>
      <c r="Y36" t="str">
        <f>IF(Y18="","",COUNTIF(MODEL_MATRIX!AA$2:AA$71,Y18))</f>
        <v/>
      </c>
    </row>
    <row r="37" spans="1:26" x14ac:dyDescent="0.25">
      <c r="A37" t="str">
        <f>IF(A19="","",COUNTIF(MODEL_MATRIX!C$2:C$71,A19))</f>
        <v/>
      </c>
      <c r="B37" t="str">
        <f>IF(B19="","",COUNTIF(MODEL_MATRIX!D$2:D$71,B19))</f>
        <v/>
      </c>
      <c r="C37" t="str">
        <f>IF(C19="","",COUNTIF(MODEL_MATRIX!E$2:E$71,C19))</f>
        <v/>
      </c>
      <c r="D37" t="str">
        <f>IF(D19="","",COUNTIF(MODEL_MATRIX!F$2:F$71,D19))</f>
        <v/>
      </c>
      <c r="E37" t="str">
        <f>IF(E19="","",COUNTIF(MODEL_MATRIX!G$2:G$71,E19))</f>
        <v/>
      </c>
      <c r="F37" t="str">
        <f>IF(F19="","",COUNTIF(MODEL_MATRIX!H$2:H$71,F19))</f>
        <v/>
      </c>
      <c r="G37" t="str">
        <f>IF(G19="","",COUNTIF(MODEL_MATRIX!I$2:I$71,G19))</f>
        <v/>
      </c>
      <c r="H37" t="str">
        <f>IF(H19="","",COUNTIF(MODEL_MATRIX!J$2:J$71,H19))</f>
        <v/>
      </c>
      <c r="I37" t="str">
        <f>IF(I19="","",COUNTIF(MODEL_MATRIX!K$2:K$71,I19))</f>
        <v/>
      </c>
      <c r="J37" t="str">
        <f>IF(J19="","",COUNTIF(MODEL_MATRIX!L$2:L$71,J19))</f>
        <v/>
      </c>
      <c r="K37" t="str">
        <f>IF(K19="","",COUNTIF(MODEL_MATRIX!M$2:M$71,K19))</f>
        <v/>
      </c>
      <c r="L37" t="str">
        <f>IF(L19="","",COUNTIF(MODEL_MATRIX!N$2:N$71,L19))</f>
        <v/>
      </c>
      <c r="M37" t="str">
        <f>IF(M19="","",COUNTIF(MODEL_MATRIX!O$2:O$71,M19))</f>
        <v/>
      </c>
      <c r="N37" t="str">
        <f>IF(N19="","",COUNTIF(MODEL_MATRIX!P$2:P$71,N19))</f>
        <v/>
      </c>
      <c r="O37" t="str">
        <f>IF(O19="","",COUNTIF(MODEL_MATRIX!Q$2:Q$71,O19))</f>
        <v/>
      </c>
      <c r="P37" t="str">
        <f>IF(P19="","",COUNTIF(MODEL_MATRIX!R$2:R$71,P19))</f>
        <v/>
      </c>
      <c r="Q37" t="str">
        <f>IF(Q19="","",COUNTIF(MODEL_MATRIX!S$2:S$71,Q19))</f>
        <v/>
      </c>
      <c r="R37" t="str">
        <f>IF(R19="","",COUNTIF(MODEL_MATRIX!T$2:T$71,R19))</f>
        <v/>
      </c>
      <c r="S37" t="str">
        <f>IF(S19="","",COUNTIF(MODEL_MATRIX!U$2:U$71,S19))</f>
        <v/>
      </c>
      <c r="T37" t="str">
        <f>IF(T19="","",COUNTIF(MODEL_MATRIX!V$2:V$71,T19))</f>
        <v/>
      </c>
      <c r="U37" t="str">
        <f>IF(U19="","",COUNTIF(MODEL_MATRIX!W$2:W$71,U19))</f>
        <v/>
      </c>
      <c r="V37" t="str">
        <f>IF(V19="","",COUNTIF(MODEL_MATRIX!X$2:X$71,V19))</f>
        <v/>
      </c>
      <c r="W37" t="str">
        <f>IF(W19="","",COUNTIF(MODEL_MATRIX!Y$2:Y$71,W19))</f>
        <v/>
      </c>
      <c r="X37" t="str">
        <f>IF(X19="","",COUNTIF(MODEL_MATRIX!Z$2:Z$71,X19))</f>
        <v/>
      </c>
      <c r="Y37" t="str">
        <f>IF(Y19="","",COUNTIF(MODEL_MATRIX!AA$2:AA$71,Y19))</f>
        <v/>
      </c>
    </row>
    <row r="38" spans="1:26" x14ac:dyDescent="0.25">
      <c r="A38" t="str">
        <f>IF(A20="","",COUNTIF(MODEL_MATRIX!C$2:C$71,A20))</f>
        <v/>
      </c>
      <c r="B38" t="str">
        <f>IF(B20="","",COUNTIF(MODEL_MATRIX!D$2:D$71,B20))</f>
        <v/>
      </c>
      <c r="C38" t="str">
        <f>IF(C20="","",COUNTIF(MODEL_MATRIX!E$2:E$71,C20))</f>
        <v/>
      </c>
      <c r="D38" t="str">
        <f>IF(D20="","",COUNTIF(MODEL_MATRIX!F$2:F$71,D20))</f>
        <v/>
      </c>
      <c r="E38" t="str">
        <f>IF(E20="","",COUNTIF(MODEL_MATRIX!G$2:G$71,E20))</f>
        <v/>
      </c>
      <c r="F38" t="str">
        <f>IF(F20="","",COUNTIF(MODEL_MATRIX!H$2:H$71,F20))</f>
        <v/>
      </c>
      <c r="G38" t="str">
        <f>IF(G20="","",COUNTIF(MODEL_MATRIX!I$2:I$71,G20))</f>
        <v/>
      </c>
      <c r="H38" t="str">
        <f>IF(H20="","",COUNTIF(MODEL_MATRIX!J$2:J$71,H20))</f>
        <v/>
      </c>
      <c r="I38" t="str">
        <f>IF(I20="","",COUNTIF(MODEL_MATRIX!K$2:K$71,I20))</f>
        <v/>
      </c>
      <c r="J38" t="str">
        <f>IF(J20="","",COUNTIF(MODEL_MATRIX!L$2:L$71,J20))</f>
        <v/>
      </c>
      <c r="K38" t="str">
        <f>IF(K20="","",COUNTIF(MODEL_MATRIX!M$2:M$71,K20))</f>
        <v/>
      </c>
      <c r="L38" t="str">
        <f>IF(L20="","",COUNTIF(MODEL_MATRIX!N$2:N$71,L20))</f>
        <v/>
      </c>
      <c r="M38" t="str">
        <f>IF(M20="","",COUNTIF(MODEL_MATRIX!O$2:O$71,M20))</f>
        <v/>
      </c>
      <c r="N38" t="str">
        <f>IF(N20="","",COUNTIF(MODEL_MATRIX!P$2:P$71,N20))</f>
        <v/>
      </c>
      <c r="O38" t="str">
        <f>IF(O20="","",COUNTIF(MODEL_MATRIX!Q$2:Q$71,O20))</f>
        <v/>
      </c>
      <c r="P38" t="str">
        <f>IF(P20="","",COUNTIF(MODEL_MATRIX!R$2:R$71,P20))</f>
        <v/>
      </c>
      <c r="Q38" t="str">
        <f>IF(Q20="","",COUNTIF(MODEL_MATRIX!S$2:S$71,Q20))</f>
        <v/>
      </c>
      <c r="R38" t="str">
        <f>IF(R20="","",COUNTIF(MODEL_MATRIX!T$2:T$71,R20))</f>
        <v/>
      </c>
      <c r="S38" t="str">
        <f>IF(S20="","",COUNTIF(MODEL_MATRIX!U$2:U$71,S20))</f>
        <v/>
      </c>
      <c r="T38" t="str">
        <f>IF(T20="","",COUNTIF(MODEL_MATRIX!V$2:V$71,T20))</f>
        <v/>
      </c>
      <c r="U38" t="str">
        <f>IF(U20="","",COUNTIF(MODEL_MATRIX!W$2:W$71,U20))</f>
        <v/>
      </c>
      <c r="V38" t="str">
        <f>IF(V20="","",COUNTIF(MODEL_MATRIX!X$2:X$71,V20))</f>
        <v/>
      </c>
      <c r="W38" t="str">
        <f>IF(W20="","",COUNTIF(MODEL_MATRIX!Y$2:Y$71,W20))</f>
        <v/>
      </c>
      <c r="X38" t="str">
        <f>IF(X20="","",COUNTIF(MODEL_MATRIX!Z$2:Z$71,X20))</f>
        <v/>
      </c>
      <c r="Y38" t="str">
        <f>IF(Y20="","",COUNTIF(MODEL_MATRIX!AA$2:AA$71,Y20))</f>
        <v/>
      </c>
    </row>
    <row r="39" spans="1:26" x14ac:dyDescent="0.25">
      <c r="A39" t="str">
        <f>IF(A21="","",COUNTIF(MODEL_MATRIX!C$2:C$71,A21))</f>
        <v/>
      </c>
      <c r="B39" t="str">
        <f>IF(B21="","",COUNTIF(MODEL_MATRIX!D$2:D$71,B21))</f>
        <v/>
      </c>
      <c r="C39" t="str">
        <f>IF(C21="","",COUNTIF(MODEL_MATRIX!E$2:E$71,C21))</f>
        <v/>
      </c>
      <c r="D39" t="str">
        <f>IF(D21="","",COUNTIF(MODEL_MATRIX!F$2:F$71,D21))</f>
        <v/>
      </c>
      <c r="E39" t="str">
        <f>IF(E21="","",COUNTIF(MODEL_MATRIX!G$2:G$71,E21))</f>
        <v/>
      </c>
      <c r="F39" t="str">
        <f>IF(F21="","",COUNTIF(MODEL_MATRIX!H$2:H$71,F21))</f>
        <v/>
      </c>
      <c r="G39" t="str">
        <f>IF(G21="","",COUNTIF(MODEL_MATRIX!I$2:I$71,G21))</f>
        <v/>
      </c>
      <c r="H39" t="str">
        <f>IF(H21="","",COUNTIF(MODEL_MATRIX!J$2:J$71,H21))</f>
        <v/>
      </c>
      <c r="I39" t="str">
        <f>IF(I21="","",COUNTIF(MODEL_MATRIX!K$2:K$71,I21))</f>
        <v/>
      </c>
      <c r="J39" t="str">
        <f>IF(J21="","",COUNTIF(MODEL_MATRIX!L$2:L$71,J21))</f>
        <v/>
      </c>
      <c r="K39" t="str">
        <f>IF(K21="","",COUNTIF(MODEL_MATRIX!M$2:M$71,K21))</f>
        <v/>
      </c>
      <c r="L39" t="str">
        <f>IF(L21="","",COUNTIF(MODEL_MATRIX!N$2:N$71,L21))</f>
        <v/>
      </c>
      <c r="M39" t="str">
        <f>IF(M21="","",COUNTIF(MODEL_MATRIX!O$2:O$71,M21))</f>
        <v/>
      </c>
      <c r="N39" t="str">
        <f>IF(N21="","",COUNTIF(MODEL_MATRIX!P$2:P$71,N21))</f>
        <v/>
      </c>
      <c r="O39" t="str">
        <f>IF(O21="","",COUNTIF(MODEL_MATRIX!Q$2:Q$71,O21))</f>
        <v/>
      </c>
      <c r="P39" t="str">
        <f>IF(P21="","",COUNTIF(MODEL_MATRIX!R$2:R$71,P21))</f>
        <v/>
      </c>
      <c r="Q39" t="str">
        <f>IF(Q21="","",COUNTIF(MODEL_MATRIX!S$2:S$71,Q21))</f>
        <v/>
      </c>
      <c r="R39" t="str">
        <f>IF(R21="","",COUNTIF(MODEL_MATRIX!T$2:T$71,R21))</f>
        <v/>
      </c>
      <c r="S39" t="str">
        <f>IF(S21="","",COUNTIF(MODEL_MATRIX!U$2:U$71,S21))</f>
        <v/>
      </c>
      <c r="T39" t="str">
        <f>IF(T21="","",COUNTIF(MODEL_MATRIX!V$2:V$71,T21))</f>
        <v/>
      </c>
      <c r="U39" t="str">
        <f>IF(U21="","",COUNTIF(MODEL_MATRIX!W$2:W$71,U21))</f>
        <v/>
      </c>
      <c r="V39" t="str">
        <f>IF(V21="","",COUNTIF(MODEL_MATRIX!X$2:X$71,V21))</f>
        <v/>
      </c>
      <c r="W39" t="str">
        <f>IF(W21="","",COUNTIF(MODEL_MATRIX!Y$2:Y$71,W21))</f>
        <v/>
      </c>
      <c r="X39" t="str">
        <f>IF(X21="","",COUNTIF(MODEL_MATRIX!Z$2:Z$71,X21))</f>
        <v/>
      </c>
      <c r="Y39" t="str">
        <f>IF(Y21="","",COUNTIF(MODEL_MATRIX!AA$2:AA$71,Y21))</f>
        <v/>
      </c>
    </row>
    <row r="40" spans="1:26" x14ac:dyDescent="0.25">
      <c r="A40" t="str">
        <f>IF(A22="","",COUNTIF(MODEL_MATRIX!C$2:C$71,A22))</f>
        <v/>
      </c>
      <c r="B40" t="str">
        <f>IF(B22="","",COUNTIF(MODEL_MATRIX!D$2:D$71,B22))</f>
        <v/>
      </c>
      <c r="C40" t="str">
        <f>IF(C22="","",COUNTIF(MODEL_MATRIX!E$2:E$71,C22))</f>
        <v/>
      </c>
      <c r="D40" t="str">
        <f>IF(D22="","",COUNTIF(MODEL_MATRIX!F$2:F$71,D22))</f>
        <v/>
      </c>
      <c r="E40" t="str">
        <f>IF(E22="","",COUNTIF(MODEL_MATRIX!G$2:G$71,E22))</f>
        <v/>
      </c>
      <c r="F40" t="str">
        <f>IF(F22="","",COUNTIF(MODEL_MATRIX!H$2:H$71,F22))</f>
        <v/>
      </c>
      <c r="G40" t="str">
        <f>IF(G22="","",COUNTIF(MODEL_MATRIX!I$2:I$71,G22))</f>
        <v/>
      </c>
      <c r="H40" t="str">
        <f>IF(H22="","",COUNTIF(MODEL_MATRIX!J$2:J$71,H22))</f>
        <v/>
      </c>
      <c r="I40" t="str">
        <f>IF(I22="","",COUNTIF(MODEL_MATRIX!K$2:K$71,I22))</f>
        <v/>
      </c>
      <c r="J40" t="str">
        <f>IF(J22="","",COUNTIF(MODEL_MATRIX!L$2:L$71,J22))</f>
        <v/>
      </c>
      <c r="K40" t="str">
        <f>IF(K22="","",COUNTIF(MODEL_MATRIX!M$2:M$71,K22))</f>
        <v/>
      </c>
      <c r="L40" t="str">
        <f>IF(L22="","",COUNTIF(MODEL_MATRIX!N$2:N$71,L22))</f>
        <v/>
      </c>
      <c r="M40" t="str">
        <f>IF(M22="","",COUNTIF(MODEL_MATRIX!O$2:O$71,M22))</f>
        <v/>
      </c>
      <c r="N40" t="str">
        <f>IF(N22="","",COUNTIF(MODEL_MATRIX!P$2:P$71,N22))</f>
        <v/>
      </c>
      <c r="O40" t="str">
        <f>IF(O22="","",COUNTIF(MODEL_MATRIX!Q$2:Q$71,O22))</f>
        <v/>
      </c>
      <c r="P40" t="str">
        <f>IF(P22="","",COUNTIF(MODEL_MATRIX!R$2:R$71,P22))</f>
        <v/>
      </c>
      <c r="Q40" t="str">
        <f>IF(Q22="","",COUNTIF(MODEL_MATRIX!S$2:S$71,Q22))</f>
        <v/>
      </c>
      <c r="R40" t="str">
        <f>IF(R22="","",COUNTIF(MODEL_MATRIX!T$2:T$71,R22))</f>
        <v/>
      </c>
      <c r="S40" t="str">
        <f>IF(S22="","",COUNTIF(MODEL_MATRIX!U$2:U$71,S22))</f>
        <v/>
      </c>
      <c r="T40" t="str">
        <f>IF(T22="","",COUNTIF(MODEL_MATRIX!V$2:V$71,T22))</f>
        <v/>
      </c>
      <c r="U40" t="str">
        <f>IF(U22="","",COUNTIF(MODEL_MATRIX!W$2:W$71,U22))</f>
        <v/>
      </c>
      <c r="V40" t="str">
        <f>IF(V22="","",COUNTIF(MODEL_MATRIX!X$2:X$71,V22))</f>
        <v/>
      </c>
      <c r="W40" t="str">
        <f>IF(W22="","",COUNTIF(MODEL_MATRIX!Y$2:Y$71,W22))</f>
        <v/>
      </c>
      <c r="X40" t="str">
        <f>IF(X22="","",COUNTIF(MODEL_MATRIX!Z$2:Z$71,X22))</f>
        <v/>
      </c>
      <c r="Y40" t="str">
        <f>IF(Y22="","",COUNTIF(MODEL_MATRIX!AA$2:AA$71,Y22))</f>
        <v/>
      </c>
    </row>
    <row r="41" spans="1:26" x14ac:dyDescent="0.25">
      <c r="A41" t="str">
        <f>IF(A23="","",COUNTIF(MODEL_MATRIX!C$2:C$71,A23))</f>
        <v/>
      </c>
      <c r="B41" t="str">
        <f>IF(B23="","",COUNTIF(MODEL_MATRIX!D$2:D$71,B23))</f>
        <v/>
      </c>
      <c r="C41" t="str">
        <f>IF(C23="","",COUNTIF(MODEL_MATRIX!E$2:E$71,C23))</f>
        <v/>
      </c>
      <c r="D41" t="str">
        <f>IF(D23="","",COUNTIF(MODEL_MATRIX!F$2:F$71,D23))</f>
        <v/>
      </c>
      <c r="E41" t="str">
        <f>IF(E23="","",COUNTIF(MODEL_MATRIX!G$2:G$71,E23))</f>
        <v/>
      </c>
      <c r="F41" t="str">
        <f>IF(F23="","",COUNTIF(MODEL_MATRIX!H$2:H$71,F23))</f>
        <v/>
      </c>
      <c r="G41" t="str">
        <f>IF(G23="","",COUNTIF(MODEL_MATRIX!I$2:I$71,G23))</f>
        <v/>
      </c>
      <c r="H41" t="str">
        <f>IF(H23="","",COUNTIF(MODEL_MATRIX!J$2:J$71,H23))</f>
        <v/>
      </c>
      <c r="I41" t="str">
        <f>IF(I23="","",COUNTIF(MODEL_MATRIX!K$2:K$71,I23))</f>
        <v/>
      </c>
      <c r="J41" t="str">
        <f>IF(J23="","",COUNTIF(MODEL_MATRIX!L$2:L$71,J23))</f>
        <v/>
      </c>
      <c r="K41" t="str">
        <f>IF(K23="","",COUNTIF(MODEL_MATRIX!M$2:M$71,K23))</f>
        <v/>
      </c>
      <c r="L41" t="str">
        <f>IF(L23="","",COUNTIF(MODEL_MATRIX!N$2:N$71,L23))</f>
        <v/>
      </c>
      <c r="M41" t="str">
        <f>IF(M23="","",COUNTIF(MODEL_MATRIX!O$2:O$71,M23))</f>
        <v/>
      </c>
      <c r="N41" t="str">
        <f>IF(N23="","",COUNTIF(MODEL_MATRIX!P$2:P$71,N23))</f>
        <v/>
      </c>
      <c r="O41" t="str">
        <f>IF(O23="","",COUNTIF(MODEL_MATRIX!Q$2:Q$71,O23))</f>
        <v/>
      </c>
      <c r="P41" t="str">
        <f>IF(P23="","",COUNTIF(MODEL_MATRIX!R$2:R$71,P23))</f>
        <v/>
      </c>
      <c r="Q41" t="str">
        <f>IF(Q23="","",COUNTIF(MODEL_MATRIX!S$2:S$71,Q23))</f>
        <v/>
      </c>
      <c r="R41" t="str">
        <f>IF(R23="","",COUNTIF(MODEL_MATRIX!T$2:T$71,R23))</f>
        <v/>
      </c>
      <c r="S41" t="str">
        <f>IF(S23="","",COUNTIF(MODEL_MATRIX!U$2:U$71,S23))</f>
        <v/>
      </c>
      <c r="T41" t="str">
        <f>IF(T23="","",COUNTIF(MODEL_MATRIX!V$2:V$71,T23))</f>
        <v/>
      </c>
      <c r="U41" t="str">
        <f>IF(U23="","",COUNTIF(MODEL_MATRIX!W$2:W$71,U23))</f>
        <v/>
      </c>
      <c r="V41" t="str">
        <f>IF(V23="","",COUNTIF(MODEL_MATRIX!X$2:X$71,V23))</f>
        <v/>
      </c>
      <c r="W41" t="str">
        <f>IF(W23="","",COUNTIF(MODEL_MATRIX!Y$2:Y$71,W23))</f>
        <v/>
      </c>
      <c r="X41" t="str">
        <f>IF(X23="","",COUNTIF(MODEL_MATRIX!Z$2:Z$71,X23))</f>
        <v/>
      </c>
      <c r="Y41" t="str">
        <f>IF(Y23="","",COUNTIF(MODEL_MATRIX!AA$2:AA$71,Y23))</f>
        <v/>
      </c>
    </row>
    <row r="42" spans="1:26" x14ac:dyDescent="0.25">
      <c r="A42" t="str">
        <f>IF(A24="","",COUNTIF(MODEL_MATRIX!C$2:C$71,A24))</f>
        <v/>
      </c>
      <c r="B42" t="str">
        <f>IF(B24="","",COUNTIF(MODEL_MATRIX!D$2:D$71,B24))</f>
        <v/>
      </c>
      <c r="C42" t="str">
        <f>IF(C24="","",COUNTIF(MODEL_MATRIX!E$2:E$71,C24))</f>
        <v/>
      </c>
      <c r="D42" t="str">
        <f>IF(D24="","",COUNTIF(MODEL_MATRIX!F$2:F$71,D24))</f>
        <v/>
      </c>
      <c r="E42" t="str">
        <f>IF(E24="","",COUNTIF(MODEL_MATRIX!G$2:G$71,E24))</f>
        <v/>
      </c>
      <c r="F42" t="str">
        <f>IF(F24="","",COUNTIF(MODEL_MATRIX!H$2:H$71,F24))</f>
        <v/>
      </c>
      <c r="G42" t="str">
        <f>IF(G24="","",COUNTIF(MODEL_MATRIX!I$2:I$71,G24))</f>
        <v/>
      </c>
      <c r="H42" t="str">
        <f>IF(H24="","",COUNTIF(MODEL_MATRIX!J$2:J$71,H24))</f>
        <v/>
      </c>
      <c r="I42" t="str">
        <f>IF(I24="","",COUNTIF(MODEL_MATRIX!K$2:K$71,I24))</f>
        <v/>
      </c>
      <c r="J42" t="str">
        <f>IF(J24="","",COUNTIF(MODEL_MATRIX!L$2:L$71,J24))</f>
        <v/>
      </c>
      <c r="K42" t="str">
        <f>IF(K24="","",COUNTIF(MODEL_MATRIX!M$2:M$71,K24))</f>
        <v/>
      </c>
      <c r="L42" t="str">
        <f>IF(L24="","",COUNTIF(MODEL_MATRIX!N$2:N$71,L24))</f>
        <v/>
      </c>
      <c r="M42" t="str">
        <f>IF(M24="","",COUNTIF(MODEL_MATRIX!O$2:O$71,M24))</f>
        <v/>
      </c>
      <c r="N42" t="str">
        <f>IF(N24="","",COUNTIF(MODEL_MATRIX!P$2:P$71,N24))</f>
        <v/>
      </c>
      <c r="O42" t="str">
        <f>IF(O24="","",COUNTIF(MODEL_MATRIX!Q$2:Q$71,O24))</f>
        <v/>
      </c>
      <c r="P42" t="str">
        <f>IF(P24="","",COUNTIF(MODEL_MATRIX!R$2:R$71,P24))</f>
        <v/>
      </c>
      <c r="Q42" t="str">
        <f>IF(Q24="","",COUNTIF(MODEL_MATRIX!S$2:S$71,Q24))</f>
        <v/>
      </c>
      <c r="R42" t="str">
        <f>IF(R24="","",COUNTIF(MODEL_MATRIX!T$2:T$71,R24))</f>
        <v/>
      </c>
      <c r="S42" t="str">
        <f>IF(S24="","",COUNTIF(MODEL_MATRIX!U$2:U$71,S24))</f>
        <v/>
      </c>
      <c r="T42" t="str">
        <f>IF(T24="","",COUNTIF(MODEL_MATRIX!V$2:V$71,T24))</f>
        <v/>
      </c>
      <c r="U42" t="str">
        <f>IF(U24="","",COUNTIF(MODEL_MATRIX!W$2:W$71,U24))</f>
        <v/>
      </c>
      <c r="V42" t="str">
        <f>IF(V24="","",COUNTIF(MODEL_MATRIX!X$2:X$71,V24))</f>
        <v/>
      </c>
      <c r="W42" t="str">
        <f>IF(W24="","",COUNTIF(MODEL_MATRIX!Y$2:Y$71,W24))</f>
        <v/>
      </c>
      <c r="X42" t="str">
        <f>IF(X24="","",COUNTIF(MODEL_MATRIX!Z$2:Z$71,X24))</f>
        <v/>
      </c>
      <c r="Y42" t="str">
        <f>IF(Y24="","",COUNTIF(MODEL_MATRIX!AA$2:AA$71,Y24))</f>
        <v/>
      </c>
    </row>
    <row r="45" spans="1:26" x14ac:dyDescent="0.25">
      <c r="A45" t="s">
        <v>32</v>
      </c>
      <c r="D45" s="24"/>
      <c r="E45" s="24"/>
      <c r="F45" s="24"/>
      <c r="G45" s="24"/>
      <c r="H45" s="24"/>
      <c r="I45" s="24"/>
      <c r="J45" t="s">
        <v>33</v>
      </c>
      <c r="M45">
        <f>AVERAGE(EXP_MATRIX!B2:B71)</f>
        <v>5.9889290109375004</v>
      </c>
    </row>
    <row r="46" spans="1:26" x14ac:dyDescent="0.25">
      <c r="A46" t="str">
        <f>A49</f>
        <v>A</v>
      </c>
      <c r="B46" t="str">
        <f t="shared" ref="B46:Y46" si="7">B49</f>
        <v>C</v>
      </c>
      <c r="C46" t="str">
        <f t="shared" si="7"/>
        <v>E</v>
      </c>
      <c r="D46" t="str">
        <f t="shared" si="7"/>
        <v>AC</v>
      </c>
      <c r="E46" t="str">
        <f t="shared" si="7"/>
        <v>AE</v>
      </c>
      <c r="F46" t="str">
        <f t="shared" si="7"/>
        <v/>
      </c>
      <c r="G46" t="str">
        <f t="shared" si="7"/>
        <v/>
      </c>
      <c r="H46" t="str">
        <f t="shared" si="7"/>
        <v/>
      </c>
      <c r="I46" t="str">
        <f t="shared" si="7"/>
        <v/>
      </c>
      <c r="J46" t="str">
        <f t="shared" si="7"/>
        <v/>
      </c>
      <c r="K46" t="str">
        <f t="shared" si="7"/>
        <v/>
      </c>
      <c r="L46" t="str">
        <f t="shared" si="7"/>
        <v/>
      </c>
      <c r="M46" t="str">
        <f t="shared" si="7"/>
        <v/>
      </c>
      <c r="N46" t="str">
        <f t="shared" si="7"/>
        <v/>
      </c>
      <c r="O46" t="str">
        <f t="shared" si="7"/>
        <v/>
      </c>
      <c r="P46" t="str">
        <f t="shared" si="7"/>
        <v/>
      </c>
      <c r="Q46" t="str">
        <f t="shared" si="7"/>
        <v/>
      </c>
      <c r="R46" t="str">
        <f t="shared" si="7"/>
        <v/>
      </c>
      <c r="S46" t="str">
        <f t="shared" si="7"/>
        <v/>
      </c>
      <c r="T46" t="str">
        <f t="shared" si="7"/>
        <v/>
      </c>
      <c r="U46" t="str">
        <f t="shared" si="7"/>
        <v/>
      </c>
      <c r="V46" t="str">
        <f t="shared" si="7"/>
        <v/>
      </c>
      <c r="W46" t="str">
        <f t="shared" si="7"/>
        <v/>
      </c>
      <c r="X46" t="str">
        <f t="shared" si="7"/>
        <v/>
      </c>
      <c r="Y46" t="str">
        <f t="shared" si="7"/>
        <v/>
      </c>
    </row>
    <row r="47" spans="1:26" x14ac:dyDescent="0.25">
      <c r="A47">
        <f ca="1">IF(A49="","",OFFSET(A49,COUNT(A50:A58),0)-A50)</f>
        <v>-0.95248632812500045</v>
      </c>
      <c r="B47">
        <f t="shared" ref="B47:Y47" ca="1" si="8">IF(B49="","",OFFSET(B49,COUNT(B50:B58),0)-B50)</f>
        <v>2.167385078125001</v>
      </c>
      <c r="C47">
        <f t="shared" ca="1" si="8"/>
        <v>0.93598029687499906</v>
      </c>
      <c r="D47">
        <f t="shared" ca="1" si="8"/>
        <v>-0.71972810937499965</v>
      </c>
      <c r="E47">
        <f t="shared" ca="1" si="8"/>
        <v>0.83766710937499944</v>
      </c>
      <c r="F47" t="str">
        <f t="shared" ca="1" si="8"/>
        <v/>
      </c>
      <c r="G47" t="str">
        <f t="shared" ca="1" si="8"/>
        <v/>
      </c>
      <c r="H47" t="str">
        <f t="shared" ca="1" si="8"/>
        <v/>
      </c>
      <c r="I47" t="str">
        <f t="shared" ca="1" si="8"/>
        <v/>
      </c>
      <c r="J47" t="str">
        <f t="shared" ca="1" si="8"/>
        <v/>
      </c>
      <c r="K47" t="str">
        <f t="shared" ca="1" si="8"/>
        <v/>
      </c>
      <c r="L47" t="str">
        <f t="shared" ca="1" si="8"/>
        <v/>
      </c>
      <c r="M47" t="str">
        <f t="shared" ca="1" si="8"/>
        <v/>
      </c>
      <c r="N47" t="str">
        <f t="shared" ca="1" si="8"/>
        <v/>
      </c>
      <c r="O47" t="str">
        <f t="shared" ca="1" si="8"/>
        <v/>
      </c>
      <c r="P47" t="str">
        <f t="shared" ca="1" si="8"/>
        <v/>
      </c>
      <c r="Q47" t="str">
        <f t="shared" ca="1" si="8"/>
        <v/>
      </c>
      <c r="R47" t="str">
        <f t="shared" ca="1" si="8"/>
        <v/>
      </c>
      <c r="S47" t="str">
        <f t="shared" ca="1" si="8"/>
        <v/>
      </c>
      <c r="T47" t="str">
        <f t="shared" ca="1" si="8"/>
        <v/>
      </c>
      <c r="U47" t="str">
        <f t="shared" ca="1" si="8"/>
        <v/>
      </c>
      <c r="V47" t="str">
        <f t="shared" ca="1" si="8"/>
        <v/>
      </c>
      <c r="W47" t="str">
        <f t="shared" ca="1" si="8"/>
        <v/>
      </c>
      <c r="X47" t="str">
        <f t="shared" ca="1" si="8"/>
        <v/>
      </c>
      <c r="Y47" t="str">
        <f t="shared" ca="1" si="8"/>
        <v/>
      </c>
      <c r="Z47" s="18" t="s">
        <v>125</v>
      </c>
    </row>
    <row r="48" spans="1:26" x14ac:dyDescent="0.25">
      <c r="A48">
        <f>IF(A49="","",MAX(A50:A58)-MIN(A50:A58))</f>
        <v>0.95248632812500045</v>
      </c>
      <c r="B48">
        <f t="shared" ref="B48:M48" si="9">IF(B49="","",MAX(B50:B58)-MIN(B50:B58))</f>
        <v>2.167385078125001</v>
      </c>
      <c r="C48">
        <f t="shared" si="9"/>
        <v>0.93598029687499906</v>
      </c>
      <c r="D48">
        <f t="shared" si="9"/>
        <v>0.71972810937499965</v>
      </c>
      <c r="E48">
        <f t="shared" si="9"/>
        <v>0.83766710937499944</v>
      </c>
      <c r="F48" t="str">
        <f t="shared" si="9"/>
        <v/>
      </c>
      <c r="G48" t="str">
        <f t="shared" si="9"/>
        <v/>
      </c>
      <c r="H48" t="str">
        <f t="shared" si="9"/>
        <v/>
      </c>
      <c r="I48" t="str">
        <f t="shared" si="9"/>
        <v/>
      </c>
      <c r="J48" t="str">
        <f t="shared" si="9"/>
        <v/>
      </c>
      <c r="K48" t="str">
        <f t="shared" si="9"/>
        <v/>
      </c>
      <c r="L48" t="str">
        <f t="shared" si="9"/>
        <v/>
      </c>
      <c r="M48" t="str">
        <f t="shared" si="9"/>
        <v/>
      </c>
      <c r="N48" t="str">
        <f>IF(N49="","",MAX(N50:N58)-MIN(N50:N58))</f>
        <v/>
      </c>
      <c r="O48" t="str">
        <f t="shared" ref="O48" si="10">IF(O49="","",MAX(O50:O58)-MIN(O50:O58))</f>
        <v/>
      </c>
      <c r="P48" t="str">
        <f t="shared" ref="P48" si="11">IF(P49="","",MAX(P50:P58)-MIN(P50:P58))</f>
        <v/>
      </c>
      <c r="Q48" t="str">
        <f t="shared" ref="Q48" si="12">IF(Q49="","",MAX(Q50:Q58)-MIN(Q50:Q58))</f>
        <v/>
      </c>
      <c r="R48" t="str">
        <f t="shared" ref="R48" si="13">IF(R49="","",MAX(R50:R58)-MIN(R50:R58))</f>
        <v/>
      </c>
      <c r="S48" t="str">
        <f t="shared" ref="S48" si="14">IF(S49="","",MAX(S50:S58)-MIN(S50:S58))</f>
        <v/>
      </c>
      <c r="T48" t="str">
        <f t="shared" ref="T48" si="15">IF(T49="","",MAX(T50:T58)-MIN(T50:T58))</f>
        <v/>
      </c>
      <c r="U48" t="str">
        <f t="shared" ref="U48" si="16">IF(U49="","",MAX(U50:U58)-MIN(U50:U58))</f>
        <v/>
      </c>
      <c r="V48" t="str">
        <f t="shared" ref="V48" si="17">IF(V49="","",MAX(V50:V58)-MIN(V50:V58))</f>
        <v/>
      </c>
      <c r="W48" t="str">
        <f t="shared" ref="W48" si="18">IF(W49="","",MAX(W50:W58)-MIN(W50:W58))</f>
        <v/>
      </c>
      <c r="X48" t="str">
        <f t="shared" ref="X48" si="19">IF(X49="","",MAX(X50:X58)-MIN(X50:X58))</f>
        <v/>
      </c>
      <c r="Y48" t="str">
        <f t="shared" ref="Y48" si="20">IF(Y49="","",MAX(Y50:Y58)-MIN(Y50:Y58))</f>
        <v/>
      </c>
      <c r="Z48" s="18" t="s">
        <v>126</v>
      </c>
    </row>
    <row r="49" spans="1:26" x14ac:dyDescent="0.25">
      <c r="A49" t="str">
        <f t="shared" ref="A49:Y49" si="21">A15</f>
        <v>A</v>
      </c>
      <c r="B49" t="str">
        <f t="shared" si="21"/>
        <v>C</v>
      </c>
      <c r="C49" t="str">
        <f t="shared" si="21"/>
        <v>E</v>
      </c>
      <c r="D49" t="str">
        <f t="shared" si="21"/>
        <v>AC</v>
      </c>
      <c r="E49" t="str">
        <f t="shared" si="21"/>
        <v>AE</v>
      </c>
      <c r="F49" t="str">
        <f t="shared" si="21"/>
        <v/>
      </c>
      <c r="G49" t="str">
        <f t="shared" si="21"/>
        <v/>
      </c>
      <c r="H49" t="str">
        <f t="shared" si="21"/>
        <v/>
      </c>
      <c r="I49" t="str">
        <f t="shared" si="21"/>
        <v/>
      </c>
      <c r="J49" t="str">
        <f t="shared" si="21"/>
        <v/>
      </c>
      <c r="K49" t="str">
        <f t="shared" si="21"/>
        <v/>
      </c>
      <c r="L49" t="str">
        <f t="shared" si="21"/>
        <v/>
      </c>
      <c r="M49" t="str">
        <f t="shared" si="21"/>
        <v/>
      </c>
      <c r="N49" t="str">
        <f t="shared" si="21"/>
        <v/>
      </c>
      <c r="O49" t="str">
        <f t="shared" si="21"/>
        <v/>
      </c>
      <c r="P49" t="str">
        <f t="shared" si="21"/>
        <v/>
      </c>
      <c r="Q49" t="str">
        <f t="shared" si="21"/>
        <v/>
      </c>
      <c r="R49" t="str">
        <f t="shared" si="21"/>
        <v/>
      </c>
      <c r="S49" t="str">
        <f t="shared" si="21"/>
        <v/>
      </c>
      <c r="T49" t="str">
        <f t="shared" si="21"/>
        <v/>
      </c>
      <c r="U49" t="str">
        <f t="shared" si="21"/>
        <v/>
      </c>
      <c r="V49" t="str">
        <f t="shared" si="21"/>
        <v/>
      </c>
      <c r="W49" t="str">
        <f t="shared" si="21"/>
        <v/>
      </c>
      <c r="X49" t="str">
        <f t="shared" si="21"/>
        <v/>
      </c>
      <c r="Y49" t="str">
        <f t="shared" si="21"/>
        <v/>
      </c>
    </row>
    <row r="50" spans="1:26" x14ac:dyDescent="0.25">
      <c r="A50" cm="1">
        <f t="array" ref="A50">IF(A16="","",AVERAGE(IF(MODEL_MATRIX!C$2:C$71="","",IF(ROUND(MODEL_MATRIX!C$2:C$71,10)=ROUND(A16,10),MODEL_MATRIX!$B$2:$B$71))))</f>
        <v>6.4651721750000002</v>
      </c>
      <c r="B50" cm="1">
        <f t="array" ref="B50">IF(B16="","",AVERAGE(IF(MODEL_MATRIX!D$2:D$71="","",IF(ROUND(MODEL_MATRIX!D$2:D$71,10)=ROUND(B16,10),MODEL_MATRIX!$B$2:$B$71))))</f>
        <v>4.9052364718749999</v>
      </c>
      <c r="C50" cm="1">
        <f t="array" ref="C50">IF(C16="","",AVERAGE(IF(MODEL_MATRIX!E$2:E$71="","",IF(ROUND(MODEL_MATRIX!E$2:E$71,10)=ROUND(C16,10),MODEL_MATRIX!$B$2:$B$71))))</f>
        <v>5.5209388625000004</v>
      </c>
      <c r="D50" cm="1">
        <f t="array" ref="D50">IF(D16="","",AVERAGE(IF(MODEL_MATRIX!F$2:F$71="","",IF(ROUND(MODEL_MATRIX!F$2:F$71,10)=ROUND(D16,10),MODEL_MATRIX!$B$2:$B$71))))</f>
        <v>6.3487930656249993</v>
      </c>
      <c r="E50" cm="1">
        <f t="array" ref="E50">IF(E16="","",AVERAGE(IF(MODEL_MATRIX!G$2:G$71="","",IF(ROUND(MODEL_MATRIX!G$2:G$71,10)=ROUND(E16,10),MODEL_MATRIX!$B$2:$B$71))))</f>
        <v>5.5700954562499998</v>
      </c>
      <c r="F50" t="str" cm="1">
        <f t="array" ref="F50">IF(F16="","",AVERAGE(IF(MODEL_MATRIX!H$2:H$71="","",IF(ROUND(MODEL_MATRIX!H$2:H$71,10)=ROUND(F16,10),MODEL_MATRIX!$B$2:$B$71))))</f>
        <v/>
      </c>
      <c r="G50" t="str" cm="1">
        <f t="array" ref="G50">IF(G16="","",AVERAGE(IF(MODEL_MATRIX!I$2:I$71="","",IF(ROUND(MODEL_MATRIX!I$2:I$71,10)=ROUND(G16,10),MODEL_MATRIX!$B$2:$B$71))))</f>
        <v/>
      </c>
      <c r="H50" t="str" cm="1">
        <f t="array" ref="H50">IF(H16="","",AVERAGE(IF(MODEL_MATRIX!J$2:J$71="","",IF(ROUND(MODEL_MATRIX!J$2:J$71,10)=ROUND(H16,10),MODEL_MATRIX!$B$2:$B$71))))</f>
        <v/>
      </c>
      <c r="I50" t="str" cm="1">
        <f t="array" ref="I50">IF(I16="","",AVERAGE(IF(MODEL_MATRIX!K$2:K$71="","",IF(ROUND(MODEL_MATRIX!K$2:K$71,10)=ROUND(I16,10),MODEL_MATRIX!$B$2:$B$71))))</f>
        <v/>
      </c>
      <c r="J50" t="str" cm="1">
        <f t="array" ref="J50">IF(J16="","",AVERAGE(IF(MODEL_MATRIX!L$2:L$71="","",IF(ROUND(MODEL_MATRIX!L$2:L$71,10)=ROUND(J16,10),MODEL_MATRIX!$B$2:$B$71))))</f>
        <v/>
      </c>
      <c r="K50" t="str" cm="1">
        <f t="array" ref="K50">IF(K16="","",AVERAGE(IF(MODEL_MATRIX!M$2:M$71="","",IF(ROUND(MODEL_MATRIX!M$2:M$71,10)=ROUND(K16,10),MODEL_MATRIX!$B$2:$B$71))))</f>
        <v/>
      </c>
      <c r="L50" t="str" cm="1">
        <f t="array" ref="L50">IF(L16="","",AVERAGE(IF(MODEL_MATRIX!N$2:N$71="","",IF(ROUND(MODEL_MATRIX!N$2:N$71,10)=ROUND(L16,10),MODEL_MATRIX!$B$2:$B$71))))</f>
        <v/>
      </c>
      <c r="M50" t="str" cm="1">
        <f t="array" ref="M50">IF(M16="","",AVERAGE(IF(MODEL_MATRIX!O$2:O$71="","",IF(ROUND(MODEL_MATRIX!O$2:O$71,10)=ROUND(M16,10),MODEL_MATRIX!$B$2:$B$71))))</f>
        <v/>
      </c>
      <c r="N50" t="str" cm="1">
        <f t="array" ref="N50">IF(N16="","",AVERAGE(IF(MODEL_MATRIX!P$2:P$71="","",IF(ROUND(MODEL_MATRIX!P$2:P$71,10)=ROUND(N16,10),MODEL_MATRIX!$B$2:$B$71))))</f>
        <v/>
      </c>
      <c r="O50" t="str" cm="1">
        <f t="array" ref="O50">IF(O16="","",AVERAGE(IF(MODEL_MATRIX!Q$2:Q$71="","",IF(ROUND(MODEL_MATRIX!Q$2:Q$71,10)=ROUND(O16,10),MODEL_MATRIX!$B$2:$B$71))))</f>
        <v/>
      </c>
      <c r="P50" t="str" cm="1">
        <f t="array" ref="P50">IF(P16="","",AVERAGE(IF(MODEL_MATRIX!R$2:R$71="","",IF(ROUND(MODEL_MATRIX!R$2:R$71,10)=ROUND(P16,10),MODEL_MATRIX!$B$2:$B$71))))</f>
        <v/>
      </c>
      <c r="Q50" t="str" cm="1">
        <f t="array" ref="Q50">IF(Q16="","",AVERAGE(IF(MODEL_MATRIX!S$2:S$71="","",IF(ROUND(MODEL_MATRIX!S$2:S$71,10)=ROUND(Q16,10),MODEL_MATRIX!$B$2:$B$71))))</f>
        <v/>
      </c>
      <c r="R50" t="str" cm="1">
        <f t="array" ref="R50">IF(R16="","",AVERAGE(IF(MODEL_MATRIX!T$2:T$71="","",IF(ROUND(MODEL_MATRIX!T$2:T$71,10)=ROUND(R16,10),MODEL_MATRIX!$B$2:$B$71))))</f>
        <v/>
      </c>
      <c r="S50" t="str" cm="1">
        <f t="array" ref="S50">IF(S16="","",AVERAGE(IF(MODEL_MATRIX!U$2:U$71="","",IF(ROUND(MODEL_MATRIX!U$2:U$71,10)=ROUND(S16,10),MODEL_MATRIX!$B$2:$B$71))))</f>
        <v/>
      </c>
      <c r="T50" t="str" cm="1">
        <f t="array" ref="T50">IF(T16="","",AVERAGE(IF(MODEL_MATRIX!V$2:V$71="","",IF(ROUND(MODEL_MATRIX!V$2:V$71,10)=ROUND(T16,10),MODEL_MATRIX!$B$2:$B$71))))</f>
        <v/>
      </c>
      <c r="U50" t="str" cm="1">
        <f t="array" ref="U50">IF(U16="","",AVERAGE(IF(MODEL_MATRIX!W$2:W$71="","",IF(ROUND(MODEL_MATRIX!W$2:W$71,10)=ROUND(U16,10),MODEL_MATRIX!$B$2:$B$71))))</f>
        <v/>
      </c>
      <c r="V50" t="str" cm="1">
        <f t="array" ref="V50">IF(V16="","",AVERAGE(IF(MODEL_MATRIX!X$2:X$71="","",IF(ROUND(MODEL_MATRIX!X$2:X$71,10)=ROUND(V16,10),MODEL_MATRIX!$B$2:$B$71))))</f>
        <v/>
      </c>
      <c r="W50" t="str" cm="1">
        <f t="array" ref="W50">IF(W16="","",AVERAGE(IF(MODEL_MATRIX!Y$2:Y$71="","",IF(ROUND(MODEL_MATRIX!Y$2:Y$71,10)=ROUND(W16,10),MODEL_MATRIX!$B$2:$B$71))))</f>
        <v/>
      </c>
      <c r="X50" t="str" cm="1">
        <f t="array" ref="X50">IF(X16="","",AVERAGE(IF(MODEL_MATRIX!Z$2:Z$71="","",IF(ROUND(MODEL_MATRIX!Z$2:Z$71,10)=ROUND(X16,10),MODEL_MATRIX!$B$2:$B$71))))</f>
        <v/>
      </c>
      <c r="Y50" t="str" cm="1">
        <f t="array" ref="Y50">IF(Y16="","",AVERAGE(IF(MODEL_MATRIX!AA$2:AA$71="","",IF(ROUND(MODEL_MATRIX!AA$2:AA$71,10)=ROUND(Y16,10),MODEL_MATRIX!$B$2:$B$71))))</f>
        <v/>
      </c>
    </row>
    <row r="51" spans="1:26" x14ac:dyDescent="0.25">
      <c r="A51" cm="1">
        <f t="array" ref="A51">IF(A17="","",AVERAGE(IF(MODEL_MATRIX!C$2:C$71="","",IF(ROUND(MODEL_MATRIX!C$2:C$71,10)=ROUND(A17,10),MODEL_MATRIX!$B$2:$B$71))))</f>
        <v>5.5126858468749997</v>
      </c>
      <c r="B51" cm="1">
        <f t="array" ref="B51">IF(B17="","",AVERAGE(IF(MODEL_MATRIX!D$2:D$71="","",IF(ROUND(MODEL_MATRIX!D$2:D$71,10)=ROUND(B17,10),MODEL_MATRIX!$B$2:$B$71))))</f>
        <v>7.0726215500000009</v>
      </c>
      <c r="C51" cm="1">
        <f t="array" ref="C51">IF(C17="","",AVERAGE(IF(MODEL_MATRIX!E$2:E$71="","",IF(ROUND(MODEL_MATRIX!E$2:E$71,10)=ROUND(C17,10),MODEL_MATRIX!$B$2:$B$71))))</f>
        <v>6.4569191593749995</v>
      </c>
      <c r="D51" cm="1">
        <f t="array" ref="D51">IF(D17="","",AVERAGE(IF(MODEL_MATRIX!F$2:F$71="","",IF(ROUND(MODEL_MATRIX!F$2:F$71,10)=ROUND(D17,10),MODEL_MATRIX!$B$2:$B$71))))</f>
        <v>5.6290649562499997</v>
      </c>
      <c r="E51" cm="1">
        <f t="array" ref="E51">IF(E17="","",AVERAGE(IF(MODEL_MATRIX!G$2:G$71="","",IF(ROUND(MODEL_MATRIX!G$2:G$71,10)=ROUND(E17,10),MODEL_MATRIX!$B$2:$B$71))))</f>
        <v>6.4077625656249992</v>
      </c>
      <c r="F51" t="str" cm="1">
        <f t="array" ref="F51">IF(F17="","",AVERAGE(IF(MODEL_MATRIX!H$2:H$71="","",IF(ROUND(MODEL_MATRIX!H$2:H$71,10)=ROUND(F17,10),MODEL_MATRIX!$B$2:$B$71))))</f>
        <v/>
      </c>
      <c r="G51" t="str" cm="1">
        <f t="array" ref="G51">IF(G17="","",AVERAGE(IF(MODEL_MATRIX!I$2:I$71="","",IF(ROUND(MODEL_MATRIX!I$2:I$71,10)=ROUND(G17,10),MODEL_MATRIX!$B$2:$B$71))))</f>
        <v/>
      </c>
      <c r="H51" t="str" cm="1">
        <f t="array" ref="H51">IF(H17="","",AVERAGE(IF(MODEL_MATRIX!J$2:J$71="","",IF(ROUND(MODEL_MATRIX!J$2:J$71,10)=ROUND(H17,10),MODEL_MATRIX!$B$2:$B$71))))</f>
        <v/>
      </c>
      <c r="I51" t="str" cm="1">
        <f t="array" ref="I51">IF(I17="","",AVERAGE(IF(MODEL_MATRIX!K$2:K$71="","",IF(ROUND(MODEL_MATRIX!K$2:K$71,10)=ROUND(I17,10),MODEL_MATRIX!$B$2:$B$71))))</f>
        <v/>
      </c>
      <c r="J51" t="str" cm="1">
        <f t="array" ref="J51">IF(J17="","",AVERAGE(IF(MODEL_MATRIX!L$2:L$71="","",IF(ROUND(MODEL_MATRIX!L$2:L$71,10)=ROUND(J17,10),MODEL_MATRIX!$B$2:$B$71))))</f>
        <v/>
      </c>
      <c r="K51" t="str" cm="1">
        <f t="array" ref="K51">IF(K17="","",AVERAGE(IF(MODEL_MATRIX!M$2:M$71="","",IF(ROUND(MODEL_MATRIX!M$2:M$71,10)=ROUND(K17,10),MODEL_MATRIX!$B$2:$B$71))))</f>
        <v/>
      </c>
      <c r="L51" t="str" cm="1">
        <f t="array" ref="L51">IF(L17="","",AVERAGE(IF(MODEL_MATRIX!N$2:N$71="","",IF(ROUND(MODEL_MATRIX!N$2:N$71,10)=ROUND(L17,10),MODEL_MATRIX!$B$2:$B$71))))</f>
        <v/>
      </c>
      <c r="M51" t="str" cm="1">
        <f t="array" ref="M51">IF(M17="","",AVERAGE(IF(MODEL_MATRIX!O$2:O$71="","",IF(ROUND(MODEL_MATRIX!O$2:O$71,10)=ROUND(M17,10),MODEL_MATRIX!$B$2:$B$71))))</f>
        <v/>
      </c>
      <c r="N51" t="str" cm="1">
        <f t="array" ref="N51">IF(N17="","",AVERAGE(IF(MODEL_MATRIX!P$2:P$71="","",IF(ROUND(MODEL_MATRIX!P$2:P$71,10)=ROUND(N17,10),MODEL_MATRIX!$B$2:$B$71))))</f>
        <v/>
      </c>
      <c r="O51" t="str" cm="1">
        <f t="array" ref="O51">IF(O17="","",AVERAGE(IF(MODEL_MATRIX!Q$2:Q$71="","",IF(ROUND(MODEL_MATRIX!Q$2:Q$71,10)=ROUND(O17,10),MODEL_MATRIX!$B$2:$B$71))))</f>
        <v/>
      </c>
      <c r="P51" t="str" cm="1">
        <f t="array" ref="P51">IF(P17="","",AVERAGE(IF(MODEL_MATRIX!R$2:R$71="","",IF(ROUND(MODEL_MATRIX!R$2:R$71,10)=ROUND(P17,10),MODEL_MATRIX!$B$2:$B$71))))</f>
        <v/>
      </c>
      <c r="Q51" t="str" cm="1">
        <f t="array" ref="Q51">IF(Q17="","",AVERAGE(IF(MODEL_MATRIX!S$2:S$71="","",IF(ROUND(MODEL_MATRIX!S$2:S$71,10)=ROUND(Q17,10),MODEL_MATRIX!$B$2:$B$71))))</f>
        <v/>
      </c>
      <c r="R51" t="str" cm="1">
        <f t="array" ref="R51">IF(R17="","",AVERAGE(IF(MODEL_MATRIX!T$2:T$71="","",IF(ROUND(MODEL_MATRIX!T$2:T$71,10)=ROUND(R17,10),MODEL_MATRIX!$B$2:$B$71))))</f>
        <v/>
      </c>
      <c r="S51" t="str" cm="1">
        <f t="array" ref="S51">IF(S17="","",AVERAGE(IF(MODEL_MATRIX!U$2:U$71="","",IF(ROUND(MODEL_MATRIX!U$2:U$71,10)=ROUND(S17,10),MODEL_MATRIX!$B$2:$B$71))))</f>
        <v/>
      </c>
      <c r="T51" t="str" cm="1">
        <f t="array" ref="T51">IF(T17="","",AVERAGE(IF(MODEL_MATRIX!V$2:V$71="","",IF(ROUND(MODEL_MATRIX!V$2:V$71,10)=ROUND(T17,10),MODEL_MATRIX!$B$2:$B$71))))</f>
        <v/>
      </c>
      <c r="U51" t="str" cm="1">
        <f t="array" ref="U51">IF(U17="","",AVERAGE(IF(MODEL_MATRIX!W$2:W$71="","",IF(ROUND(MODEL_MATRIX!W$2:W$71,10)=ROUND(U17,10),MODEL_MATRIX!$B$2:$B$71))))</f>
        <v/>
      </c>
      <c r="V51" t="str" cm="1">
        <f t="array" ref="V51">IF(V17="","",AVERAGE(IF(MODEL_MATRIX!X$2:X$71="","",IF(ROUND(MODEL_MATRIX!X$2:X$71,10)=ROUND(V17,10),MODEL_MATRIX!$B$2:$B$71))))</f>
        <v/>
      </c>
      <c r="W51" t="str" cm="1">
        <f t="array" ref="W51">IF(W17="","",AVERAGE(IF(MODEL_MATRIX!Y$2:Y$71="","",IF(ROUND(MODEL_MATRIX!Y$2:Y$71,10)=ROUND(W17,10),MODEL_MATRIX!$B$2:$B$71))))</f>
        <v/>
      </c>
      <c r="X51" t="str" cm="1">
        <f t="array" ref="X51">IF(X17="","",AVERAGE(IF(MODEL_MATRIX!Z$2:Z$71="","",IF(ROUND(MODEL_MATRIX!Z$2:Z$71,10)=ROUND(X17,10),MODEL_MATRIX!$B$2:$B$71))))</f>
        <v/>
      </c>
      <c r="Y51" t="str" cm="1">
        <f t="array" ref="Y51">IF(Y17="","",AVERAGE(IF(MODEL_MATRIX!AA$2:AA$71="","",IF(ROUND(MODEL_MATRIX!AA$2:AA$71,10)=ROUND(Y17,10),MODEL_MATRIX!$B$2:$B$71))))</f>
        <v/>
      </c>
    </row>
    <row r="52" spans="1:26" x14ac:dyDescent="0.25">
      <c r="A52" t="str" cm="1">
        <f t="array" ref="A52">IF(A18="","",AVERAGE(IF(MODEL_MATRIX!C$2:C$71="","",IF(ROUND(MODEL_MATRIX!C$2:C$71,10)=ROUND(A18,10),MODEL_MATRIX!$B$2:$B$71))))</f>
        <v/>
      </c>
      <c r="B52" t="str" cm="1">
        <f t="array" ref="B52">IF(B18="","",AVERAGE(IF(MODEL_MATRIX!D$2:D$71="","",IF(ROUND(MODEL_MATRIX!D$2:D$71,10)=ROUND(B18,10),MODEL_MATRIX!$B$2:$B$71))))</f>
        <v/>
      </c>
      <c r="C52" t="str" cm="1">
        <f t="array" ref="C52">IF(C18="","",AVERAGE(IF(MODEL_MATRIX!E$2:E$71="","",IF(ROUND(MODEL_MATRIX!E$2:E$71,10)=ROUND(C18,10),MODEL_MATRIX!$B$2:$B$71))))</f>
        <v/>
      </c>
      <c r="D52" t="str" cm="1">
        <f t="array" ref="D52">IF(D18="","",AVERAGE(IF(MODEL_MATRIX!F$2:F$71="","",IF(ROUND(MODEL_MATRIX!F$2:F$71,10)=ROUND(D18,10),MODEL_MATRIX!$B$2:$B$71))))</f>
        <v/>
      </c>
      <c r="E52" t="str" cm="1">
        <f t="array" ref="E52">IF(E18="","",AVERAGE(IF(MODEL_MATRIX!G$2:G$71="","",IF(ROUND(MODEL_MATRIX!G$2:G$71,10)=ROUND(E18,10),MODEL_MATRIX!$B$2:$B$71))))</f>
        <v/>
      </c>
      <c r="F52" t="str" cm="1">
        <f t="array" ref="F52">IF(F18="","",AVERAGE(IF(MODEL_MATRIX!H$2:H$71="","",IF(ROUND(MODEL_MATRIX!H$2:H$71,10)=ROUND(F18,10),MODEL_MATRIX!$B$2:$B$71))))</f>
        <v/>
      </c>
      <c r="G52" t="str" cm="1">
        <f t="array" ref="G52">IF(G18="","",AVERAGE(IF(MODEL_MATRIX!I$2:I$71="","",IF(ROUND(MODEL_MATRIX!I$2:I$71,10)=ROUND(G18,10),MODEL_MATRIX!$B$2:$B$71))))</f>
        <v/>
      </c>
      <c r="H52" t="str" cm="1">
        <f t="array" ref="H52">IF(H18="","",AVERAGE(IF(MODEL_MATRIX!J$2:J$71="","",IF(ROUND(MODEL_MATRIX!J$2:J$71,10)=ROUND(H18,10),MODEL_MATRIX!$B$2:$B$71))))</f>
        <v/>
      </c>
      <c r="I52" t="str" cm="1">
        <f t="array" ref="I52">IF(I18="","",AVERAGE(IF(MODEL_MATRIX!K$2:K$71="","",IF(ROUND(MODEL_MATRIX!K$2:K$71,10)=ROUND(I18,10),MODEL_MATRIX!$B$2:$B$71))))</f>
        <v/>
      </c>
      <c r="J52" t="str" cm="1">
        <f t="array" ref="J52">IF(J18="","",AVERAGE(IF(MODEL_MATRIX!L$2:L$71="","",IF(ROUND(MODEL_MATRIX!L$2:L$71,10)=ROUND(J18,10),MODEL_MATRIX!$B$2:$B$71))))</f>
        <v/>
      </c>
      <c r="K52" t="str" cm="1">
        <f t="array" ref="K52">IF(K18="","",AVERAGE(IF(MODEL_MATRIX!M$2:M$71="","",IF(ROUND(MODEL_MATRIX!M$2:M$71,10)=ROUND(K18,10),MODEL_MATRIX!$B$2:$B$71))))</f>
        <v/>
      </c>
      <c r="L52" t="str" cm="1">
        <f t="array" ref="L52">IF(L18="","",AVERAGE(IF(MODEL_MATRIX!N$2:N$71="","",IF(ROUND(MODEL_MATRIX!N$2:N$71,10)=ROUND(L18,10),MODEL_MATRIX!$B$2:$B$71))))</f>
        <v/>
      </c>
      <c r="M52" t="str" cm="1">
        <f t="array" ref="M52">IF(M18="","",AVERAGE(IF(MODEL_MATRIX!O$2:O$71="","",IF(ROUND(MODEL_MATRIX!O$2:O$71,10)=ROUND(M18,10),MODEL_MATRIX!$B$2:$B$71))))</f>
        <v/>
      </c>
      <c r="N52" t="str" cm="1">
        <f t="array" ref="N52">IF(N18="","",AVERAGE(IF(MODEL_MATRIX!P$2:P$71="","",IF(ROUND(MODEL_MATRIX!P$2:P$71,10)=ROUND(N18,10),MODEL_MATRIX!$B$2:$B$71))))</f>
        <v/>
      </c>
      <c r="O52" t="str" cm="1">
        <f t="array" ref="O52">IF(O18="","",AVERAGE(IF(MODEL_MATRIX!Q$2:Q$71="","",IF(ROUND(MODEL_MATRIX!Q$2:Q$71,10)=ROUND(O18,10),MODEL_MATRIX!$B$2:$B$71))))</f>
        <v/>
      </c>
      <c r="P52" t="str" cm="1">
        <f t="array" ref="P52">IF(P18="","",AVERAGE(IF(MODEL_MATRIX!R$2:R$71="","",IF(ROUND(MODEL_MATRIX!R$2:R$71,10)=ROUND(P18,10),MODEL_MATRIX!$B$2:$B$71))))</f>
        <v/>
      </c>
      <c r="Q52" t="str" cm="1">
        <f t="array" ref="Q52">IF(Q18="","",AVERAGE(IF(MODEL_MATRIX!S$2:S$71="","",IF(ROUND(MODEL_MATRIX!S$2:S$71,10)=ROUND(Q18,10),MODEL_MATRIX!$B$2:$B$71))))</f>
        <v/>
      </c>
      <c r="R52" t="str" cm="1">
        <f t="array" ref="R52">IF(R18="","",AVERAGE(IF(MODEL_MATRIX!T$2:T$71="","",IF(ROUND(MODEL_MATRIX!T$2:T$71,10)=ROUND(R18,10),MODEL_MATRIX!$B$2:$B$71))))</f>
        <v/>
      </c>
      <c r="S52" t="str" cm="1">
        <f t="array" ref="S52">IF(S18="","",AVERAGE(IF(MODEL_MATRIX!U$2:U$71="","",IF(ROUND(MODEL_MATRIX!U$2:U$71,10)=ROUND(S18,10),MODEL_MATRIX!$B$2:$B$71))))</f>
        <v/>
      </c>
      <c r="T52" t="str" cm="1">
        <f t="array" ref="T52">IF(T18="","",AVERAGE(IF(MODEL_MATRIX!V$2:V$71="","",IF(ROUND(MODEL_MATRIX!V$2:V$71,10)=ROUND(T18,10),MODEL_MATRIX!$B$2:$B$71))))</f>
        <v/>
      </c>
      <c r="U52" t="str" cm="1">
        <f t="array" ref="U52">IF(U18="","",AVERAGE(IF(MODEL_MATRIX!W$2:W$71="","",IF(ROUND(MODEL_MATRIX!W$2:W$71,10)=ROUND(U18,10),MODEL_MATRIX!$B$2:$B$71))))</f>
        <v/>
      </c>
      <c r="V52" t="str" cm="1">
        <f t="array" ref="V52">IF(V18="","",AVERAGE(IF(MODEL_MATRIX!X$2:X$71="","",IF(ROUND(MODEL_MATRIX!X$2:X$71,10)=ROUND(V18,10),MODEL_MATRIX!$B$2:$B$71))))</f>
        <v/>
      </c>
      <c r="W52" t="str" cm="1">
        <f t="array" ref="W52">IF(W18="","",AVERAGE(IF(MODEL_MATRIX!Y$2:Y$71="","",IF(ROUND(MODEL_MATRIX!Y$2:Y$71,10)=ROUND(W18,10),MODEL_MATRIX!$B$2:$B$71))))</f>
        <v/>
      </c>
      <c r="X52" t="str" cm="1">
        <f t="array" ref="X52">IF(X18="","",AVERAGE(IF(MODEL_MATRIX!Z$2:Z$71="","",IF(ROUND(MODEL_MATRIX!Z$2:Z$71,10)=ROUND(X18,10),MODEL_MATRIX!$B$2:$B$71))))</f>
        <v/>
      </c>
      <c r="Y52" t="str" cm="1">
        <f t="array" ref="Y52">IF(Y18="","",AVERAGE(IF(MODEL_MATRIX!AA$2:AA$71="","",IF(ROUND(MODEL_MATRIX!AA$2:AA$71,10)=ROUND(Y18,10),MODEL_MATRIX!$B$2:$B$71))))</f>
        <v/>
      </c>
    </row>
    <row r="53" spans="1:26" x14ac:dyDescent="0.25">
      <c r="A53" t="str" cm="1">
        <f t="array" ref="A53">IF(A19="","",AVERAGE(IF(MODEL_MATRIX!C$2:C$71="","",IF(ROUND(MODEL_MATRIX!C$2:C$71,10)=ROUND(A19,10),MODEL_MATRIX!$B$2:$B$71))))</f>
        <v/>
      </c>
      <c r="B53" t="str" cm="1">
        <f t="array" ref="B53">IF(B19="","",AVERAGE(IF(MODEL_MATRIX!D$2:D$71="","",IF(ROUND(MODEL_MATRIX!D$2:D$71,10)=ROUND(B19,10),MODEL_MATRIX!$B$2:$B$71))))</f>
        <v/>
      </c>
      <c r="C53" t="str" cm="1">
        <f t="array" ref="C53">IF(C19="","",AVERAGE(IF(MODEL_MATRIX!E$2:E$71="","",IF(ROUND(MODEL_MATRIX!E$2:E$71,10)=ROUND(C19,10),MODEL_MATRIX!$B$2:$B$71))))</f>
        <v/>
      </c>
      <c r="D53" t="str" cm="1">
        <f t="array" ref="D53">IF(D19="","",AVERAGE(IF(MODEL_MATRIX!F$2:F$71="","",IF(ROUND(MODEL_MATRIX!F$2:F$71,10)=ROUND(D19,10),MODEL_MATRIX!$B$2:$B$71))))</f>
        <v/>
      </c>
      <c r="E53" t="str" cm="1">
        <f t="array" ref="E53">IF(E19="","",AVERAGE(IF(MODEL_MATRIX!G$2:G$71="","",IF(ROUND(MODEL_MATRIX!G$2:G$71,10)=ROUND(E19,10),MODEL_MATRIX!$B$2:$B$71))))</f>
        <v/>
      </c>
      <c r="F53" t="str" cm="1">
        <f t="array" ref="F53">IF(F19="","",AVERAGE(IF(MODEL_MATRIX!H$2:H$71="","",IF(ROUND(MODEL_MATRIX!H$2:H$71,10)=ROUND(F19,10),MODEL_MATRIX!$B$2:$B$71))))</f>
        <v/>
      </c>
      <c r="G53" t="str" cm="1">
        <f t="array" ref="G53">IF(G19="","",AVERAGE(IF(MODEL_MATRIX!I$2:I$71="","",IF(ROUND(MODEL_MATRIX!I$2:I$71,10)=ROUND(G19,10),MODEL_MATRIX!$B$2:$B$71))))</f>
        <v/>
      </c>
      <c r="H53" t="str" cm="1">
        <f t="array" ref="H53">IF(H19="","",AVERAGE(IF(MODEL_MATRIX!J$2:J$71="","",IF(ROUND(MODEL_MATRIX!J$2:J$71,10)=ROUND(H19,10),MODEL_MATRIX!$B$2:$B$71))))</f>
        <v/>
      </c>
      <c r="I53" t="str" cm="1">
        <f t="array" ref="I53">IF(I19="","",AVERAGE(IF(MODEL_MATRIX!K$2:K$71="","",IF(ROUND(MODEL_MATRIX!K$2:K$71,10)=ROUND(I19,10),MODEL_MATRIX!$B$2:$B$71))))</f>
        <v/>
      </c>
      <c r="J53" t="str" cm="1">
        <f t="array" ref="J53">IF(J19="","",AVERAGE(IF(MODEL_MATRIX!L$2:L$71="","",IF(ROUND(MODEL_MATRIX!L$2:L$71,10)=ROUND(J19,10),MODEL_MATRIX!$B$2:$B$71))))</f>
        <v/>
      </c>
      <c r="K53" t="str" cm="1">
        <f t="array" ref="K53">IF(K19="","",AVERAGE(IF(MODEL_MATRIX!M$2:M$71="","",IF(ROUND(MODEL_MATRIX!M$2:M$71,10)=ROUND(K19,10),MODEL_MATRIX!$B$2:$B$71))))</f>
        <v/>
      </c>
      <c r="L53" t="str" cm="1">
        <f t="array" ref="L53">IF(L19="","",AVERAGE(IF(MODEL_MATRIX!N$2:N$71="","",IF(ROUND(MODEL_MATRIX!N$2:N$71,10)=ROUND(L19,10),MODEL_MATRIX!$B$2:$B$71))))</f>
        <v/>
      </c>
      <c r="M53" t="str" cm="1">
        <f t="array" ref="M53">IF(M19="","",AVERAGE(IF(MODEL_MATRIX!O$2:O$71="","",IF(ROUND(MODEL_MATRIX!O$2:O$71,10)=ROUND(M19,10),MODEL_MATRIX!$B$2:$B$71))))</f>
        <v/>
      </c>
      <c r="N53" t="str" cm="1">
        <f t="array" ref="N53">IF(N19="","",AVERAGE(IF(MODEL_MATRIX!P$2:P$71="","",IF(ROUND(MODEL_MATRIX!P$2:P$71,10)=ROUND(N19,10),MODEL_MATRIX!$B$2:$B$71))))</f>
        <v/>
      </c>
      <c r="O53" t="str" cm="1">
        <f t="array" ref="O53">IF(O19="","",AVERAGE(IF(MODEL_MATRIX!Q$2:Q$71="","",IF(ROUND(MODEL_MATRIX!Q$2:Q$71,10)=ROUND(O19,10),MODEL_MATRIX!$B$2:$B$71))))</f>
        <v/>
      </c>
      <c r="P53" t="str" cm="1">
        <f t="array" ref="P53">IF(P19="","",AVERAGE(IF(MODEL_MATRIX!R$2:R$71="","",IF(ROUND(MODEL_MATRIX!R$2:R$71,10)=ROUND(P19,10),MODEL_MATRIX!$B$2:$B$71))))</f>
        <v/>
      </c>
      <c r="Q53" t="str" cm="1">
        <f t="array" ref="Q53">IF(Q19="","",AVERAGE(IF(MODEL_MATRIX!S$2:S$71="","",IF(ROUND(MODEL_MATRIX!S$2:S$71,10)=ROUND(Q19,10),MODEL_MATRIX!$B$2:$B$71))))</f>
        <v/>
      </c>
      <c r="R53" t="str" cm="1">
        <f t="array" ref="R53">IF(R19="","",AVERAGE(IF(MODEL_MATRIX!T$2:T$71="","",IF(ROUND(MODEL_MATRIX!T$2:T$71,10)=ROUND(R19,10),MODEL_MATRIX!$B$2:$B$71))))</f>
        <v/>
      </c>
      <c r="S53" t="str" cm="1">
        <f t="array" ref="S53">IF(S19="","",AVERAGE(IF(MODEL_MATRIX!U$2:U$71="","",IF(ROUND(MODEL_MATRIX!U$2:U$71,10)=ROUND(S19,10),MODEL_MATRIX!$B$2:$B$71))))</f>
        <v/>
      </c>
      <c r="T53" t="str" cm="1">
        <f t="array" ref="T53">IF(T19="","",AVERAGE(IF(MODEL_MATRIX!V$2:V$71="","",IF(ROUND(MODEL_MATRIX!V$2:V$71,10)=ROUND(T19,10),MODEL_MATRIX!$B$2:$B$71))))</f>
        <v/>
      </c>
      <c r="U53" t="str" cm="1">
        <f t="array" ref="U53">IF(U19="","",AVERAGE(IF(MODEL_MATRIX!W$2:W$71="","",IF(ROUND(MODEL_MATRIX!W$2:W$71,10)=ROUND(U19,10),MODEL_MATRIX!$B$2:$B$71))))</f>
        <v/>
      </c>
      <c r="V53" t="str" cm="1">
        <f t="array" ref="V53">IF(V19="","",AVERAGE(IF(MODEL_MATRIX!X$2:X$71="","",IF(ROUND(MODEL_MATRIX!X$2:X$71,10)=ROUND(V19,10),MODEL_MATRIX!$B$2:$B$71))))</f>
        <v/>
      </c>
      <c r="W53" t="str" cm="1">
        <f t="array" ref="W53">IF(W19="","",AVERAGE(IF(MODEL_MATRIX!Y$2:Y$71="","",IF(ROUND(MODEL_MATRIX!Y$2:Y$71,10)=ROUND(W19,10),MODEL_MATRIX!$B$2:$B$71))))</f>
        <v/>
      </c>
      <c r="X53" t="str" cm="1">
        <f t="array" ref="X53">IF(X19="","",AVERAGE(IF(MODEL_MATRIX!Z$2:Z$71="","",IF(ROUND(MODEL_MATRIX!Z$2:Z$71,10)=ROUND(X19,10),MODEL_MATRIX!$B$2:$B$71))))</f>
        <v/>
      </c>
      <c r="Y53" t="str" cm="1">
        <f t="array" ref="Y53">IF(Y19="","",AVERAGE(IF(MODEL_MATRIX!AA$2:AA$71="","",IF(ROUND(MODEL_MATRIX!AA$2:AA$71,10)=ROUND(Y19,10),MODEL_MATRIX!$B$2:$B$71))))</f>
        <v/>
      </c>
    </row>
    <row r="54" spans="1:26" x14ac:dyDescent="0.25">
      <c r="A54" t="str" cm="1">
        <f t="array" ref="A54">IF(A20="","",AVERAGE(IF(MODEL_MATRIX!C$2:C$71="","",IF(ROUND(MODEL_MATRIX!C$2:C$71,10)=ROUND(A20,10),MODEL_MATRIX!$B$2:$B$71))))</f>
        <v/>
      </c>
      <c r="B54" t="str" cm="1">
        <f t="array" ref="B54">IF(B20="","",AVERAGE(IF(MODEL_MATRIX!D$2:D$71="","",IF(ROUND(MODEL_MATRIX!D$2:D$71,10)=ROUND(B20,10),MODEL_MATRIX!$B$2:$B$71))))</f>
        <v/>
      </c>
      <c r="C54" t="str" cm="1">
        <f t="array" ref="C54">IF(C20="","",AVERAGE(IF(MODEL_MATRIX!E$2:E$71="","",IF(ROUND(MODEL_MATRIX!E$2:E$71,10)=ROUND(C20,10),MODEL_MATRIX!$B$2:$B$71))))</f>
        <v/>
      </c>
      <c r="D54" t="str" cm="1">
        <f t="array" ref="D54">IF(D20="","",AVERAGE(IF(MODEL_MATRIX!F$2:F$71="","",IF(ROUND(MODEL_MATRIX!F$2:F$71,10)=ROUND(D20,10),MODEL_MATRIX!$B$2:$B$71))))</f>
        <v/>
      </c>
      <c r="E54" t="str" cm="1">
        <f t="array" ref="E54">IF(E20="","",AVERAGE(IF(MODEL_MATRIX!G$2:G$71="","",IF(ROUND(MODEL_MATRIX!G$2:G$71,10)=ROUND(E20,10),MODEL_MATRIX!$B$2:$B$71))))</f>
        <v/>
      </c>
      <c r="F54" t="str" cm="1">
        <f t="array" ref="F54">IF(F20="","",AVERAGE(IF(MODEL_MATRIX!H$2:H$71="","",IF(ROUND(MODEL_MATRIX!H$2:H$71,10)=ROUND(F20,10),MODEL_MATRIX!$B$2:$B$71))))</f>
        <v/>
      </c>
      <c r="G54" t="str" cm="1">
        <f t="array" ref="G54">IF(G20="","",AVERAGE(IF(MODEL_MATRIX!I$2:I$71="","",IF(ROUND(MODEL_MATRIX!I$2:I$71,10)=ROUND(G20,10),MODEL_MATRIX!$B$2:$B$71))))</f>
        <v/>
      </c>
      <c r="H54" t="str" cm="1">
        <f t="array" ref="H54">IF(H20="","",AVERAGE(IF(MODEL_MATRIX!J$2:J$71="","",IF(ROUND(MODEL_MATRIX!J$2:J$71,10)=ROUND(H20,10),MODEL_MATRIX!$B$2:$B$71))))</f>
        <v/>
      </c>
      <c r="I54" t="str" cm="1">
        <f t="array" ref="I54">IF(I20="","",AVERAGE(IF(MODEL_MATRIX!K$2:K$71="","",IF(ROUND(MODEL_MATRIX!K$2:K$71,10)=ROUND(I20,10),MODEL_MATRIX!$B$2:$B$71))))</f>
        <v/>
      </c>
      <c r="J54" t="str" cm="1">
        <f t="array" ref="J54">IF(J20="","",AVERAGE(IF(MODEL_MATRIX!L$2:L$71="","",IF(ROUND(MODEL_MATRIX!L$2:L$71,10)=ROUND(J20,10),MODEL_MATRIX!$B$2:$B$71))))</f>
        <v/>
      </c>
      <c r="K54" t="str" cm="1">
        <f t="array" ref="K54">IF(K20="","",AVERAGE(IF(MODEL_MATRIX!M$2:M$71="","",IF(ROUND(MODEL_MATRIX!M$2:M$71,10)=ROUND(K20,10),MODEL_MATRIX!$B$2:$B$71))))</f>
        <v/>
      </c>
      <c r="L54" t="str" cm="1">
        <f t="array" ref="L54">IF(L20="","",AVERAGE(IF(MODEL_MATRIX!N$2:N$71="","",IF(ROUND(MODEL_MATRIX!N$2:N$71,10)=ROUND(L20,10),MODEL_MATRIX!$B$2:$B$71))))</f>
        <v/>
      </c>
      <c r="M54" t="str" cm="1">
        <f t="array" ref="M54">IF(M20="","",AVERAGE(IF(MODEL_MATRIX!O$2:O$71="","",IF(ROUND(MODEL_MATRIX!O$2:O$71,10)=ROUND(M20,10),MODEL_MATRIX!$B$2:$B$71))))</f>
        <v/>
      </c>
      <c r="N54" t="str" cm="1">
        <f t="array" ref="N54">IF(N20="","",AVERAGE(IF(MODEL_MATRIX!P$2:P$71="","",IF(ROUND(MODEL_MATRIX!P$2:P$71,10)=ROUND(N20,10),MODEL_MATRIX!$B$2:$B$71))))</f>
        <v/>
      </c>
      <c r="O54" t="str" cm="1">
        <f t="array" ref="O54">IF(O20="","",AVERAGE(IF(MODEL_MATRIX!Q$2:Q$71="","",IF(ROUND(MODEL_MATRIX!Q$2:Q$71,10)=ROUND(O20,10),MODEL_MATRIX!$B$2:$B$71))))</f>
        <v/>
      </c>
      <c r="P54" t="str" cm="1">
        <f t="array" ref="P54">IF(P20="","",AVERAGE(IF(MODEL_MATRIX!R$2:R$71="","",IF(ROUND(MODEL_MATRIX!R$2:R$71,10)=ROUND(P20,10),MODEL_MATRIX!$B$2:$B$71))))</f>
        <v/>
      </c>
      <c r="Q54" t="str" cm="1">
        <f t="array" ref="Q54">IF(Q20="","",AVERAGE(IF(MODEL_MATRIX!S$2:S$71="","",IF(ROUND(MODEL_MATRIX!S$2:S$71,10)=ROUND(Q20,10),MODEL_MATRIX!$B$2:$B$71))))</f>
        <v/>
      </c>
      <c r="R54" t="str" cm="1">
        <f t="array" ref="R54">IF(R20="","",AVERAGE(IF(MODEL_MATRIX!T$2:T$71="","",IF(ROUND(MODEL_MATRIX!T$2:T$71,10)=ROUND(R20,10),MODEL_MATRIX!$B$2:$B$71))))</f>
        <v/>
      </c>
      <c r="S54" t="str" cm="1">
        <f t="array" ref="S54">IF(S20="","",AVERAGE(IF(MODEL_MATRIX!U$2:U$71="","",IF(ROUND(MODEL_MATRIX!U$2:U$71,10)=ROUND(S20,10),MODEL_MATRIX!$B$2:$B$71))))</f>
        <v/>
      </c>
      <c r="T54" t="str" cm="1">
        <f t="array" ref="T54">IF(T20="","",AVERAGE(IF(MODEL_MATRIX!V$2:V$71="","",IF(ROUND(MODEL_MATRIX!V$2:V$71,10)=ROUND(T20,10),MODEL_MATRIX!$B$2:$B$71))))</f>
        <v/>
      </c>
      <c r="U54" t="str" cm="1">
        <f t="array" ref="U54">IF(U20="","",AVERAGE(IF(MODEL_MATRIX!W$2:W$71="","",IF(ROUND(MODEL_MATRIX!W$2:W$71,10)=ROUND(U20,10),MODEL_MATRIX!$B$2:$B$71))))</f>
        <v/>
      </c>
      <c r="V54" t="str" cm="1">
        <f t="array" ref="V54">IF(V20="","",AVERAGE(IF(MODEL_MATRIX!X$2:X$71="","",IF(ROUND(MODEL_MATRIX!X$2:X$71,10)=ROUND(V20,10),MODEL_MATRIX!$B$2:$B$71))))</f>
        <v/>
      </c>
      <c r="W54" t="str" cm="1">
        <f t="array" ref="W54">IF(W20="","",AVERAGE(IF(MODEL_MATRIX!Y$2:Y$71="","",IF(ROUND(MODEL_MATRIX!Y$2:Y$71,10)=ROUND(W20,10),MODEL_MATRIX!$B$2:$B$71))))</f>
        <v/>
      </c>
      <c r="X54" t="str" cm="1">
        <f t="array" ref="X54">IF(X20="","",AVERAGE(IF(MODEL_MATRIX!Z$2:Z$71="","",IF(ROUND(MODEL_MATRIX!Z$2:Z$71,10)=ROUND(X20,10),MODEL_MATRIX!$B$2:$B$71))))</f>
        <v/>
      </c>
      <c r="Y54" t="str" cm="1">
        <f t="array" ref="Y54">IF(Y20="","",AVERAGE(IF(MODEL_MATRIX!AA$2:AA$71="","",IF(ROUND(MODEL_MATRIX!AA$2:AA$71,10)=ROUND(Y20,10),MODEL_MATRIX!$B$2:$B$71))))</f>
        <v/>
      </c>
    </row>
    <row r="55" spans="1:26" x14ac:dyDescent="0.25">
      <c r="A55" t="str" cm="1">
        <f t="array" ref="A55">IF(A21="","",AVERAGE(IF(MODEL_MATRIX!C$2:C$71="","",IF(ROUND(MODEL_MATRIX!C$2:C$71,10)=ROUND(A21,10),MODEL_MATRIX!$B$2:$B$71))))</f>
        <v/>
      </c>
      <c r="B55" t="str" cm="1">
        <f t="array" ref="B55">IF(B21="","",AVERAGE(IF(MODEL_MATRIX!D$2:D$71="","",IF(ROUND(MODEL_MATRIX!D$2:D$71,10)=ROUND(B21,10),MODEL_MATRIX!$B$2:$B$71))))</f>
        <v/>
      </c>
      <c r="C55" t="str" cm="1">
        <f t="array" ref="C55">IF(C21="","",AVERAGE(IF(MODEL_MATRIX!E$2:E$71="","",IF(ROUND(MODEL_MATRIX!E$2:E$71,10)=ROUND(C21,10),MODEL_MATRIX!$B$2:$B$71))))</f>
        <v/>
      </c>
      <c r="D55" t="str" cm="1">
        <f t="array" ref="D55">IF(D21="","",AVERAGE(IF(MODEL_MATRIX!F$2:F$71="","",IF(ROUND(MODEL_MATRIX!F$2:F$71,10)=ROUND(D21,10),MODEL_MATRIX!$B$2:$B$71))))</f>
        <v/>
      </c>
      <c r="E55" t="str" cm="1">
        <f t="array" ref="E55">IF(E21="","",AVERAGE(IF(MODEL_MATRIX!G$2:G$71="","",IF(ROUND(MODEL_MATRIX!G$2:G$71,10)=ROUND(E21,10),MODEL_MATRIX!$B$2:$B$71))))</f>
        <v/>
      </c>
      <c r="F55" t="str" cm="1">
        <f t="array" ref="F55">IF(F21="","",AVERAGE(IF(MODEL_MATRIX!H$2:H$71="","",IF(ROUND(MODEL_MATRIX!H$2:H$71,10)=ROUND(F21,10),MODEL_MATRIX!$B$2:$B$71))))</f>
        <v/>
      </c>
      <c r="G55" t="str" cm="1">
        <f t="array" ref="G55">IF(G21="","",AVERAGE(IF(MODEL_MATRIX!I$2:I$71="","",IF(ROUND(MODEL_MATRIX!I$2:I$71,10)=ROUND(G21,10),MODEL_MATRIX!$B$2:$B$71))))</f>
        <v/>
      </c>
      <c r="H55" t="str" cm="1">
        <f t="array" ref="H55">IF(H21="","",AVERAGE(IF(MODEL_MATRIX!J$2:J$71="","",IF(ROUND(MODEL_MATRIX!J$2:J$71,10)=ROUND(H21,10),MODEL_MATRIX!$B$2:$B$71))))</f>
        <v/>
      </c>
      <c r="I55" t="str" cm="1">
        <f t="array" ref="I55">IF(I21="","",AVERAGE(IF(MODEL_MATRIX!K$2:K$71="","",IF(ROUND(MODEL_MATRIX!K$2:K$71,10)=ROUND(I21,10),MODEL_MATRIX!$B$2:$B$71))))</f>
        <v/>
      </c>
      <c r="J55" t="str" cm="1">
        <f t="array" ref="J55">IF(J21="","",AVERAGE(IF(MODEL_MATRIX!L$2:L$71="","",IF(ROUND(MODEL_MATRIX!L$2:L$71,10)=ROUND(J21,10),MODEL_MATRIX!$B$2:$B$71))))</f>
        <v/>
      </c>
      <c r="K55" t="str" cm="1">
        <f t="array" ref="K55">IF(K21="","",AVERAGE(IF(MODEL_MATRIX!M$2:M$71="","",IF(ROUND(MODEL_MATRIX!M$2:M$71,10)=ROUND(K21,10),MODEL_MATRIX!$B$2:$B$71))))</f>
        <v/>
      </c>
      <c r="L55" t="str" cm="1">
        <f t="array" ref="L55">IF(L21="","",AVERAGE(IF(MODEL_MATRIX!N$2:N$71="","",IF(ROUND(MODEL_MATRIX!N$2:N$71,10)=ROUND(L21,10),MODEL_MATRIX!$B$2:$B$71))))</f>
        <v/>
      </c>
      <c r="M55" t="str" cm="1">
        <f t="array" ref="M55">IF(M21="","",AVERAGE(IF(MODEL_MATRIX!O$2:O$71="","",IF(ROUND(MODEL_MATRIX!O$2:O$71,10)=ROUND(M21,10),MODEL_MATRIX!$B$2:$B$71))))</f>
        <v/>
      </c>
      <c r="N55" t="str" cm="1">
        <f t="array" ref="N55">IF(N21="","",AVERAGE(IF(MODEL_MATRIX!P$2:P$71="","",IF(ROUND(MODEL_MATRIX!P$2:P$71,10)=ROUND(N21,10),MODEL_MATRIX!$B$2:$B$71))))</f>
        <v/>
      </c>
      <c r="O55" t="str" cm="1">
        <f t="array" ref="O55">IF(O21="","",AVERAGE(IF(MODEL_MATRIX!Q$2:Q$71="","",IF(ROUND(MODEL_MATRIX!Q$2:Q$71,10)=ROUND(O21,10),MODEL_MATRIX!$B$2:$B$71))))</f>
        <v/>
      </c>
      <c r="P55" t="str" cm="1">
        <f t="array" ref="P55">IF(P21="","",AVERAGE(IF(MODEL_MATRIX!R$2:R$71="","",IF(ROUND(MODEL_MATRIX!R$2:R$71,10)=ROUND(P21,10),MODEL_MATRIX!$B$2:$B$71))))</f>
        <v/>
      </c>
      <c r="Q55" t="str" cm="1">
        <f t="array" ref="Q55">IF(Q21="","",AVERAGE(IF(MODEL_MATRIX!S$2:S$71="","",IF(ROUND(MODEL_MATRIX!S$2:S$71,10)=ROUND(Q21,10),MODEL_MATRIX!$B$2:$B$71))))</f>
        <v/>
      </c>
      <c r="R55" t="str" cm="1">
        <f t="array" ref="R55">IF(R21="","",AVERAGE(IF(MODEL_MATRIX!T$2:T$71="","",IF(ROUND(MODEL_MATRIX!T$2:T$71,10)=ROUND(R21,10),MODEL_MATRIX!$B$2:$B$71))))</f>
        <v/>
      </c>
      <c r="S55" t="str" cm="1">
        <f t="array" ref="S55">IF(S21="","",AVERAGE(IF(MODEL_MATRIX!U$2:U$71="","",IF(ROUND(MODEL_MATRIX!U$2:U$71,10)=ROUND(S21,10),MODEL_MATRIX!$B$2:$B$71))))</f>
        <v/>
      </c>
      <c r="T55" t="str" cm="1">
        <f t="array" ref="T55">IF(T21="","",AVERAGE(IF(MODEL_MATRIX!V$2:V$71="","",IF(ROUND(MODEL_MATRIX!V$2:V$71,10)=ROUND(T21,10),MODEL_MATRIX!$B$2:$B$71))))</f>
        <v/>
      </c>
      <c r="U55" t="str" cm="1">
        <f t="array" ref="U55">IF(U21="","",AVERAGE(IF(MODEL_MATRIX!W$2:W$71="","",IF(ROUND(MODEL_MATRIX!W$2:W$71,10)=ROUND(U21,10),MODEL_MATRIX!$B$2:$B$71))))</f>
        <v/>
      </c>
      <c r="V55" t="str" cm="1">
        <f t="array" ref="V55">IF(V21="","",AVERAGE(IF(MODEL_MATRIX!X$2:X$71="","",IF(ROUND(MODEL_MATRIX!X$2:X$71,10)=ROUND(V21,10),MODEL_MATRIX!$B$2:$B$71))))</f>
        <v/>
      </c>
      <c r="W55" t="str" cm="1">
        <f t="array" ref="W55">IF(W21="","",AVERAGE(IF(MODEL_MATRIX!Y$2:Y$71="","",IF(ROUND(MODEL_MATRIX!Y$2:Y$71,10)=ROUND(W21,10),MODEL_MATRIX!$B$2:$B$71))))</f>
        <v/>
      </c>
      <c r="X55" t="str" cm="1">
        <f t="array" ref="X55">IF(X21="","",AVERAGE(IF(MODEL_MATRIX!Z$2:Z$71="","",IF(ROUND(MODEL_MATRIX!Z$2:Z$71,10)=ROUND(X21,10),MODEL_MATRIX!$B$2:$B$71))))</f>
        <v/>
      </c>
      <c r="Y55" t="str" cm="1">
        <f t="array" ref="Y55">IF(Y21="","",AVERAGE(IF(MODEL_MATRIX!AA$2:AA$71="","",IF(ROUND(MODEL_MATRIX!AA$2:AA$71,10)=ROUND(Y21,10),MODEL_MATRIX!$B$2:$B$71))))</f>
        <v/>
      </c>
    </row>
    <row r="56" spans="1:26" x14ac:dyDescent="0.25">
      <c r="A56" t="str" cm="1">
        <f t="array" ref="A56">IF(A22="","",AVERAGE(IF(MODEL_MATRIX!C$2:C$71="","",IF(ROUND(MODEL_MATRIX!C$2:C$71,10)=ROUND(A22,10),MODEL_MATRIX!$B$2:$B$71))))</f>
        <v/>
      </c>
      <c r="B56" t="str" cm="1">
        <f t="array" ref="B56">IF(B22="","",AVERAGE(IF(MODEL_MATRIX!D$2:D$71="","",IF(ROUND(MODEL_MATRIX!D$2:D$71,10)=ROUND(B22,10),MODEL_MATRIX!$B$2:$B$71))))</f>
        <v/>
      </c>
      <c r="C56" t="str" cm="1">
        <f t="array" ref="C56">IF(C22="","",AVERAGE(IF(MODEL_MATRIX!E$2:E$71="","",IF(ROUND(MODEL_MATRIX!E$2:E$71,10)=ROUND(C22,10),MODEL_MATRIX!$B$2:$B$71))))</f>
        <v/>
      </c>
      <c r="D56" t="str" cm="1">
        <f t="array" ref="D56">IF(D22="","",AVERAGE(IF(MODEL_MATRIX!F$2:F$71="","",IF(ROUND(MODEL_MATRIX!F$2:F$71,10)=ROUND(D22,10),MODEL_MATRIX!$B$2:$B$71))))</f>
        <v/>
      </c>
      <c r="E56" t="str" cm="1">
        <f t="array" ref="E56">IF(E22="","",AVERAGE(IF(MODEL_MATRIX!G$2:G$71="","",IF(ROUND(MODEL_MATRIX!G$2:G$71,10)=ROUND(E22,10),MODEL_MATRIX!$B$2:$B$71))))</f>
        <v/>
      </c>
      <c r="F56" t="str" cm="1">
        <f t="array" ref="F56">IF(F22="","",AVERAGE(IF(MODEL_MATRIX!H$2:H$71="","",IF(ROUND(MODEL_MATRIX!H$2:H$71,10)=ROUND(F22,10),MODEL_MATRIX!$B$2:$B$71))))</f>
        <v/>
      </c>
      <c r="G56" t="str" cm="1">
        <f t="array" ref="G56">IF(G22="","",AVERAGE(IF(MODEL_MATRIX!I$2:I$71="","",IF(ROUND(MODEL_MATRIX!I$2:I$71,10)=ROUND(G22,10),MODEL_MATRIX!$B$2:$B$71))))</f>
        <v/>
      </c>
      <c r="H56" t="str" cm="1">
        <f t="array" ref="H56">IF(H22="","",AVERAGE(IF(MODEL_MATRIX!J$2:J$71="","",IF(ROUND(MODEL_MATRIX!J$2:J$71,10)=ROUND(H22,10),MODEL_MATRIX!$B$2:$B$71))))</f>
        <v/>
      </c>
      <c r="I56" t="str" cm="1">
        <f t="array" ref="I56">IF(I22="","",AVERAGE(IF(MODEL_MATRIX!K$2:K$71="","",IF(ROUND(MODEL_MATRIX!K$2:K$71,10)=ROUND(I22,10),MODEL_MATRIX!$B$2:$B$71))))</f>
        <v/>
      </c>
      <c r="J56" t="str" cm="1">
        <f t="array" ref="J56">IF(J22="","",AVERAGE(IF(MODEL_MATRIX!L$2:L$71="","",IF(ROUND(MODEL_MATRIX!L$2:L$71,10)=ROUND(J22,10),MODEL_MATRIX!$B$2:$B$71))))</f>
        <v/>
      </c>
      <c r="K56" t="str" cm="1">
        <f t="array" ref="K56">IF(K22="","",AVERAGE(IF(MODEL_MATRIX!M$2:M$71="","",IF(ROUND(MODEL_MATRIX!M$2:M$71,10)=ROUND(K22,10),MODEL_MATRIX!$B$2:$B$71))))</f>
        <v/>
      </c>
      <c r="L56" t="str" cm="1">
        <f t="array" ref="L56">IF(L22="","",AVERAGE(IF(MODEL_MATRIX!N$2:N$71="","",IF(ROUND(MODEL_MATRIX!N$2:N$71,10)=ROUND(L22,10),MODEL_MATRIX!$B$2:$B$71))))</f>
        <v/>
      </c>
      <c r="M56" t="str" cm="1">
        <f t="array" ref="M56">IF(M22="","",AVERAGE(IF(MODEL_MATRIX!O$2:O$71="","",IF(ROUND(MODEL_MATRIX!O$2:O$71,10)=ROUND(M22,10),MODEL_MATRIX!$B$2:$B$71))))</f>
        <v/>
      </c>
      <c r="N56" t="str" cm="1">
        <f t="array" ref="N56">IF(N22="","",AVERAGE(IF(MODEL_MATRIX!P$2:P$71="","",IF(ROUND(MODEL_MATRIX!P$2:P$71,10)=ROUND(N22,10),MODEL_MATRIX!$B$2:$B$71))))</f>
        <v/>
      </c>
      <c r="O56" t="str" cm="1">
        <f t="array" ref="O56">IF(O22="","",AVERAGE(IF(MODEL_MATRIX!Q$2:Q$71="","",IF(ROUND(MODEL_MATRIX!Q$2:Q$71,10)=ROUND(O22,10),MODEL_MATRIX!$B$2:$B$71))))</f>
        <v/>
      </c>
      <c r="P56" t="str" cm="1">
        <f t="array" ref="P56">IF(P22="","",AVERAGE(IF(MODEL_MATRIX!R$2:R$71="","",IF(ROUND(MODEL_MATRIX!R$2:R$71,10)=ROUND(P22,10),MODEL_MATRIX!$B$2:$B$71))))</f>
        <v/>
      </c>
      <c r="Q56" t="str" cm="1">
        <f t="array" ref="Q56">IF(Q22="","",AVERAGE(IF(MODEL_MATRIX!S$2:S$71="","",IF(ROUND(MODEL_MATRIX!S$2:S$71,10)=ROUND(Q22,10),MODEL_MATRIX!$B$2:$B$71))))</f>
        <v/>
      </c>
      <c r="R56" t="str" cm="1">
        <f t="array" ref="R56">IF(R22="","",AVERAGE(IF(MODEL_MATRIX!T$2:T$71="","",IF(ROUND(MODEL_MATRIX!T$2:T$71,10)=ROUND(R22,10),MODEL_MATRIX!$B$2:$B$71))))</f>
        <v/>
      </c>
      <c r="S56" t="str" cm="1">
        <f t="array" ref="S56">IF(S22="","",AVERAGE(IF(MODEL_MATRIX!U$2:U$71="","",IF(ROUND(MODEL_MATRIX!U$2:U$71,10)=ROUND(S22,10),MODEL_MATRIX!$B$2:$B$71))))</f>
        <v/>
      </c>
      <c r="T56" t="str" cm="1">
        <f t="array" ref="T56">IF(T22="","",AVERAGE(IF(MODEL_MATRIX!V$2:V$71="","",IF(ROUND(MODEL_MATRIX!V$2:V$71,10)=ROUND(T22,10),MODEL_MATRIX!$B$2:$B$71))))</f>
        <v/>
      </c>
      <c r="U56" t="str" cm="1">
        <f t="array" ref="U56">IF(U22="","",AVERAGE(IF(MODEL_MATRIX!W$2:W$71="","",IF(ROUND(MODEL_MATRIX!W$2:W$71,10)=ROUND(U22,10),MODEL_MATRIX!$B$2:$B$71))))</f>
        <v/>
      </c>
      <c r="V56" t="str" cm="1">
        <f t="array" ref="V56">IF(V22="","",AVERAGE(IF(MODEL_MATRIX!X$2:X$71="","",IF(ROUND(MODEL_MATRIX!X$2:X$71,10)=ROUND(V22,10),MODEL_MATRIX!$B$2:$B$71))))</f>
        <v/>
      </c>
      <c r="W56" t="str" cm="1">
        <f t="array" ref="W56">IF(W22="","",AVERAGE(IF(MODEL_MATRIX!Y$2:Y$71="","",IF(ROUND(MODEL_MATRIX!Y$2:Y$71,10)=ROUND(W22,10),MODEL_MATRIX!$B$2:$B$71))))</f>
        <v/>
      </c>
      <c r="X56" t="str" cm="1">
        <f t="array" ref="X56">IF(X22="","",AVERAGE(IF(MODEL_MATRIX!Z$2:Z$71="","",IF(ROUND(MODEL_MATRIX!Z$2:Z$71,10)=ROUND(X22,10),MODEL_MATRIX!$B$2:$B$71))))</f>
        <v/>
      </c>
      <c r="Y56" t="str" cm="1">
        <f t="array" ref="Y56">IF(Y22="","",AVERAGE(IF(MODEL_MATRIX!AA$2:AA$71="","",IF(ROUND(MODEL_MATRIX!AA$2:AA$71,10)=ROUND(Y22,10),MODEL_MATRIX!$B$2:$B$71))))</f>
        <v/>
      </c>
    </row>
    <row r="57" spans="1:26" x14ac:dyDescent="0.25">
      <c r="A57" t="str" cm="1">
        <f t="array" ref="A57">IF(A23="","",AVERAGE(IF(MODEL_MATRIX!C$2:C$71="","",IF(ROUND(MODEL_MATRIX!C$2:C$71,10)=ROUND(A23,10),MODEL_MATRIX!$B$2:$B$71))))</f>
        <v/>
      </c>
      <c r="B57" t="str" cm="1">
        <f t="array" ref="B57">IF(B23="","",AVERAGE(IF(MODEL_MATRIX!D$2:D$71="","",IF(ROUND(MODEL_MATRIX!D$2:D$71,10)=ROUND(B23,10),MODEL_MATRIX!$B$2:$B$71))))</f>
        <v/>
      </c>
      <c r="C57" t="str" cm="1">
        <f t="array" ref="C57">IF(C23="","",AVERAGE(IF(MODEL_MATRIX!E$2:E$71="","",IF(ROUND(MODEL_MATRIX!E$2:E$71,10)=ROUND(C23,10),MODEL_MATRIX!$B$2:$B$71))))</f>
        <v/>
      </c>
      <c r="D57" t="str" cm="1">
        <f t="array" ref="D57">IF(D23="","",AVERAGE(IF(MODEL_MATRIX!F$2:F$71="","",IF(ROUND(MODEL_MATRIX!F$2:F$71,10)=ROUND(D23,10),MODEL_MATRIX!$B$2:$B$71))))</f>
        <v/>
      </c>
      <c r="E57" t="str" cm="1">
        <f t="array" ref="E57">IF(E23="","",AVERAGE(IF(MODEL_MATRIX!G$2:G$71="","",IF(ROUND(MODEL_MATRIX!G$2:G$71,10)=ROUND(E23,10),MODEL_MATRIX!$B$2:$B$71))))</f>
        <v/>
      </c>
      <c r="F57" t="str" cm="1">
        <f t="array" ref="F57">IF(F23="","",AVERAGE(IF(MODEL_MATRIX!H$2:H$71="","",IF(ROUND(MODEL_MATRIX!H$2:H$71,10)=ROUND(F23,10),MODEL_MATRIX!$B$2:$B$71))))</f>
        <v/>
      </c>
      <c r="G57" t="str" cm="1">
        <f t="array" ref="G57">IF(G23="","",AVERAGE(IF(MODEL_MATRIX!I$2:I$71="","",IF(ROUND(MODEL_MATRIX!I$2:I$71,10)=ROUND(G23,10),MODEL_MATRIX!$B$2:$B$71))))</f>
        <v/>
      </c>
      <c r="H57" t="str" cm="1">
        <f t="array" ref="H57">IF(H23="","",AVERAGE(IF(MODEL_MATRIX!J$2:J$71="","",IF(ROUND(MODEL_MATRIX!J$2:J$71,10)=ROUND(H23,10),MODEL_MATRIX!$B$2:$B$71))))</f>
        <v/>
      </c>
      <c r="I57" t="str" cm="1">
        <f t="array" ref="I57">IF(I23="","",AVERAGE(IF(MODEL_MATRIX!K$2:K$71="","",IF(ROUND(MODEL_MATRIX!K$2:K$71,10)=ROUND(I23,10),MODEL_MATRIX!$B$2:$B$71))))</f>
        <v/>
      </c>
      <c r="J57" t="str" cm="1">
        <f t="array" ref="J57">IF(J23="","",AVERAGE(IF(MODEL_MATRIX!L$2:L$71="","",IF(ROUND(MODEL_MATRIX!L$2:L$71,10)=ROUND(J23,10),MODEL_MATRIX!$B$2:$B$71))))</f>
        <v/>
      </c>
      <c r="K57" t="str" cm="1">
        <f t="array" ref="K57">IF(K23="","",AVERAGE(IF(MODEL_MATRIX!M$2:M$71="","",IF(ROUND(MODEL_MATRIX!M$2:M$71,10)=ROUND(K23,10),MODEL_MATRIX!$B$2:$B$71))))</f>
        <v/>
      </c>
      <c r="L57" t="str" cm="1">
        <f t="array" ref="L57">IF(L23="","",AVERAGE(IF(MODEL_MATRIX!N$2:N$71="","",IF(ROUND(MODEL_MATRIX!N$2:N$71,10)=ROUND(L23,10),MODEL_MATRIX!$B$2:$B$71))))</f>
        <v/>
      </c>
      <c r="M57" t="str" cm="1">
        <f t="array" ref="M57">IF(M23="","",AVERAGE(IF(MODEL_MATRIX!O$2:O$71="","",IF(ROUND(MODEL_MATRIX!O$2:O$71,10)=ROUND(M23,10),MODEL_MATRIX!$B$2:$B$71))))</f>
        <v/>
      </c>
      <c r="N57" t="str" cm="1">
        <f t="array" ref="N57">IF(N23="","",AVERAGE(IF(MODEL_MATRIX!P$2:P$71="","",IF(ROUND(MODEL_MATRIX!P$2:P$71,10)=ROUND(N23,10),MODEL_MATRIX!$B$2:$B$71))))</f>
        <v/>
      </c>
      <c r="O57" t="str" cm="1">
        <f t="array" ref="O57">IF(O23="","",AVERAGE(IF(MODEL_MATRIX!Q$2:Q$71="","",IF(ROUND(MODEL_MATRIX!Q$2:Q$71,10)=ROUND(O23,10),MODEL_MATRIX!$B$2:$B$71))))</f>
        <v/>
      </c>
      <c r="P57" t="str" cm="1">
        <f t="array" ref="P57">IF(P23="","",AVERAGE(IF(MODEL_MATRIX!R$2:R$71="","",IF(ROUND(MODEL_MATRIX!R$2:R$71,10)=ROUND(P23,10),MODEL_MATRIX!$B$2:$B$71))))</f>
        <v/>
      </c>
      <c r="Q57" t="str" cm="1">
        <f t="array" ref="Q57">IF(Q23="","",AVERAGE(IF(MODEL_MATRIX!S$2:S$71="","",IF(ROUND(MODEL_MATRIX!S$2:S$71,10)=ROUND(Q23,10),MODEL_MATRIX!$B$2:$B$71))))</f>
        <v/>
      </c>
      <c r="R57" t="str" cm="1">
        <f t="array" ref="R57">IF(R23="","",AVERAGE(IF(MODEL_MATRIX!T$2:T$71="","",IF(ROUND(MODEL_MATRIX!T$2:T$71,10)=ROUND(R23,10),MODEL_MATRIX!$B$2:$B$71))))</f>
        <v/>
      </c>
      <c r="S57" t="str" cm="1">
        <f t="array" ref="S57">IF(S23="","",AVERAGE(IF(MODEL_MATRIX!U$2:U$71="","",IF(ROUND(MODEL_MATRIX!U$2:U$71,10)=ROUND(S23,10),MODEL_MATRIX!$B$2:$B$71))))</f>
        <v/>
      </c>
      <c r="T57" t="str" cm="1">
        <f t="array" ref="T57">IF(T23="","",AVERAGE(IF(MODEL_MATRIX!V$2:V$71="","",IF(ROUND(MODEL_MATRIX!V$2:V$71,10)=ROUND(T23,10),MODEL_MATRIX!$B$2:$B$71))))</f>
        <v/>
      </c>
      <c r="U57" t="str" cm="1">
        <f t="array" ref="U57">IF(U23="","",AVERAGE(IF(MODEL_MATRIX!W$2:W$71="","",IF(ROUND(MODEL_MATRIX!W$2:W$71,10)=ROUND(U23,10),MODEL_MATRIX!$B$2:$B$71))))</f>
        <v/>
      </c>
      <c r="V57" t="str" cm="1">
        <f t="array" ref="V57">IF(V23="","",AVERAGE(IF(MODEL_MATRIX!X$2:X$71="","",IF(ROUND(MODEL_MATRIX!X$2:X$71,10)=ROUND(V23,10),MODEL_MATRIX!$B$2:$B$71))))</f>
        <v/>
      </c>
      <c r="W57" t="str" cm="1">
        <f t="array" ref="W57">IF(W23="","",AVERAGE(IF(MODEL_MATRIX!Y$2:Y$71="","",IF(ROUND(MODEL_MATRIX!Y$2:Y$71,10)=ROUND(W23,10),MODEL_MATRIX!$B$2:$B$71))))</f>
        <v/>
      </c>
      <c r="X57" t="str" cm="1">
        <f t="array" ref="X57">IF(X23="","",AVERAGE(IF(MODEL_MATRIX!Z$2:Z$71="","",IF(ROUND(MODEL_MATRIX!Z$2:Z$71,10)=ROUND(X23,10),MODEL_MATRIX!$B$2:$B$71))))</f>
        <v/>
      </c>
      <c r="Y57" t="str" cm="1">
        <f t="array" ref="Y57">IF(Y23="","",AVERAGE(IF(MODEL_MATRIX!AA$2:AA$71="","",IF(ROUND(MODEL_MATRIX!AA$2:AA$71,10)=ROUND(Y23,10),MODEL_MATRIX!$B$2:$B$71))))</f>
        <v/>
      </c>
    </row>
    <row r="58" spans="1:26" x14ac:dyDescent="0.25">
      <c r="A58" t="str" cm="1">
        <f t="array" ref="A58">IF(A24="","",AVERAGE(IF(MODEL_MATRIX!C$2:C$71="","",IF(ROUND(MODEL_MATRIX!C$2:C$71,10)=ROUND(A24,10),MODEL_MATRIX!$B$2:$B$71))))</f>
        <v/>
      </c>
      <c r="B58" t="str" cm="1">
        <f t="array" ref="B58">IF(B24="","",AVERAGE(IF(MODEL_MATRIX!D$2:D$71="","",IF(ROUND(MODEL_MATRIX!D$2:D$71,10)=ROUND(B24,10),MODEL_MATRIX!$B$2:$B$71))))</f>
        <v/>
      </c>
      <c r="C58" t="str" cm="1">
        <f t="array" ref="C58">IF(C24="","",AVERAGE(IF(MODEL_MATRIX!E$2:E$71="","",IF(ROUND(MODEL_MATRIX!E$2:E$71,10)=ROUND(C24,10),MODEL_MATRIX!$B$2:$B$71))))</f>
        <v/>
      </c>
      <c r="D58" t="str" cm="1">
        <f t="array" ref="D58">IF(D24="","",AVERAGE(IF(MODEL_MATRIX!F$2:F$71="","",IF(ROUND(MODEL_MATRIX!F$2:F$71,10)=ROUND(D24,10),MODEL_MATRIX!$B$2:$B$71))))</f>
        <v/>
      </c>
      <c r="E58" t="str" cm="1">
        <f t="array" ref="E58">IF(E24="","",AVERAGE(IF(MODEL_MATRIX!G$2:G$71="","",IF(ROUND(MODEL_MATRIX!G$2:G$71,10)=ROUND(E24,10),MODEL_MATRIX!$B$2:$B$71))))</f>
        <v/>
      </c>
      <c r="F58" t="str" cm="1">
        <f t="array" ref="F58">IF(F24="","",AVERAGE(IF(MODEL_MATRIX!H$2:H$71="","",IF(ROUND(MODEL_MATRIX!H$2:H$71,10)=ROUND(F24,10),MODEL_MATRIX!$B$2:$B$71))))</f>
        <v/>
      </c>
      <c r="G58" t="str" cm="1">
        <f t="array" ref="G58">IF(G24="","",AVERAGE(IF(MODEL_MATRIX!I$2:I$71="","",IF(ROUND(MODEL_MATRIX!I$2:I$71,10)=ROUND(G24,10),MODEL_MATRIX!$B$2:$B$71))))</f>
        <v/>
      </c>
      <c r="H58" t="str" cm="1">
        <f t="array" ref="H58">IF(H24="","",AVERAGE(IF(MODEL_MATRIX!J$2:J$71="","",IF(ROUND(MODEL_MATRIX!J$2:J$71,10)=ROUND(H24,10),MODEL_MATRIX!$B$2:$B$71))))</f>
        <v/>
      </c>
      <c r="I58" t="str" cm="1">
        <f t="array" ref="I58">IF(I24="","",AVERAGE(IF(MODEL_MATRIX!K$2:K$71="","",IF(ROUND(MODEL_MATRIX!K$2:K$71,10)=ROUND(I24,10),MODEL_MATRIX!$B$2:$B$71))))</f>
        <v/>
      </c>
      <c r="J58" t="str" cm="1">
        <f t="array" ref="J58">IF(J24="","",AVERAGE(IF(MODEL_MATRIX!L$2:L$71="","",IF(ROUND(MODEL_MATRIX!L$2:L$71,10)=ROUND(J24,10),MODEL_MATRIX!$B$2:$B$71))))</f>
        <v/>
      </c>
      <c r="K58" t="str" cm="1">
        <f t="array" ref="K58">IF(K24="","",AVERAGE(IF(MODEL_MATRIX!M$2:M$71="","",IF(ROUND(MODEL_MATRIX!M$2:M$71,10)=ROUND(K24,10),MODEL_MATRIX!$B$2:$B$71))))</f>
        <v/>
      </c>
      <c r="L58" t="str" cm="1">
        <f t="array" ref="L58">IF(L24="","",AVERAGE(IF(MODEL_MATRIX!N$2:N$71="","",IF(ROUND(MODEL_MATRIX!N$2:N$71,10)=ROUND(L24,10),MODEL_MATRIX!$B$2:$B$71))))</f>
        <v/>
      </c>
      <c r="M58" t="str" cm="1">
        <f t="array" ref="M58">IF(M24="","",AVERAGE(IF(MODEL_MATRIX!O$2:O$71="","",IF(ROUND(MODEL_MATRIX!O$2:O$71,10)=ROUND(M24,10),MODEL_MATRIX!$B$2:$B$71))))</f>
        <v/>
      </c>
      <c r="N58" t="str" cm="1">
        <f t="array" ref="N58">IF(N24="","",AVERAGE(IF(MODEL_MATRIX!P$2:P$71="","",IF(ROUND(MODEL_MATRIX!P$2:P$71,10)=ROUND(N24,10),MODEL_MATRIX!$B$2:$B$71))))</f>
        <v/>
      </c>
      <c r="O58" t="str" cm="1">
        <f t="array" ref="O58">IF(O24="","",AVERAGE(IF(MODEL_MATRIX!Q$2:Q$71="","",IF(ROUND(MODEL_MATRIX!Q$2:Q$71,10)=ROUND(O24,10),MODEL_MATRIX!$B$2:$B$71))))</f>
        <v/>
      </c>
      <c r="P58" t="str" cm="1">
        <f t="array" ref="P58">IF(P24="","",AVERAGE(IF(MODEL_MATRIX!R$2:R$71="","",IF(ROUND(MODEL_MATRIX!R$2:R$71,10)=ROUND(P24,10),MODEL_MATRIX!$B$2:$B$71))))</f>
        <v/>
      </c>
      <c r="Q58" t="str" cm="1">
        <f t="array" ref="Q58">IF(Q24="","",AVERAGE(IF(MODEL_MATRIX!S$2:S$71="","",IF(ROUND(MODEL_MATRIX!S$2:S$71,10)=ROUND(Q24,10),MODEL_MATRIX!$B$2:$B$71))))</f>
        <v/>
      </c>
      <c r="R58" t="str" cm="1">
        <f t="array" ref="R58">IF(R24="","",AVERAGE(IF(MODEL_MATRIX!T$2:T$71="","",IF(ROUND(MODEL_MATRIX!T$2:T$71,10)=ROUND(R24,10),MODEL_MATRIX!$B$2:$B$71))))</f>
        <v/>
      </c>
      <c r="S58" t="str" cm="1">
        <f t="array" ref="S58">IF(S24="","",AVERAGE(IF(MODEL_MATRIX!U$2:U$71="","",IF(ROUND(MODEL_MATRIX!U$2:U$71,10)=ROUND(S24,10),MODEL_MATRIX!$B$2:$B$71))))</f>
        <v/>
      </c>
      <c r="T58" t="str" cm="1">
        <f t="array" ref="T58">IF(T24="","",AVERAGE(IF(MODEL_MATRIX!V$2:V$71="","",IF(ROUND(MODEL_MATRIX!V$2:V$71,10)=ROUND(T24,10),MODEL_MATRIX!$B$2:$B$71))))</f>
        <v/>
      </c>
      <c r="U58" t="str" cm="1">
        <f t="array" ref="U58">IF(U24="","",AVERAGE(IF(MODEL_MATRIX!W$2:W$71="","",IF(ROUND(MODEL_MATRIX!W$2:W$71,10)=ROUND(U24,10),MODEL_MATRIX!$B$2:$B$71))))</f>
        <v/>
      </c>
      <c r="V58" t="str" cm="1">
        <f t="array" ref="V58">IF(V24="","",AVERAGE(IF(MODEL_MATRIX!X$2:X$71="","",IF(ROUND(MODEL_MATRIX!X$2:X$71,10)=ROUND(V24,10),MODEL_MATRIX!$B$2:$B$71))))</f>
        <v/>
      </c>
      <c r="W58" t="str" cm="1">
        <f t="array" ref="W58">IF(W24="","",AVERAGE(IF(MODEL_MATRIX!Y$2:Y$71="","",IF(ROUND(MODEL_MATRIX!Y$2:Y$71,10)=ROUND(W24,10),MODEL_MATRIX!$B$2:$B$71))))</f>
        <v/>
      </c>
      <c r="X58" t="str" cm="1">
        <f t="array" ref="X58">IF(X24="","",AVERAGE(IF(MODEL_MATRIX!Z$2:Z$71="","",IF(ROUND(MODEL_MATRIX!Z$2:Z$71,10)=ROUND(X24,10),MODEL_MATRIX!$B$2:$B$71))))</f>
        <v/>
      </c>
      <c r="Y58" t="str" cm="1">
        <f t="array" ref="Y58">IF(Y24="","",AVERAGE(IF(MODEL_MATRIX!AA$2:AA$71="","",IF(ROUND(MODEL_MATRIX!AA$2:AA$71,10)=ROUND(Y24,10),MODEL_MATRIX!$B$2:$B$71))))</f>
        <v/>
      </c>
    </row>
    <row r="61" spans="1:26" x14ac:dyDescent="0.25">
      <c r="A61" t="s">
        <v>67</v>
      </c>
      <c r="J61" t="s">
        <v>39</v>
      </c>
      <c r="M61">
        <f ca="1">T61+T62</f>
        <v>77.027827527973187</v>
      </c>
      <c r="Q61" t="s">
        <v>40</v>
      </c>
      <c r="T61">
        <f ca="1">MODEL_FIT!B10</f>
        <v>61.604337086682818</v>
      </c>
      <c r="V61" s="5">
        <f ca="1">MODEL_FIT!B8</f>
        <v>0.79976729272691449</v>
      </c>
      <c r="Z61" s="20" t="s">
        <v>127</v>
      </c>
    </row>
    <row r="62" spans="1:26" x14ac:dyDescent="0.25">
      <c r="Q62" t="s">
        <v>66</v>
      </c>
      <c r="T62">
        <f ca="1">MODEL_FIT!C10</f>
        <v>15.423490441290371</v>
      </c>
      <c r="V62" s="5"/>
      <c r="Z62" s="20"/>
    </row>
    <row r="63" spans="1:26" ht="15" customHeight="1" x14ac:dyDescent="0.25">
      <c r="A63" t="str">
        <f>A66</f>
        <v>A</v>
      </c>
      <c r="B63" t="str">
        <f t="shared" ref="B63:Y63" si="22">B66</f>
        <v>C</v>
      </c>
      <c r="C63" t="str">
        <f t="shared" si="22"/>
        <v>E</v>
      </c>
      <c r="D63" t="str">
        <f t="shared" si="22"/>
        <v>AC</v>
      </c>
      <c r="E63" t="str">
        <f t="shared" si="22"/>
        <v>AE</v>
      </c>
      <c r="F63" t="str">
        <f t="shared" si="22"/>
        <v/>
      </c>
      <c r="G63" t="str">
        <f t="shared" si="22"/>
        <v/>
      </c>
      <c r="H63" t="str">
        <f t="shared" si="22"/>
        <v/>
      </c>
      <c r="I63" t="str">
        <f t="shared" si="22"/>
        <v/>
      </c>
      <c r="J63" t="str">
        <f t="shared" si="22"/>
        <v/>
      </c>
      <c r="K63" t="str">
        <f t="shared" si="22"/>
        <v/>
      </c>
      <c r="L63" t="str">
        <f t="shared" si="22"/>
        <v/>
      </c>
      <c r="M63" t="str">
        <f t="shared" si="22"/>
        <v/>
      </c>
      <c r="N63" t="str">
        <f t="shared" si="22"/>
        <v/>
      </c>
      <c r="O63" t="str">
        <f t="shared" si="22"/>
        <v/>
      </c>
      <c r="P63" t="str">
        <f t="shared" si="22"/>
        <v/>
      </c>
      <c r="Q63" t="str">
        <f t="shared" si="22"/>
        <v/>
      </c>
      <c r="R63" t="str">
        <f t="shared" si="22"/>
        <v/>
      </c>
      <c r="S63" t="str">
        <f t="shared" si="22"/>
        <v/>
      </c>
      <c r="T63" t="str">
        <f t="shared" si="22"/>
        <v/>
      </c>
      <c r="U63" t="str">
        <f t="shared" si="22"/>
        <v/>
      </c>
      <c r="V63" t="str">
        <f t="shared" si="22"/>
        <v/>
      </c>
      <c r="W63" t="str">
        <f t="shared" si="22"/>
        <v/>
      </c>
      <c r="X63" t="str">
        <f t="shared" si="22"/>
        <v/>
      </c>
      <c r="Y63" t="str">
        <f t="shared" si="22"/>
        <v/>
      </c>
      <c r="Z63" s="20"/>
    </row>
    <row r="64" spans="1:26" x14ac:dyDescent="0.25">
      <c r="A64" s="5">
        <f ca="1">IF(A66="","",A65/$M$61)</f>
        <v>9.4223631576323935E-2</v>
      </c>
      <c r="B64" s="5">
        <f t="shared" ref="B64:Y64" ca="1" si="23">IF(B66="","",B65/$M$61)</f>
        <v>0.48788166330387195</v>
      </c>
      <c r="C64" s="5">
        <f t="shared" ca="1" si="23"/>
        <v>9.0986246841253782E-2</v>
      </c>
      <c r="D64" s="5">
        <f t="shared" ca="1" si="23"/>
        <v>5.3799627282635543E-2</v>
      </c>
      <c r="E64" s="5">
        <f t="shared" ca="1" si="23"/>
        <v>7.2876123722829395E-2</v>
      </c>
      <c r="F64" s="5" t="str">
        <f t="shared" si="23"/>
        <v/>
      </c>
      <c r="G64" s="5" t="str">
        <f t="shared" si="23"/>
        <v/>
      </c>
      <c r="H64" s="5" t="str">
        <f t="shared" si="23"/>
        <v/>
      </c>
      <c r="I64" s="5" t="str">
        <f t="shared" si="23"/>
        <v/>
      </c>
      <c r="J64" s="5" t="str">
        <f t="shared" si="23"/>
        <v/>
      </c>
      <c r="K64" s="5" t="str">
        <f t="shared" si="23"/>
        <v/>
      </c>
      <c r="L64" s="5" t="str">
        <f t="shared" si="23"/>
        <v/>
      </c>
      <c r="M64" s="5" t="str">
        <f t="shared" si="23"/>
        <v/>
      </c>
      <c r="N64" s="5" t="str">
        <f t="shared" si="23"/>
        <v/>
      </c>
      <c r="O64" s="5" t="str">
        <f t="shared" si="23"/>
        <v/>
      </c>
      <c r="P64" s="5" t="str">
        <f t="shared" si="23"/>
        <v/>
      </c>
      <c r="Q64" s="5" t="str">
        <f t="shared" si="23"/>
        <v/>
      </c>
      <c r="R64" s="5" t="str">
        <f t="shared" si="23"/>
        <v/>
      </c>
      <c r="S64" s="5" t="str">
        <f t="shared" si="23"/>
        <v/>
      </c>
      <c r="T64" s="5" t="str">
        <f t="shared" si="23"/>
        <v/>
      </c>
      <c r="U64" s="5" t="str">
        <f t="shared" si="23"/>
        <v/>
      </c>
      <c r="V64" s="5" t="str">
        <f t="shared" si="23"/>
        <v/>
      </c>
      <c r="W64" s="5" t="str">
        <f t="shared" si="23"/>
        <v/>
      </c>
      <c r="X64" s="5" t="str">
        <f t="shared" si="23"/>
        <v/>
      </c>
      <c r="Y64" s="5" t="str">
        <f t="shared" si="23"/>
        <v/>
      </c>
      <c r="Z64" s="20"/>
    </row>
    <row r="65" spans="1:26" x14ac:dyDescent="0.25">
      <c r="A65">
        <f>IF(A66="","",SUM(A67:A75))</f>
        <v>7.2578416421203684</v>
      </c>
      <c r="B65">
        <f t="shared" ref="B65:Y65" si="24">IF(B66="","",SUM(B67:B75))</f>
        <v>37.580464615031332</v>
      </c>
      <c r="C65">
        <f t="shared" si="24"/>
        <v>7.0084729291056913</v>
      </c>
      <c r="D65">
        <f t="shared" si="24"/>
        <v>4.1440684113960913</v>
      </c>
      <c r="E65">
        <f t="shared" si="24"/>
        <v>5.6134894890293383</v>
      </c>
      <c r="F65" t="str">
        <f t="shared" si="24"/>
        <v/>
      </c>
      <c r="G65" t="str">
        <f t="shared" si="24"/>
        <v/>
      </c>
      <c r="H65" t="str">
        <f t="shared" si="24"/>
        <v/>
      </c>
      <c r="I65" t="str">
        <f t="shared" si="24"/>
        <v/>
      </c>
      <c r="J65" t="str">
        <f t="shared" si="24"/>
        <v/>
      </c>
      <c r="K65" t="str">
        <f t="shared" si="24"/>
        <v/>
      </c>
      <c r="L65" t="str">
        <f t="shared" si="24"/>
        <v/>
      </c>
      <c r="M65" t="str">
        <f t="shared" si="24"/>
        <v/>
      </c>
      <c r="N65" t="str">
        <f t="shared" si="24"/>
        <v/>
      </c>
      <c r="O65" t="str">
        <f t="shared" si="24"/>
        <v/>
      </c>
      <c r="P65" t="str">
        <f t="shared" si="24"/>
        <v/>
      </c>
      <c r="Q65" t="str">
        <f t="shared" si="24"/>
        <v/>
      </c>
      <c r="R65" t="str">
        <f t="shared" si="24"/>
        <v/>
      </c>
      <c r="S65" t="str">
        <f t="shared" si="24"/>
        <v/>
      </c>
      <c r="T65" t="str">
        <f t="shared" si="24"/>
        <v/>
      </c>
      <c r="U65" t="str">
        <f t="shared" si="24"/>
        <v/>
      </c>
      <c r="V65" t="str">
        <f t="shared" si="24"/>
        <v/>
      </c>
      <c r="W65" t="str">
        <f t="shared" si="24"/>
        <v/>
      </c>
      <c r="X65" t="str">
        <f t="shared" si="24"/>
        <v/>
      </c>
      <c r="Y65" t="str">
        <f t="shared" si="24"/>
        <v/>
      </c>
      <c r="Z65" s="20"/>
    </row>
    <row r="66" spans="1:26" x14ac:dyDescent="0.25">
      <c r="A66" t="str">
        <f t="shared" ref="A66" si="25">A49</f>
        <v>A</v>
      </c>
      <c r="B66" t="str">
        <f t="shared" ref="B66:Y66" si="26">B49</f>
        <v>C</v>
      </c>
      <c r="C66" t="str">
        <f t="shared" si="26"/>
        <v>E</v>
      </c>
      <c r="D66" t="str">
        <f t="shared" si="26"/>
        <v>AC</v>
      </c>
      <c r="E66" t="str">
        <f t="shared" si="26"/>
        <v>AE</v>
      </c>
      <c r="F66" t="str">
        <f t="shared" si="26"/>
        <v/>
      </c>
      <c r="G66" t="str">
        <f t="shared" si="26"/>
        <v/>
      </c>
      <c r="H66" t="str">
        <f t="shared" si="26"/>
        <v/>
      </c>
      <c r="I66" t="str">
        <f t="shared" si="26"/>
        <v/>
      </c>
      <c r="J66" t="str">
        <f t="shared" si="26"/>
        <v/>
      </c>
      <c r="K66" t="str">
        <f t="shared" si="26"/>
        <v/>
      </c>
      <c r="L66" t="str">
        <f t="shared" si="26"/>
        <v/>
      </c>
      <c r="M66" t="str">
        <f t="shared" si="26"/>
        <v/>
      </c>
      <c r="N66" t="str">
        <f t="shared" si="26"/>
        <v/>
      </c>
      <c r="O66" t="str">
        <f t="shared" si="26"/>
        <v/>
      </c>
      <c r="P66" t="str">
        <f t="shared" si="26"/>
        <v/>
      </c>
      <c r="Q66" t="str">
        <f t="shared" si="26"/>
        <v/>
      </c>
      <c r="R66" t="str">
        <f t="shared" si="26"/>
        <v/>
      </c>
      <c r="S66" t="str">
        <f t="shared" si="26"/>
        <v/>
      </c>
      <c r="T66" t="str">
        <f t="shared" si="26"/>
        <v/>
      </c>
      <c r="U66" t="str">
        <f t="shared" si="26"/>
        <v/>
      </c>
      <c r="V66" t="str">
        <f t="shared" si="26"/>
        <v/>
      </c>
      <c r="W66" t="str">
        <f t="shared" si="26"/>
        <v/>
      </c>
      <c r="X66" t="str">
        <f t="shared" si="26"/>
        <v/>
      </c>
      <c r="Y66" t="str">
        <f t="shared" si="26"/>
        <v/>
      </c>
      <c r="Z66" s="20"/>
    </row>
    <row r="67" spans="1:26" x14ac:dyDescent="0.25">
      <c r="A67">
        <f>IF(A50="","",A34*(A50-$M$45)^2)</f>
        <v>3.6289208210601771</v>
      </c>
      <c r="B67">
        <f t="shared" ref="B67:Y67" si="27">IF(B50="","",B34*(B50-$M$45)^2)</f>
        <v>18.790232307515666</v>
      </c>
      <c r="C67">
        <f t="shared" si="27"/>
        <v>3.5042364645528523</v>
      </c>
      <c r="D67">
        <f t="shared" si="27"/>
        <v>2.0720342056980354</v>
      </c>
      <c r="E67">
        <f t="shared" si="27"/>
        <v>2.8067447445146811</v>
      </c>
      <c r="F67" t="str">
        <f t="shared" si="27"/>
        <v/>
      </c>
      <c r="G67" t="str">
        <f t="shared" si="27"/>
        <v/>
      </c>
      <c r="H67" t="str">
        <f t="shared" si="27"/>
        <v/>
      </c>
      <c r="I67" t="str">
        <f t="shared" si="27"/>
        <v/>
      </c>
      <c r="J67" t="str">
        <f t="shared" si="27"/>
        <v/>
      </c>
      <c r="K67" t="str">
        <f t="shared" si="27"/>
        <v/>
      </c>
      <c r="L67" t="str">
        <f t="shared" si="27"/>
        <v/>
      </c>
      <c r="M67" t="str">
        <f t="shared" si="27"/>
        <v/>
      </c>
      <c r="N67" t="str">
        <f t="shared" si="27"/>
        <v/>
      </c>
      <c r="O67" t="str">
        <f t="shared" si="27"/>
        <v/>
      </c>
      <c r="P67" t="str">
        <f t="shared" si="27"/>
        <v/>
      </c>
      <c r="Q67" t="str">
        <f t="shared" si="27"/>
        <v/>
      </c>
      <c r="R67" t="str">
        <f t="shared" si="27"/>
        <v/>
      </c>
      <c r="S67" t="str">
        <f t="shared" si="27"/>
        <v/>
      </c>
      <c r="T67" t="str">
        <f t="shared" si="27"/>
        <v/>
      </c>
      <c r="U67" t="str">
        <f t="shared" si="27"/>
        <v/>
      </c>
      <c r="V67" t="str">
        <f t="shared" si="27"/>
        <v/>
      </c>
      <c r="W67" t="str">
        <f t="shared" si="27"/>
        <v/>
      </c>
      <c r="X67" t="str">
        <f t="shared" si="27"/>
        <v/>
      </c>
      <c r="Y67" t="str">
        <f t="shared" si="27"/>
        <v/>
      </c>
      <c r="Z67" s="20"/>
    </row>
    <row r="68" spans="1:26" x14ac:dyDescent="0.25">
      <c r="A68">
        <f t="shared" ref="A68:Y68" si="28">IF(A51="","",A35*(A51-$M$45)^2)</f>
        <v>3.6289208210601909</v>
      </c>
      <c r="B68">
        <f t="shared" si="28"/>
        <v>18.790232307515666</v>
      </c>
      <c r="C68">
        <f t="shared" si="28"/>
        <v>3.504236464552839</v>
      </c>
      <c r="D68">
        <f t="shared" si="28"/>
        <v>2.0720342056980559</v>
      </c>
      <c r="E68">
        <f t="shared" si="28"/>
        <v>2.8067447445146572</v>
      </c>
      <c r="F68" t="str">
        <f t="shared" si="28"/>
        <v/>
      </c>
      <c r="G68" t="str">
        <f t="shared" si="28"/>
        <v/>
      </c>
      <c r="H68" t="str">
        <f t="shared" si="28"/>
        <v/>
      </c>
      <c r="I68" t="str">
        <f t="shared" si="28"/>
        <v/>
      </c>
      <c r="J68" t="str">
        <f t="shared" si="28"/>
        <v/>
      </c>
      <c r="K68" t="str">
        <f t="shared" si="28"/>
        <v/>
      </c>
      <c r="L68" t="str">
        <f t="shared" si="28"/>
        <v/>
      </c>
      <c r="M68" t="str">
        <f t="shared" si="28"/>
        <v/>
      </c>
      <c r="N68" t="str">
        <f t="shared" si="28"/>
        <v/>
      </c>
      <c r="O68" t="str">
        <f t="shared" si="28"/>
        <v/>
      </c>
      <c r="P68" t="str">
        <f t="shared" si="28"/>
        <v/>
      </c>
      <c r="Q68" t="str">
        <f t="shared" si="28"/>
        <v/>
      </c>
      <c r="R68" t="str">
        <f t="shared" si="28"/>
        <v/>
      </c>
      <c r="S68" t="str">
        <f t="shared" si="28"/>
        <v/>
      </c>
      <c r="T68" t="str">
        <f t="shared" si="28"/>
        <v/>
      </c>
      <c r="U68" t="str">
        <f t="shared" si="28"/>
        <v/>
      </c>
      <c r="V68" t="str">
        <f t="shared" si="28"/>
        <v/>
      </c>
      <c r="W68" t="str">
        <f t="shared" si="28"/>
        <v/>
      </c>
      <c r="X68" t="str">
        <f t="shared" si="28"/>
        <v/>
      </c>
      <c r="Y68" t="str">
        <f t="shared" si="28"/>
        <v/>
      </c>
      <c r="Z68" s="20"/>
    </row>
    <row r="69" spans="1:26" x14ac:dyDescent="0.25">
      <c r="A69" t="str">
        <f t="shared" ref="A69:Y69" si="29">IF(A52="","",A36*(A52-$M$45)^2)</f>
        <v/>
      </c>
      <c r="B69" t="str">
        <f t="shared" si="29"/>
        <v/>
      </c>
      <c r="C69" t="str">
        <f t="shared" si="29"/>
        <v/>
      </c>
      <c r="D69" t="str">
        <f t="shared" si="29"/>
        <v/>
      </c>
      <c r="E69" t="str">
        <f t="shared" si="29"/>
        <v/>
      </c>
      <c r="F69" t="str">
        <f t="shared" si="29"/>
        <v/>
      </c>
      <c r="G69" t="str">
        <f t="shared" si="29"/>
        <v/>
      </c>
      <c r="H69" t="str">
        <f t="shared" si="29"/>
        <v/>
      </c>
      <c r="I69" t="str">
        <f t="shared" si="29"/>
        <v/>
      </c>
      <c r="J69" t="str">
        <f t="shared" si="29"/>
        <v/>
      </c>
      <c r="K69" t="str">
        <f t="shared" si="29"/>
        <v/>
      </c>
      <c r="L69" t="str">
        <f t="shared" si="29"/>
        <v/>
      </c>
      <c r="M69" t="str">
        <f t="shared" si="29"/>
        <v/>
      </c>
      <c r="N69" t="str">
        <f t="shared" si="29"/>
        <v/>
      </c>
      <c r="O69" t="str">
        <f t="shared" si="29"/>
        <v/>
      </c>
      <c r="P69" t="str">
        <f t="shared" si="29"/>
        <v/>
      </c>
      <c r="Q69" t="str">
        <f t="shared" si="29"/>
        <v/>
      </c>
      <c r="R69" t="str">
        <f t="shared" si="29"/>
        <v/>
      </c>
      <c r="S69" t="str">
        <f t="shared" si="29"/>
        <v/>
      </c>
      <c r="T69" t="str">
        <f t="shared" si="29"/>
        <v/>
      </c>
      <c r="U69" t="str">
        <f t="shared" si="29"/>
        <v/>
      </c>
      <c r="V69" t="str">
        <f t="shared" si="29"/>
        <v/>
      </c>
      <c r="W69" t="str">
        <f t="shared" si="29"/>
        <v/>
      </c>
      <c r="X69" t="str">
        <f t="shared" si="29"/>
        <v/>
      </c>
      <c r="Y69" t="str">
        <f t="shared" si="29"/>
        <v/>
      </c>
      <c r="Z69" s="20"/>
    </row>
    <row r="70" spans="1:26" x14ac:dyDescent="0.25">
      <c r="A70" t="str">
        <f t="shared" ref="A70:Y70" si="30">IF(A53="","",A37*(A53-$M$45)^2)</f>
        <v/>
      </c>
      <c r="B70" t="str">
        <f t="shared" si="30"/>
        <v/>
      </c>
      <c r="C70" t="str">
        <f t="shared" si="30"/>
        <v/>
      </c>
      <c r="D70" t="str">
        <f t="shared" si="30"/>
        <v/>
      </c>
      <c r="E70" t="str">
        <f t="shared" si="30"/>
        <v/>
      </c>
      <c r="F70" t="str">
        <f t="shared" si="30"/>
        <v/>
      </c>
      <c r="G70" t="str">
        <f t="shared" si="30"/>
        <v/>
      </c>
      <c r="H70" t="str">
        <f t="shared" si="30"/>
        <v/>
      </c>
      <c r="I70" t="str">
        <f t="shared" si="30"/>
        <v/>
      </c>
      <c r="J70" t="str">
        <f t="shared" si="30"/>
        <v/>
      </c>
      <c r="K70" t="str">
        <f t="shared" si="30"/>
        <v/>
      </c>
      <c r="L70" t="str">
        <f t="shared" si="30"/>
        <v/>
      </c>
      <c r="M70" t="str">
        <f t="shared" si="30"/>
        <v/>
      </c>
      <c r="N70" t="str">
        <f t="shared" si="30"/>
        <v/>
      </c>
      <c r="O70" t="str">
        <f t="shared" si="30"/>
        <v/>
      </c>
      <c r="P70" t="str">
        <f t="shared" si="30"/>
        <v/>
      </c>
      <c r="Q70" t="str">
        <f t="shared" si="30"/>
        <v/>
      </c>
      <c r="R70" t="str">
        <f t="shared" si="30"/>
        <v/>
      </c>
      <c r="S70" t="str">
        <f t="shared" si="30"/>
        <v/>
      </c>
      <c r="T70" t="str">
        <f t="shared" si="30"/>
        <v/>
      </c>
      <c r="U70" t="str">
        <f t="shared" si="30"/>
        <v/>
      </c>
      <c r="V70" t="str">
        <f t="shared" si="30"/>
        <v/>
      </c>
      <c r="W70" t="str">
        <f t="shared" si="30"/>
        <v/>
      </c>
      <c r="X70" t="str">
        <f t="shared" si="30"/>
        <v/>
      </c>
      <c r="Y70" t="str">
        <f t="shared" si="30"/>
        <v/>
      </c>
      <c r="Z70" s="20"/>
    </row>
    <row r="71" spans="1:26" x14ac:dyDescent="0.25">
      <c r="A71" t="str">
        <f t="shared" ref="A71:Y71" si="31">IF(A54="","",A38*(A54-$M$45)^2)</f>
        <v/>
      </c>
      <c r="B71" t="str">
        <f t="shared" si="31"/>
        <v/>
      </c>
      <c r="C71" t="str">
        <f t="shared" si="31"/>
        <v/>
      </c>
      <c r="D71" t="str">
        <f t="shared" si="31"/>
        <v/>
      </c>
      <c r="E71" t="str">
        <f t="shared" si="31"/>
        <v/>
      </c>
      <c r="F71" t="str">
        <f t="shared" si="31"/>
        <v/>
      </c>
      <c r="G71" t="str">
        <f t="shared" si="31"/>
        <v/>
      </c>
      <c r="H71" t="str">
        <f t="shared" si="31"/>
        <v/>
      </c>
      <c r="I71" t="str">
        <f t="shared" si="31"/>
        <v/>
      </c>
      <c r="J71" t="str">
        <f t="shared" si="31"/>
        <v/>
      </c>
      <c r="K71" t="str">
        <f t="shared" si="31"/>
        <v/>
      </c>
      <c r="L71" t="str">
        <f t="shared" si="31"/>
        <v/>
      </c>
      <c r="M71" t="str">
        <f t="shared" si="31"/>
        <v/>
      </c>
      <c r="N71" t="str">
        <f t="shared" si="31"/>
        <v/>
      </c>
      <c r="O71" t="str">
        <f t="shared" si="31"/>
        <v/>
      </c>
      <c r="P71" t="str">
        <f t="shared" si="31"/>
        <v/>
      </c>
      <c r="Q71" t="str">
        <f t="shared" si="31"/>
        <v/>
      </c>
      <c r="R71" t="str">
        <f t="shared" si="31"/>
        <v/>
      </c>
      <c r="S71" t="str">
        <f t="shared" si="31"/>
        <v/>
      </c>
      <c r="T71" t="str">
        <f t="shared" si="31"/>
        <v/>
      </c>
      <c r="U71" t="str">
        <f t="shared" si="31"/>
        <v/>
      </c>
      <c r="V71" t="str">
        <f t="shared" si="31"/>
        <v/>
      </c>
      <c r="W71" t="str">
        <f t="shared" si="31"/>
        <v/>
      </c>
      <c r="X71" t="str">
        <f t="shared" si="31"/>
        <v/>
      </c>
      <c r="Y71" t="str">
        <f t="shared" si="31"/>
        <v/>
      </c>
      <c r="Z71" s="20"/>
    </row>
    <row r="72" spans="1:26" x14ac:dyDescent="0.25">
      <c r="A72" t="str">
        <f t="shared" ref="A72:Y72" si="32">IF(A55="","",A39*(A55-$M$45)^2)</f>
        <v/>
      </c>
      <c r="B72" t="str">
        <f t="shared" si="32"/>
        <v/>
      </c>
      <c r="C72" t="str">
        <f t="shared" si="32"/>
        <v/>
      </c>
      <c r="D72" t="str">
        <f t="shared" si="32"/>
        <v/>
      </c>
      <c r="E72" t="str">
        <f t="shared" si="32"/>
        <v/>
      </c>
      <c r="F72" t="str">
        <f t="shared" si="32"/>
        <v/>
      </c>
      <c r="G72" t="str">
        <f t="shared" si="32"/>
        <v/>
      </c>
      <c r="H72" t="str">
        <f t="shared" si="32"/>
        <v/>
      </c>
      <c r="I72" t="str">
        <f t="shared" si="32"/>
        <v/>
      </c>
      <c r="J72" t="str">
        <f t="shared" si="32"/>
        <v/>
      </c>
      <c r="K72" t="str">
        <f t="shared" si="32"/>
        <v/>
      </c>
      <c r="L72" t="str">
        <f t="shared" si="32"/>
        <v/>
      </c>
      <c r="M72" t="str">
        <f t="shared" si="32"/>
        <v/>
      </c>
      <c r="N72" t="str">
        <f t="shared" si="32"/>
        <v/>
      </c>
      <c r="O72" t="str">
        <f t="shared" si="32"/>
        <v/>
      </c>
      <c r="P72" t="str">
        <f t="shared" si="32"/>
        <v/>
      </c>
      <c r="Q72" t="str">
        <f t="shared" si="32"/>
        <v/>
      </c>
      <c r="R72" t="str">
        <f t="shared" si="32"/>
        <v/>
      </c>
      <c r="S72" t="str">
        <f t="shared" si="32"/>
        <v/>
      </c>
      <c r="T72" t="str">
        <f t="shared" si="32"/>
        <v/>
      </c>
      <c r="U72" t="str">
        <f t="shared" si="32"/>
        <v/>
      </c>
      <c r="V72" t="str">
        <f t="shared" si="32"/>
        <v/>
      </c>
      <c r="W72" t="str">
        <f t="shared" si="32"/>
        <v/>
      </c>
      <c r="X72" t="str">
        <f t="shared" si="32"/>
        <v/>
      </c>
      <c r="Y72" t="str">
        <f t="shared" si="32"/>
        <v/>
      </c>
      <c r="Z72" s="20"/>
    </row>
    <row r="73" spans="1:26" x14ac:dyDescent="0.25">
      <c r="A73" t="str">
        <f t="shared" ref="A73:Y73" si="33">IF(A56="","",A40*(A56-$M$45)^2)</f>
        <v/>
      </c>
      <c r="B73" t="str">
        <f t="shared" si="33"/>
        <v/>
      </c>
      <c r="C73" t="str">
        <f t="shared" si="33"/>
        <v/>
      </c>
      <c r="D73" t="str">
        <f t="shared" si="33"/>
        <v/>
      </c>
      <c r="E73" t="str">
        <f t="shared" si="33"/>
        <v/>
      </c>
      <c r="F73" t="str">
        <f t="shared" si="33"/>
        <v/>
      </c>
      <c r="G73" t="str">
        <f t="shared" si="33"/>
        <v/>
      </c>
      <c r="H73" t="str">
        <f t="shared" si="33"/>
        <v/>
      </c>
      <c r="I73" t="str">
        <f t="shared" si="33"/>
        <v/>
      </c>
      <c r="J73" t="str">
        <f t="shared" si="33"/>
        <v/>
      </c>
      <c r="K73" t="str">
        <f t="shared" si="33"/>
        <v/>
      </c>
      <c r="L73" t="str">
        <f t="shared" si="33"/>
        <v/>
      </c>
      <c r="M73" t="str">
        <f t="shared" si="33"/>
        <v/>
      </c>
      <c r="N73" t="str">
        <f t="shared" si="33"/>
        <v/>
      </c>
      <c r="O73" t="str">
        <f t="shared" si="33"/>
        <v/>
      </c>
      <c r="P73" t="str">
        <f t="shared" si="33"/>
        <v/>
      </c>
      <c r="Q73" t="str">
        <f t="shared" si="33"/>
        <v/>
      </c>
      <c r="R73" t="str">
        <f t="shared" si="33"/>
        <v/>
      </c>
      <c r="S73" t="str">
        <f t="shared" si="33"/>
        <v/>
      </c>
      <c r="T73" t="str">
        <f t="shared" si="33"/>
        <v/>
      </c>
      <c r="U73" t="str">
        <f t="shared" si="33"/>
        <v/>
      </c>
      <c r="V73" t="str">
        <f t="shared" si="33"/>
        <v/>
      </c>
      <c r="W73" t="str">
        <f t="shared" si="33"/>
        <v/>
      </c>
      <c r="X73" t="str">
        <f t="shared" si="33"/>
        <v/>
      </c>
      <c r="Y73" t="str">
        <f t="shared" si="33"/>
        <v/>
      </c>
      <c r="Z73" s="20"/>
    </row>
    <row r="74" spans="1:26" x14ac:dyDescent="0.25">
      <c r="A74" t="str">
        <f t="shared" ref="A74:Y74" si="34">IF(A57="","",A41*(A57-$M$45)^2)</f>
        <v/>
      </c>
      <c r="B74" t="str">
        <f t="shared" si="34"/>
        <v/>
      </c>
      <c r="C74" t="str">
        <f t="shared" si="34"/>
        <v/>
      </c>
      <c r="D74" t="str">
        <f t="shared" si="34"/>
        <v/>
      </c>
      <c r="E74" t="str">
        <f t="shared" si="34"/>
        <v/>
      </c>
      <c r="F74" t="str">
        <f t="shared" si="34"/>
        <v/>
      </c>
      <c r="G74" t="str">
        <f t="shared" si="34"/>
        <v/>
      </c>
      <c r="H74" t="str">
        <f t="shared" si="34"/>
        <v/>
      </c>
      <c r="I74" t="str">
        <f t="shared" si="34"/>
        <v/>
      </c>
      <c r="J74" t="str">
        <f t="shared" si="34"/>
        <v/>
      </c>
      <c r="K74" t="str">
        <f t="shared" si="34"/>
        <v/>
      </c>
      <c r="L74" t="str">
        <f t="shared" si="34"/>
        <v/>
      </c>
      <c r="M74" t="str">
        <f t="shared" si="34"/>
        <v/>
      </c>
      <c r="N74" t="str">
        <f t="shared" si="34"/>
        <v/>
      </c>
      <c r="O74" t="str">
        <f t="shared" si="34"/>
        <v/>
      </c>
      <c r="P74" t="str">
        <f t="shared" si="34"/>
        <v/>
      </c>
      <c r="Q74" t="str">
        <f t="shared" si="34"/>
        <v/>
      </c>
      <c r="R74" t="str">
        <f t="shared" si="34"/>
        <v/>
      </c>
      <c r="S74" t="str">
        <f t="shared" si="34"/>
        <v/>
      </c>
      <c r="T74" t="str">
        <f t="shared" si="34"/>
        <v/>
      </c>
      <c r="U74" t="str">
        <f t="shared" si="34"/>
        <v/>
      </c>
      <c r="V74" t="str">
        <f t="shared" si="34"/>
        <v/>
      </c>
      <c r="W74" t="str">
        <f t="shared" si="34"/>
        <v/>
      </c>
      <c r="X74" t="str">
        <f t="shared" si="34"/>
        <v/>
      </c>
      <c r="Y74" t="str">
        <f t="shared" si="34"/>
        <v/>
      </c>
      <c r="Z74" s="20"/>
    </row>
    <row r="75" spans="1:26" x14ac:dyDescent="0.25">
      <c r="A75" t="str">
        <f t="shared" ref="A75:Y75" si="35">IF(A58="","",A42*(A58-$M$45)^2)</f>
        <v/>
      </c>
      <c r="B75" t="str">
        <f t="shared" si="35"/>
        <v/>
      </c>
      <c r="C75" t="str">
        <f t="shared" si="35"/>
        <v/>
      </c>
      <c r="D75" t="str">
        <f t="shared" si="35"/>
        <v/>
      </c>
      <c r="E75" t="str">
        <f t="shared" si="35"/>
        <v/>
      </c>
      <c r="F75" t="str">
        <f t="shared" si="35"/>
        <v/>
      </c>
      <c r="G75" t="str">
        <f t="shared" si="35"/>
        <v/>
      </c>
      <c r="H75" t="str">
        <f t="shared" si="35"/>
        <v/>
      </c>
      <c r="I75" t="str">
        <f t="shared" si="35"/>
        <v/>
      </c>
      <c r="J75" t="str">
        <f t="shared" si="35"/>
        <v/>
      </c>
      <c r="K75" t="str">
        <f t="shared" si="35"/>
        <v/>
      </c>
      <c r="L75" t="str">
        <f t="shared" si="35"/>
        <v/>
      </c>
      <c r="M75" t="str">
        <f t="shared" si="35"/>
        <v/>
      </c>
      <c r="N75" t="str">
        <f t="shared" si="35"/>
        <v/>
      </c>
      <c r="O75" t="str">
        <f t="shared" si="35"/>
        <v/>
      </c>
      <c r="P75" t="str">
        <f t="shared" si="35"/>
        <v/>
      </c>
      <c r="Q75" t="str">
        <f t="shared" si="35"/>
        <v/>
      </c>
      <c r="R75" t="str">
        <f t="shared" si="35"/>
        <v/>
      </c>
      <c r="S75" t="str">
        <f t="shared" si="35"/>
        <v/>
      </c>
      <c r="T75" t="str">
        <f t="shared" si="35"/>
        <v/>
      </c>
      <c r="U75" t="str">
        <f t="shared" si="35"/>
        <v/>
      </c>
      <c r="V75" t="str">
        <f t="shared" si="35"/>
        <v/>
      </c>
      <c r="W75" t="str">
        <f t="shared" si="35"/>
        <v/>
      </c>
      <c r="X75" t="str">
        <f t="shared" si="35"/>
        <v/>
      </c>
      <c r="Y75" t="str">
        <f t="shared" si="35"/>
        <v/>
      </c>
      <c r="Z75" s="20"/>
    </row>
    <row r="76" spans="1:26" x14ac:dyDescent="0.25">
      <c r="Z76" s="20"/>
    </row>
    <row r="77" spans="1:26" x14ac:dyDescent="0.25">
      <c r="Z77" s="20"/>
    </row>
    <row r="78" spans="1:26" x14ac:dyDescent="0.25">
      <c r="A78" t="s">
        <v>185</v>
      </c>
      <c r="J78" t="s">
        <v>39</v>
      </c>
      <c r="M78">
        <f ca="1">MODEL_ANOVA!C2</f>
        <v>77.027827527973187</v>
      </c>
      <c r="Z78" s="20"/>
    </row>
    <row r="79" spans="1:26" x14ac:dyDescent="0.25">
      <c r="A79" t="str">
        <f>A66</f>
        <v>A</v>
      </c>
      <c r="B79" t="str">
        <f t="shared" ref="B79:Y79" si="36">B66</f>
        <v>C</v>
      </c>
      <c r="C79" t="str">
        <f t="shared" si="36"/>
        <v>E</v>
      </c>
      <c r="D79" t="str">
        <f t="shared" si="36"/>
        <v>AC</v>
      </c>
      <c r="E79" t="str">
        <f t="shared" si="36"/>
        <v>AE</v>
      </c>
      <c r="F79" t="str">
        <f t="shared" si="36"/>
        <v/>
      </c>
      <c r="G79" t="str">
        <f t="shared" si="36"/>
        <v/>
      </c>
      <c r="H79" t="str">
        <f t="shared" si="36"/>
        <v/>
      </c>
      <c r="I79" t="str">
        <f t="shared" si="36"/>
        <v/>
      </c>
      <c r="J79" t="str">
        <f t="shared" si="36"/>
        <v/>
      </c>
      <c r="K79" t="str">
        <f t="shared" si="36"/>
        <v/>
      </c>
      <c r="L79" t="str">
        <f t="shared" si="36"/>
        <v/>
      </c>
      <c r="M79" t="str">
        <f t="shared" si="36"/>
        <v/>
      </c>
      <c r="N79" t="str">
        <f t="shared" si="36"/>
        <v/>
      </c>
      <c r="O79" t="str">
        <f t="shared" si="36"/>
        <v/>
      </c>
      <c r="P79" t="str">
        <f t="shared" si="36"/>
        <v/>
      </c>
      <c r="Q79" t="str">
        <f t="shared" si="36"/>
        <v/>
      </c>
      <c r="R79" t="str">
        <f t="shared" si="36"/>
        <v/>
      </c>
      <c r="S79" t="str">
        <f t="shared" si="36"/>
        <v/>
      </c>
      <c r="T79" t="str">
        <f t="shared" si="36"/>
        <v/>
      </c>
      <c r="U79" t="str">
        <f t="shared" si="36"/>
        <v/>
      </c>
      <c r="V79" t="str">
        <f t="shared" si="36"/>
        <v/>
      </c>
      <c r="W79" t="str">
        <f t="shared" si="36"/>
        <v/>
      </c>
      <c r="X79" t="str">
        <f t="shared" si="36"/>
        <v/>
      </c>
      <c r="Y79" t="str">
        <f t="shared" si="36"/>
        <v/>
      </c>
      <c r="Z79" s="20"/>
    </row>
    <row r="80" spans="1:26" x14ac:dyDescent="0.25">
      <c r="A80" s="5">
        <f t="shared" ref="A80:Y80" ca="1" si="37">IF(A79="","",A81/$M$78)</f>
        <v>9.4223631576323796E-2</v>
      </c>
      <c r="B80" s="5">
        <f t="shared" ca="1" si="37"/>
        <v>0.48788166330387112</v>
      </c>
      <c r="C80" s="5">
        <f t="shared" ca="1" si="37"/>
        <v>9.0986246841254018E-2</v>
      </c>
      <c r="D80" s="5">
        <f t="shared" ca="1" si="37"/>
        <v>5.3799627282635543E-2</v>
      </c>
      <c r="E80" s="5">
        <f t="shared" ca="1" si="37"/>
        <v>7.2876123722829395E-2</v>
      </c>
      <c r="F80" s="5" t="str">
        <f t="shared" si="37"/>
        <v/>
      </c>
      <c r="G80" s="5" t="str">
        <f t="shared" si="37"/>
        <v/>
      </c>
      <c r="H80" s="5" t="str">
        <f t="shared" si="37"/>
        <v/>
      </c>
      <c r="I80" s="5" t="str">
        <f t="shared" si="37"/>
        <v/>
      </c>
      <c r="J80" s="5" t="str">
        <f t="shared" si="37"/>
        <v/>
      </c>
      <c r="K80" s="5" t="str">
        <f t="shared" si="37"/>
        <v/>
      </c>
      <c r="L80" s="5" t="str">
        <f t="shared" si="37"/>
        <v/>
      </c>
      <c r="M80" s="5" t="str">
        <f t="shared" si="37"/>
        <v/>
      </c>
      <c r="N80" s="5" t="str">
        <f t="shared" si="37"/>
        <v/>
      </c>
      <c r="O80" s="5" t="str">
        <f t="shared" si="37"/>
        <v/>
      </c>
      <c r="P80" s="5" t="str">
        <f t="shared" si="37"/>
        <v/>
      </c>
      <c r="Q80" s="5" t="str">
        <f t="shared" si="37"/>
        <v/>
      </c>
      <c r="R80" s="5" t="str">
        <f t="shared" si="37"/>
        <v/>
      </c>
      <c r="S80" s="5" t="str">
        <f t="shared" si="37"/>
        <v/>
      </c>
      <c r="T80" s="5" t="str">
        <f t="shared" si="37"/>
        <v/>
      </c>
      <c r="U80" s="5" t="str">
        <f t="shared" si="37"/>
        <v/>
      </c>
      <c r="V80" s="5" t="str">
        <f t="shared" si="37"/>
        <v/>
      </c>
      <c r="W80" s="5" t="str">
        <f t="shared" si="37"/>
        <v/>
      </c>
      <c r="X80" s="5" t="str">
        <f t="shared" si="37"/>
        <v/>
      </c>
      <c r="Y80" s="5" t="str">
        <f t="shared" si="37"/>
        <v/>
      </c>
      <c r="Z80" s="20"/>
    </row>
    <row r="81" spans="1:26" x14ac:dyDescent="0.25">
      <c r="A81" cm="1">
        <f t="array" aca="1" ref="A81:Y81" ca="1">IFERROR(TRANSPOSE(MODEL_ANOVA!C7:C31),"")</f>
        <v>7.2578416421203578</v>
      </c>
      <c r="B81">
        <f ca="1"/>
        <v>37.580464615031268</v>
      </c>
      <c r="C81">
        <f ca="1"/>
        <v>7.00847292910571</v>
      </c>
      <c r="D81">
        <f ca="1"/>
        <v>4.1440684113960913</v>
      </c>
      <c r="E81">
        <f ca="1"/>
        <v>5.6134894890293383</v>
      </c>
      <c r="F81" t="str">
        <f ca="1"/>
        <v/>
      </c>
      <c r="G81" t="str">
        <f ca="1"/>
        <v/>
      </c>
      <c r="H81" t="str">
        <f ca="1"/>
        <v/>
      </c>
      <c r="I81" t="str">
        <f ca="1"/>
        <v/>
      </c>
      <c r="J81" t="str">
        <f ca="1"/>
        <v/>
      </c>
      <c r="K81" t="str">
        <f ca="1"/>
        <v/>
      </c>
      <c r="L81" t="str">
        <f ca="1"/>
        <v/>
      </c>
      <c r="M81" t="str">
        <f ca="1"/>
        <v/>
      </c>
      <c r="N81" t="str">
        <f ca="1"/>
        <v/>
      </c>
      <c r="O81" t="str">
        <f ca="1"/>
        <v/>
      </c>
      <c r="P81" t="str">
        <f ca="1"/>
        <v/>
      </c>
      <c r="Q81" t="str">
        <f ca="1"/>
        <v/>
      </c>
      <c r="R81" t="str">
        <f ca="1"/>
        <v/>
      </c>
      <c r="S81" t="str">
        <f ca="1"/>
        <v/>
      </c>
      <c r="T81" t="str">
        <f ca="1"/>
        <v/>
      </c>
      <c r="U81" t="str">
        <f ca="1"/>
        <v/>
      </c>
      <c r="V81" t="str">
        <f ca="1"/>
        <v/>
      </c>
      <c r="W81" t="str">
        <f ca="1"/>
        <v/>
      </c>
      <c r="X81" t="str">
        <f ca="1"/>
        <v/>
      </c>
      <c r="Y81" t="str">
        <f ca="1"/>
        <v/>
      </c>
      <c r="Z81" s="20"/>
    </row>
    <row r="82" spans="1:26" x14ac:dyDescent="0.25">
      <c r="Z82" s="20"/>
    </row>
    <row r="83" spans="1:26" x14ac:dyDescent="0.25">
      <c r="Z83" s="20"/>
    </row>
    <row r="84" spans="1:26" x14ac:dyDescent="0.25">
      <c r="A84" t="s">
        <v>96</v>
      </c>
      <c r="J84" t="s">
        <v>95</v>
      </c>
      <c r="M84">
        <f>SUM(A87:Y87)</f>
        <v>61.604337086682825</v>
      </c>
      <c r="V84" s="5"/>
      <c r="Z84" s="20"/>
    </row>
    <row r="85" spans="1:26" x14ac:dyDescent="0.25">
      <c r="A85" t="str">
        <f>A63</f>
        <v>A</v>
      </c>
      <c r="B85" t="str">
        <f t="shared" ref="B85:Y85" si="38">B63</f>
        <v>C</v>
      </c>
      <c r="C85" t="str">
        <f t="shared" si="38"/>
        <v>E</v>
      </c>
      <c r="D85" t="str">
        <f t="shared" si="38"/>
        <v>AC</v>
      </c>
      <c r="E85" t="str">
        <f t="shared" si="38"/>
        <v>AE</v>
      </c>
      <c r="F85" t="str">
        <f t="shared" si="38"/>
        <v/>
      </c>
      <c r="G85" t="str">
        <f t="shared" si="38"/>
        <v/>
      </c>
      <c r="H85" t="str">
        <f t="shared" si="38"/>
        <v/>
      </c>
      <c r="I85" t="str">
        <f t="shared" si="38"/>
        <v/>
      </c>
      <c r="J85" t="str">
        <f t="shared" si="38"/>
        <v/>
      </c>
      <c r="K85" t="str">
        <f t="shared" si="38"/>
        <v/>
      </c>
      <c r="L85" t="str">
        <f t="shared" si="38"/>
        <v/>
      </c>
      <c r="M85" t="str">
        <f t="shared" si="38"/>
        <v/>
      </c>
      <c r="N85" t="str">
        <f t="shared" si="38"/>
        <v/>
      </c>
      <c r="O85" t="str">
        <f t="shared" si="38"/>
        <v/>
      </c>
      <c r="P85" t="str">
        <f t="shared" si="38"/>
        <v/>
      </c>
      <c r="Q85" t="str">
        <f t="shared" si="38"/>
        <v/>
      </c>
      <c r="R85" t="str">
        <f t="shared" si="38"/>
        <v/>
      </c>
      <c r="S85" t="str">
        <f t="shared" si="38"/>
        <v/>
      </c>
      <c r="T85" t="str">
        <f t="shared" si="38"/>
        <v/>
      </c>
      <c r="U85" t="str">
        <f t="shared" si="38"/>
        <v/>
      </c>
      <c r="V85" t="str">
        <f t="shared" si="38"/>
        <v/>
      </c>
      <c r="W85" t="str">
        <f t="shared" si="38"/>
        <v/>
      </c>
      <c r="X85" t="str">
        <f t="shared" si="38"/>
        <v/>
      </c>
      <c r="Y85" t="str">
        <f t="shared" si="38"/>
        <v/>
      </c>
      <c r="Z85" s="20"/>
    </row>
    <row r="86" spans="1:26" x14ac:dyDescent="0.25">
      <c r="A86" s="5">
        <f>IF(A85="","",A87/$M$84)</f>
        <v>0.11781380963336939</v>
      </c>
      <c r="B86" s="5">
        <f t="shared" ref="B86:Y86" si="39">IF(B85="","",B87/$M$84)</f>
        <v>0.6100295270145063</v>
      </c>
      <c r="C86" s="5">
        <f t="shared" si="39"/>
        <v>0.1137659012423775</v>
      </c>
      <c r="D86" s="5">
        <f t="shared" si="39"/>
        <v>6.7269101614794033E-2</v>
      </c>
      <c r="E86" s="5">
        <f t="shared" si="39"/>
        <v>9.1121660494952739E-2</v>
      </c>
      <c r="F86" s="5" t="str">
        <f t="shared" si="39"/>
        <v/>
      </c>
      <c r="G86" s="5" t="str">
        <f t="shared" si="39"/>
        <v/>
      </c>
      <c r="H86" s="5" t="str">
        <f t="shared" si="39"/>
        <v/>
      </c>
      <c r="I86" s="5" t="str">
        <f t="shared" si="39"/>
        <v/>
      </c>
      <c r="J86" s="5" t="str">
        <f t="shared" si="39"/>
        <v/>
      </c>
      <c r="K86" s="5" t="str">
        <f t="shared" si="39"/>
        <v/>
      </c>
      <c r="L86" s="5" t="str">
        <f t="shared" si="39"/>
        <v/>
      </c>
      <c r="M86" s="5" t="str">
        <f t="shared" si="39"/>
        <v/>
      </c>
      <c r="N86" s="5" t="str">
        <f t="shared" si="39"/>
        <v/>
      </c>
      <c r="O86" s="5" t="str">
        <f t="shared" si="39"/>
        <v/>
      </c>
      <c r="P86" s="5" t="str">
        <f t="shared" si="39"/>
        <v/>
      </c>
      <c r="Q86" s="5" t="str">
        <f t="shared" si="39"/>
        <v/>
      </c>
      <c r="R86" s="5" t="str">
        <f t="shared" si="39"/>
        <v/>
      </c>
      <c r="S86" s="5" t="str">
        <f t="shared" si="39"/>
        <v/>
      </c>
      <c r="T86" s="5" t="str">
        <f t="shared" si="39"/>
        <v/>
      </c>
      <c r="U86" s="5" t="str">
        <f t="shared" si="39"/>
        <v/>
      </c>
      <c r="V86" s="5" t="str">
        <f t="shared" si="39"/>
        <v/>
      </c>
      <c r="W86" s="5" t="str">
        <f t="shared" si="39"/>
        <v/>
      </c>
      <c r="X86" s="5" t="str">
        <f t="shared" si="39"/>
        <v/>
      </c>
      <c r="Y86" s="5" t="str">
        <f t="shared" si="39"/>
        <v/>
      </c>
      <c r="Z86" s="18"/>
    </row>
    <row r="87" spans="1:26" x14ac:dyDescent="0.25">
      <c r="A87">
        <f>IF(A85="","",A65/A28)</f>
        <v>7.2578416421203684</v>
      </c>
      <c r="B87">
        <f t="shared" ref="B87:Y87" si="40">IF(B85="","",B65/B28)</f>
        <v>37.580464615031332</v>
      </c>
      <c r="C87">
        <f t="shared" si="40"/>
        <v>7.0084729291056913</v>
      </c>
      <c r="D87">
        <f t="shared" si="40"/>
        <v>4.1440684113960913</v>
      </c>
      <c r="E87">
        <f t="shared" si="40"/>
        <v>5.6134894890293383</v>
      </c>
      <c r="F87" t="str">
        <f t="shared" si="40"/>
        <v/>
      </c>
      <c r="G87" t="str">
        <f t="shared" si="40"/>
        <v/>
      </c>
      <c r="H87" t="str">
        <f t="shared" si="40"/>
        <v/>
      </c>
      <c r="I87" t="str">
        <f t="shared" si="40"/>
        <v/>
      </c>
      <c r="J87" t="str">
        <f t="shared" si="40"/>
        <v/>
      </c>
      <c r="K87" t="str">
        <f t="shared" si="40"/>
        <v/>
      </c>
      <c r="L87" t="str">
        <f t="shared" si="40"/>
        <v/>
      </c>
      <c r="M87" t="str">
        <f t="shared" si="40"/>
        <v/>
      </c>
      <c r="N87" t="str">
        <f t="shared" si="40"/>
        <v/>
      </c>
      <c r="O87" t="str">
        <f t="shared" si="40"/>
        <v/>
      </c>
      <c r="P87" t="str">
        <f t="shared" si="40"/>
        <v/>
      </c>
      <c r="Q87" t="str">
        <f t="shared" si="40"/>
        <v/>
      </c>
      <c r="R87" t="str">
        <f t="shared" si="40"/>
        <v/>
      </c>
      <c r="S87" t="str">
        <f t="shared" si="40"/>
        <v/>
      </c>
      <c r="T87" t="str">
        <f t="shared" si="40"/>
        <v/>
      </c>
      <c r="U87" t="str">
        <f t="shared" si="40"/>
        <v/>
      </c>
      <c r="V87" t="str">
        <f t="shared" si="40"/>
        <v/>
      </c>
      <c r="W87" t="str">
        <f t="shared" si="40"/>
        <v/>
      </c>
      <c r="X87" t="str">
        <f t="shared" si="40"/>
        <v/>
      </c>
      <c r="Y87" t="str">
        <f t="shared" si="40"/>
        <v/>
      </c>
      <c r="Z87" s="18"/>
    </row>
    <row r="88" spans="1:26" x14ac:dyDescent="0.25">
      <c r="Z88" s="18"/>
    </row>
  </sheetData>
  <mergeCells count="4">
    <mergeCell ref="F3:G3"/>
    <mergeCell ref="D45:I45"/>
    <mergeCell ref="Z1:Z21"/>
    <mergeCell ref="Z61:Z85"/>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411E2-FB98-41A1-8B12-B4A9BA14E9AF}">
  <sheetPr>
    <tabColor theme="7"/>
  </sheetPr>
  <dimension ref="A1:AK51"/>
  <sheetViews>
    <sheetView zoomScaleNormal="100" workbookViewId="0"/>
  </sheetViews>
  <sheetFormatPr baseColWidth="10" defaultColWidth="0" defaultRowHeight="15" zeroHeight="1" x14ac:dyDescent="0.25"/>
  <cols>
    <col min="1" max="1" width="4.42578125" customWidth="1"/>
    <col min="2" max="2" width="7.7109375" customWidth="1"/>
    <col min="3" max="5" width="9.7109375" customWidth="1"/>
    <col min="6" max="6" width="4.140625" customWidth="1"/>
    <col min="7" max="31" width="6.42578125" customWidth="1"/>
    <col min="32" max="32" width="4.42578125" hidden="1" customWidth="1"/>
    <col min="33" max="34" width="9.140625" hidden="1" customWidth="1"/>
    <col min="35" max="16384" width="11.42578125" hidden="1"/>
  </cols>
  <sheetData>
    <row r="1" spans="1:37" x14ac:dyDescent="0.25">
      <c r="B1" t="s">
        <v>147</v>
      </c>
      <c r="C1" s="2">
        <v>0.05</v>
      </c>
      <c r="D1" t="s">
        <v>148</v>
      </c>
      <c r="E1">
        <f ca="1">_xlfn.T.INV(1-C1/2,AK7)</f>
        <v>2.0555294386428731</v>
      </c>
    </row>
    <row r="2" spans="1:37" x14ac:dyDescent="0.25"/>
    <row r="3" spans="1:37" x14ac:dyDescent="0.25">
      <c r="B3" t="s">
        <v>78</v>
      </c>
      <c r="C3" t="s">
        <v>140</v>
      </c>
      <c r="D3" t="s">
        <v>150</v>
      </c>
      <c r="E3" t="s">
        <v>149</v>
      </c>
      <c r="F3" t="s">
        <v>79</v>
      </c>
      <c r="G3" t="str">
        <f>MODEL_MATRIX!C1</f>
        <v>A</v>
      </c>
      <c r="H3" t="str">
        <f>MODEL_MATRIX!D1</f>
        <v>C</v>
      </c>
      <c r="I3" t="str">
        <f>MODEL_MATRIX!E1</f>
        <v>E</v>
      </c>
      <c r="J3" t="str">
        <f>MODEL_MATRIX!F1</f>
        <v>AC</v>
      </c>
      <c r="K3" t="str">
        <f>MODEL_MATRIX!G1</f>
        <v>AE</v>
      </c>
      <c r="L3" t="str">
        <f>MODEL_MATRIX!H1</f>
        <v/>
      </c>
      <c r="M3" t="str">
        <f>MODEL_MATRIX!I1</f>
        <v/>
      </c>
      <c r="N3" t="str">
        <f>MODEL_MATRIX!J1</f>
        <v/>
      </c>
      <c r="O3" t="str">
        <f>MODEL_MATRIX!K1</f>
        <v/>
      </c>
      <c r="P3" t="str">
        <f>MODEL_MATRIX!L1</f>
        <v/>
      </c>
      <c r="Q3" t="str">
        <f>MODEL_MATRIX!M1</f>
        <v/>
      </c>
      <c r="R3" t="str">
        <f>MODEL_MATRIX!N1</f>
        <v/>
      </c>
      <c r="S3" t="str">
        <f>MODEL_MATRIX!O1</f>
        <v/>
      </c>
      <c r="T3" t="str">
        <f>MODEL_MATRIX!P1</f>
        <v/>
      </c>
      <c r="U3" t="str">
        <f>MODEL_MATRIX!Q1</f>
        <v/>
      </c>
      <c r="V3" t="str">
        <f>MODEL_MATRIX!R1</f>
        <v/>
      </c>
      <c r="W3" t="str">
        <f>MODEL_MATRIX!S1</f>
        <v/>
      </c>
      <c r="X3" t="str">
        <f>MODEL_MATRIX!T1</f>
        <v/>
      </c>
      <c r="Y3" t="str">
        <f>MODEL_MATRIX!U1</f>
        <v/>
      </c>
      <c r="Z3" t="str">
        <f>MODEL_MATRIX!V1</f>
        <v/>
      </c>
      <c r="AA3" t="str">
        <f>MODEL_MATRIX!W1</f>
        <v/>
      </c>
      <c r="AB3" t="str">
        <f>MODEL_MATRIX!X1</f>
        <v/>
      </c>
      <c r="AC3" t="str">
        <f>MODEL_MATRIX!Y1</f>
        <v/>
      </c>
      <c r="AD3" t="str">
        <f>MODEL_MATRIX!Z1</f>
        <v/>
      </c>
      <c r="AE3" t="str">
        <f>MODEL_MATRIX!AA1</f>
        <v/>
      </c>
      <c r="AG3" t="s">
        <v>141</v>
      </c>
      <c r="AH3" t="s">
        <v>142</v>
      </c>
      <c r="AJ3" t="s">
        <v>143</v>
      </c>
    </row>
    <row r="4" spans="1:37" x14ac:dyDescent="0.25">
      <c r="A4">
        <v>1</v>
      </c>
      <c r="B4" s="1" t="str" cm="1">
        <f t="array" aca="1" ref="B4" ca="1">IF(G4="","",MMULT(OFFSET(F4,0,0,COUNT(F4:F23),COUNT(F4:AE4)),OFFSET(AG4,0,0,COUNT(F4:AE4),1)))</f>
        <v/>
      </c>
      <c r="C4" s="1" t="str" cm="1">
        <f t="array" aca="1" ref="C4" ca="1">IF(G4="","",(MMULT((OFFSET(F4,0,0,COUNT(F4:F23),COUNT(F4:AE4))-OFFSET(F31,0,0,COUNT(F4:F23),COUNT(F4:AE4)))^2,OFFSET(AH4,0,0,COUNT(F4:AE4),1)^2)+$AJ$4^2/$AJ$7)^0.5)</f>
        <v/>
      </c>
      <c r="D4" s="1" t="str">
        <f t="shared" ref="D4:D23" ca="1" si="0">IF(B4="","",B4-C4*$E$1)</f>
        <v/>
      </c>
      <c r="E4" s="1" t="str">
        <f t="shared" ref="E4:E23" ca="1" si="1">IF(B4="","",B4+C4*$E$1)</f>
        <v/>
      </c>
      <c r="F4" s="1" t="str">
        <f>IF(G4="","",1)</f>
        <v/>
      </c>
      <c r="G4" s="1"/>
      <c r="H4" s="1"/>
      <c r="I4" s="1"/>
      <c r="J4" s="1"/>
      <c r="K4" s="1"/>
      <c r="L4" s="1"/>
      <c r="M4" s="1"/>
      <c r="N4" s="1"/>
      <c r="O4" s="1"/>
      <c r="P4" s="1"/>
      <c r="Q4" s="1"/>
      <c r="R4" s="1"/>
      <c r="S4" s="1"/>
      <c r="T4" s="1"/>
      <c r="U4" s="1"/>
      <c r="V4" s="1"/>
      <c r="W4" s="1"/>
      <c r="X4" s="1"/>
      <c r="Y4" s="1"/>
      <c r="Z4" s="1"/>
      <c r="AA4" s="1"/>
      <c r="AB4" s="1"/>
      <c r="AC4" s="1"/>
      <c r="AD4" s="1"/>
      <c r="AE4" s="1"/>
      <c r="AF4">
        <v>1</v>
      </c>
      <c r="AG4" s="1">
        <f ca="1">IF(AF4&gt;MODEL_FIT!$H$1+1,"",OFFSET(MODEL_FIT!$A$6,0,MODEL_FIT!$H$1+1-ROW()+ROW($AG$4),1,1))</f>
        <v>5.9889290109375004</v>
      </c>
      <c r="AH4" s="1">
        <f ca="1">IF(AF4&gt;MODEL_FIT!$H$1+1,"",OFFSET(MODEL_FIT!$A$7,0,MODEL_FIT!$H$1+1-ROW()+ROW($AG$4),1,1))</f>
        <v>0.13615377001056336</v>
      </c>
      <c r="AI4" s="1" t="str">
        <f ca="1">IF(AF4&gt;MODEL_FIT!$H$1+1,"",OFFSET(MODEL_FIT!$A$5,0,MODEL_FIT!$H$1+1-ROW()+ROW($AG$4),1,1))</f>
        <v>Intercept</v>
      </c>
      <c r="AJ4">
        <f ca="1">MODEL_FIT!C8</f>
        <v>0.7702020324686637</v>
      </c>
      <c r="AK4">
        <f ca="1">SQRT(AJ4^2/AJ7)</f>
        <v>0.13615377001056339</v>
      </c>
    </row>
    <row r="5" spans="1:37" x14ac:dyDescent="0.25">
      <c r="A5">
        <v>2</v>
      </c>
      <c r="B5" s="1"/>
      <c r="C5" s="1"/>
      <c r="D5" s="1" t="str">
        <f t="shared" si="0"/>
        <v/>
      </c>
      <c r="E5" s="1" t="str">
        <f t="shared" si="1"/>
        <v/>
      </c>
      <c r="F5" s="1" t="str">
        <f t="shared" ref="F5:F23" si="2">IF(G5="","",1)</f>
        <v/>
      </c>
      <c r="G5" s="1"/>
      <c r="H5" s="1"/>
      <c r="I5" s="1"/>
      <c r="J5" s="1"/>
      <c r="K5" s="1"/>
      <c r="L5" s="1"/>
      <c r="M5" s="1"/>
      <c r="N5" s="1"/>
      <c r="O5" s="1"/>
      <c r="P5" s="1"/>
      <c r="Q5" s="1"/>
      <c r="R5" s="1"/>
      <c r="S5" s="1"/>
      <c r="T5" s="1"/>
      <c r="U5" s="1"/>
      <c r="V5" s="1"/>
      <c r="W5" s="1"/>
      <c r="X5" s="1"/>
      <c r="Y5" s="1"/>
      <c r="Z5" s="1"/>
      <c r="AA5" s="1"/>
      <c r="AB5" s="1"/>
      <c r="AC5" s="1"/>
      <c r="AD5" s="1"/>
      <c r="AE5" s="1"/>
      <c r="AF5">
        <v>2</v>
      </c>
      <c r="AG5" s="1">
        <f ca="1">IF(AF5&gt;MODEL_FIT!$H$1+1,"",OFFSET(MODEL_FIT!$A$6,0,MODEL_FIT!$H$1+1-ROW()+ROW($AG$4),1,1))</f>
        <v>-0.47624316406249995</v>
      </c>
      <c r="AH5" s="1">
        <f ca="1">IF(AF5&gt;MODEL_FIT!$H$1+1,"",OFFSET(MODEL_FIT!$A$7,0,MODEL_FIT!$H$1+1-ROW()+ROW($AG$4),1,1))</f>
        <v>0.13615377001056339</v>
      </c>
      <c r="AI5" s="1" t="str">
        <f ca="1">IF(AF5&gt;MODEL_FIT!$H$1+1,"",OFFSET(MODEL_FIT!$A$5,0,MODEL_FIT!$H$1+1-ROW()+ROW($AG$4),1,1))</f>
        <v>A</v>
      </c>
    </row>
    <row r="6" spans="1:37" x14ac:dyDescent="0.25">
      <c r="A6">
        <v>3</v>
      </c>
      <c r="B6" s="1"/>
      <c r="C6" s="1"/>
      <c r="D6" s="1" t="str">
        <f t="shared" si="0"/>
        <v/>
      </c>
      <c r="E6" s="1" t="str">
        <f t="shared" si="1"/>
        <v/>
      </c>
      <c r="F6" s="1" t="str">
        <f t="shared" si="2"/>
        <v/>
      </c>
      <c r="G6" s="1"/>
      <c r="H6" s="1"/>
      <c r="I6" s="1"/>
      <c r="J6" s="1"/>
      <c r="K6" s="1"/>
      <c r="L6" s="1"/>
      <c r="M6" s="1"/>
      <c r="N6" s="1"/>
      <c r="O6" s="1"/>
      <c r="P6" s="1"/>
      <c r="Q6" s="1"/>
      <c r="R6" s="1"/>
      <c r="S6" s="1"/>
      <c r="T6" s="1"/>
      <c r="U6" s="1"/>
      <c r="V6" s="1"/>
      <c r="W6" s="1"/>
      <c r="X6" s="1"/>
      <c r="Y6" s="1"/>
      <c r="Z6" s="1"/>
      <c r="AA6" s="1"/>
      <c r="AB6" s="1"/>
      <c r="AC6" s="1"/>
      <c r="AD6" s="1"/>
      <c r="AE6" s="1"/>
      <c r="AF6">
        <v>3</v>
      </c>
      <c r="AG6" s="1">
        <f ca="1">IF(AF6&gt;MODEL_FIT!$H$1+1,"",OFFSET(MODEL_FIT!$A$6,0,MODEL_FIT!$H$1+1-ROW()+ROW($AG$4),1,1))</f>
        <v>1.0836925390624996</v>
      </c>
      <c r="AH6" s="1">
        <f ca="1">IF(AF6&gt;MODEL_FIT!$H$1+1,"",OFFSET(MODEL_FIT!$A$7,0,MODEL_FIT!$H$1+1-ROW()+ROW($AG$4),1,1))</f>
        <v>0.13615377001056339</v>
      </c>
      <c r="AI6" s="1" t="str">
        <f ca="1">IF(AF6&gt;MODEL_FIT!$H$1+1,"",OFFSET(MODEL_FIT!$A$5,0,MODEL_FIT!$H$1+1-ROW()+ROW($AG$4),1,1))</f>
        <v>C</v>
      </c>
      <c r="AJ6" t="s">
        <v>51</v>
      </c>
      <c r="AK6" t="s">
        <v>146</v>
      </c>
    </row>
    <row r="7" spans="1:37" x14ac:dyDescent="0.25">
      <c r="A7">
        <v>4</v>
      </c>
      <c r="B7" s="1"/>
      <c r="C7" s="1"/>
      <c r="D7" s="1" t="str">
        <f t="shared" si="0"/>
        <v/>
      </c>
      <c r="E7" s="1" t="str">
        <f t="shared" si="1"/>
        <v/>
      </c>
      <c r="F7" s="1" t="str">
        <f t="shared" si="2"/>
        <v/>
      </c>
      <c r="G7" s="1"/>
      <c r="H7" s="1"/>
      <c r="I7" s="1"/>
      <c r="J7" s="1"/>
      <c r="K7" s="1"/>
      <c r="L7" s="1"/>
      <c r="M7" s="1"/>
      <c r="N7" s="1"/>
      <c r="O7" s="1"/>
      <c r="P7" s="1"/>
      <c r="Q7" s="1"/>
      <c r="R7" s="1"/>
      <c r="S7" s="1"/>
      <c r="T7" s="1"/>
      <c r="U7" s="1"/>
      <c r="V7" s="1"/>
      <c r="W7" s="1"/>
      <c r="X7" s="1"/>
      <c r="Y7" s="1"/>
      <c r="Z7" s="1"/>
      <c r="AA7" s="1"/>
      <c r="AB7" s="1"/>
      <c r="AC7" s="1"/>
      <c r="AD7" s="1"/>
      <c r="AE7" s="1"/>
      <c r="AF7">
        <v>4</v>
      </c>
      <c r="AG7" s="1">
        <f ca="1">IF(AF7&gt;MODEL_FIT!$H$1+1,"",OFFSET(MODEL_FIT!$A$6,0,MODEL_FIT!$H$1+1-ROW()+ROW($AG$4),1,1))</f>
        <v>0.46799014843750014</v>
      </c>
      <c r="AH7" s="1">
        <f ca="1">IF(AF7&gt;MODEL_FIT!$H$1+1,"",OFFSET(MODEL_FIT!$A$7,0,MODEL_FIT!$H$1+1-ROW()+ROW($AG$4),1,1))</f>
        <v>0.13615377001056336</v>
      </c>
      <c r="AI7" s="1" t="str">
        <f ca="1">IF(AF7&gt;MODEL_FIT!$H$1+1,"",OFFSET(MODEL_FIT!$A$5,0,MODEL_FIT!$H$1+1-ROW()+ROW($AG$4),1,1))</f>
        <v>E</v>
      </c>
      <c r="AJ7">
        <f>DESIGN_FEATURES!E1</f>
        <v>32</v>
      </c>
      <c r="AK7">
        <f ca="1">MODEL_FIT!C9</f>
        <v>26</v>
      </c>
    </row>
    <row r="8" spans="1:37" x14ac:dyDescent="0.25">
      <c r="A8">
        <v>5</v>
      </c>
      <c r="B8" s="1"/>
      <c r="C8" s="1"/>
      <c r="D8" s="1" t="str">
        <f t="shared" si="0"/>
        <v/>
      </c>
      <c r="E8" s="1" t="str">
        <f t="shared" si="1"/>
        <v/>
      </c>
      <c r="F8" s="1" t="str">
        <f t="shared" si="2"/>
        <v/>
      </c>
      <c r="G8" s="1"/>
      <c r="H8" s="1"/>
      <c r="I8" s="1"/>
      <c r="J8" s="1"/>
      <c r="K8" s="1"/>
      <c r="L8" s="1"/>
      <c r="M8" s="1"/>
      <c r="N8" s="1"/>
      <c r="O8" s="1"/>
      <c r="P8" s="1"/>
      <c r="Q8" s="1"/>
      <c r="R8" s="1"/>
      <c r="S8" s="1"/>
      <c r="T8" s="1"/>
      <c r="U8" s="1"/>
      <c r="V8" s="1"/>
      <c r="W8" s="1"/>
      <c r="X8" s="1"/>
      <c r="Y8" s="1"/>
      <c r="Z8" s="1"/>
      <c r="AA8" s="1"/>
      <c r="AB8" s="1"/>
      <c r="AC8" s="1"/>
      <c r="AD8" s="1"/>
      <c r="AE8" s="1"/>
      <c r="AF8">
        <v>5</v>
      </c>
      <c r="AG8" s="1">
        <f ca="1">IF(AF8&gt;MODEL_FIT!$H$1+1,"",OFFSET(MODEL_FIT!$A$6,0,MODEL_FIT!$H$1+1-ROW()+ROW($AG$4),1,1))</f>
        <v>-0.35986405468749977</v>
      </c>
      <c r="AH8" s="1">
        <f ca="1">IF(AF8&gt;MODEL_FIT!$H$1+1,"",OFFSET(MODEL_FIT!$A$7,0,MODEL_FIT!$H$1+1-ROW()+ROW($AG$4),1,1))</f>
        <v>0.13615377001056336</v>
      </c>
      <c r="AI8" s="1" t="str">
        <f ca="1">IF(AF8&gt;MODEL_FIT!$H$1+1,"",OFFSET(MODEL_FIT!$A$5,0,MODEL_FIT!$H$1+1-ROW()+ROW($AG$4),1,1))</f>
        <v>AC</v>
      </c>
    </row>
    <row r="9" spans="1:37" x14ac:dyDescent="0.25">
      <c r="A9">
        <v>6</v>
      </c>
      <c r="B9" s="1"/>
      <c r="C9" s="1"/>
      <c r="D9" s="1" t="str">
        <f t="shared" si="0"/>
        <v/>
      </c>
      <c r="E9" s="1" t="str">
        <f t="shared" si="1"/>
        <v/>
      </c>
      <c r="F9" s="1" t="str">
        <f t="shared" si="2"/>
        <v/>
      </c>
      <c r="G9" s="1"/>
      <c r="H9" s="1"/>
      <c r="I9" s="1"/>
      <c r="J9" s="1"/>
      <c r="K9" s="1"/>
      <c r="L9" s="1"/>
      <c r="M9" s="1"/>
      <c r="N9" s="1"/>
      <c r="O9" s="1"/>
      <c r="P9" s="1"/>
      <c r="Q9" s="1"/>
      <c r="R9" s="1"/>
      <c r="S9" s="1"/>
      <c r="T9" s="1"/>
      <c r="U9" s="1"/>
      <c r="V9" s="1"/>
      <c r="W9" s="1"/>
      <c r="X9" s="1"/>
      <c r="Y9" s="1"/>
      <c r="Z9" s="1"/>
      <c r="AA9" s="1"/>
      <c r="AB9" s="1"/>
      <c r="AC9" s="1"/>
      <c r="AD9" s="1"/>
      <c r="AE9" s="1"/>
      <c r="AF9">
        <v>6</v>
      </c>
      <c r="AG9" s="1">
        <f ca="1">IF(AF9&gt;MODEL_FIT!$H$1+1,"",OFFSET(MODEL_FIT!$A$6,0,MODEL_FIT!$H$1+1-ROW()+ROW($AG$4),1,1))</f>
        <v>0.41883355468749978</v>
      </c>
      <c r="AH9" s="1">
        <f ca="1">IF(AF9&gt;MODEL_FIT!$H$1+1,"",OFFSET(MODEL_FIT!$A$7,0,MODEL_FIT!$H$1+1-ROW()+ROW($AG$4),1,1))</f>
        <v>0.13615377001056339</v>
      </c>
      <c r="AI9" s="1" t="str">
        <f ca="1">IF(AF9&gt;MODEL_FIT!$H$1+1,"",OFFSET(MODEL_FIT!$A$5,0,MODEL_FIT!$H$1+1-ROW()+ROW($AG$4),1,1))</f>
        <v>AE</v>
      </c>
    </row>
    <row r="10" spans="1:37" x14ac:dyDescent="0.25">
      <c r="A10">
        <v>7</v>
      </c>
      <c r="B10" s="1"/>
      <c r="C10" s="1"/>
      <c r="D10" s="1" t="str">
        <f t="shared" si="0"/>
        <v/>
      </c>
      <c r="E10" s="1" t="str">
        <f t="shared" si="1"/>
        <v/>
      </c>
      <c r="F10" s="1" t="str">
        <f t="shared" si="2"/>
        <v/>
      </c>
      <c r="G10" s="1"/>
      <c r="H10" s="1"/>
      <c r="I10" s="1"/>
      <c r="J10" s="1"/>
      <c r="K10" s="1"/>
      <c r="L10" s="1"/>
      <c r="M10" s="1"/>
      <c r="N10" s="1"/>
      <c r="O10" s="1"/>
      <c r="P10" s="1"/>
      <c r="Q10" s="1"/>
      <c r="R10" s="1"/>
      <c r="S10" s="1"/>
      <c r="T10" s="1"/>
      <c r="U10" s="1"/>
      <c r="V10" s="1"/>
      <c r="W10" s="1"/>
      <c r="X10" s="1"/>
      <c r="Y10" s="1"/>
      <c r="Z10" s="1"/>
      <c r="AA10" s="1"/>
      <c r="AB10" s="1"/>
      <c r="AC10" s="1"/>
      <c r="AD10" s="1"/>
      <c r="AE10" s="1"/>
      <c r="AF10">
        <v>7</v>
      </c>
      <c r="AG10" s="1" t="str">
        <f ca="1">IF(AF10&gt;MODEL_FIT!$H$1+1,"",OFFSET(MODEL_FIT!$A$6,0,MODEL_FIT!$H$1+1-ROW()+ROW($AG$4),1,1))</f>
        <v/>
      </c>
      <c r="AH10" s="1" t="str">
        <f ca="1">IF(AF10&gt;MODEL_FIT!$H$1+1,"",OFFSET(MODEL_FIT!$A$7,0,MODEL_FIT!$H$1+1-ROW()+ROW($AG$4),1,1))</f>
        <v/>
      </c>
      <c r="AI10" s="1" t="str">
        <f ca="1">IF(AF10&gt;MODEL_FIT!$H$1+1,"",OFFSET(MODEL_FIT!$A$5,0,MODEL_FIT!$H$1+1-ROW()+ROW($AG$4),1,1))</f>
        <v/>
      </c>
    </row>
    <row r="11" spans="1:37" x14ac:dyDescent="0.25">
      <c r="A11">
        <v>8</v>
      </c>
      <c r="B11" s="1"/>
      <c r="C11" s="1"/>
      <c r="D11" s="1" t="str">
        <f t="shared" si="0"/>
        <v/>
      </c>
      <c r="E11" s="1" t="str">
        <f t="shared" si="1"/>
        <v/>
      </c>
      <c r="F11" s="1" t="str">
        <f t="shared" si="2"/>
        <v/>
      </c>
      <c r="G11" s="1"/>
      <c r="H11" s="1"/>
      <c r="I11" s="1"/>
      <c r="J11" s="1"/>
      <c r="K11" s="1"/>
      <c r="L11" s="1"/>
      <c r="M11" s="1"/>
      <c r="N11" s="1"/>
      <c r="O11" s="1"/>
      <c r="P11" s="1"/>
      <c r="Q11" s="1"/>
      <c r="R11" s="1"/>
      <c r="S11" s="1"/>
      <c r="T11" s="1"/>
      <c r="U11" s="1"/>
      <c r="V11" s="1"/>
      <c r="W11" s="1"/>
      <c r="X11" s="1"/>
      <c r="Y11" s="1"/>
      <c r="Z11" s="1"/>
      <c r="AA11" s="1"/>
      <c r="AB11" s="1"/>
      <c r="AC11" s="1"/>
      <c r="AD11" s="1"/>
      <c r="AE11" s="1"/>
      <c r="AF11">
        <v>8</v>
      </c>
      <c r="AG11" s="1" t="str">
        <f ca="1">IF(AF11&gt;MODEL_FIT!$H$1+1,"",OFFSET(MODEL_FIT!$A$6,0,MODEL_FIT!$H$1+1-ROW()+ROW($AG$4),1,1))</f>
        <v/>
      </c>
      <c r="AH11" s="1" t="str">
        <f ca="1">IF(AF11&gt;MODEL_FIT!$H$1+1,"",OFFSET(MODEL_FIT!$A$7,0,MODEL_FIT!$H$1+1-ROW()+ROW($AG$4),1,1))</f>
        <v/>
      </c>
      <c r="AI11" s="1" t="str">
        <f ca="1">IF(AF11&gt;MODEL_FIT!$H$1+1,"",OFFSET(MODEL_FIT!$A$5,0,MODEL_FIT!$H$1+1-ROW()+ROW($AG$4),1,1))</f>
        <v/>
      </c>
    </row>
    <row r="12" spans="1:37" x14ac:dyDescent="0.25">
      <c r="A12">
        <v>9</v>
      </c>
      <c r="B12" s="1"/>
      <c r="C12" s="1"/>
      <c r="D12" s="1" t="str">
        <f t="shared" si="0"/>
        <v/>
      </c>
      <c r="E12" s="1" t="str">
        <f t="shared" si="1"/>
        <v/>
      </c>
      <c r="F12" s="1" t="str">
        <f t="shared" si="2"/>
        <v/>
      </c>
      <c r="G12" s="1"/>
      <c r="H12" s="1"/>
      <c r="I12" s="1"/>
      <c r="J12" s="1"/>
      <c r="K12" s="1"/>
      <c r="L12" s="1"/>
      <c r="M12" s="1"/>
      <c r="N12" s="1"/>
      <c r="O12" s="1"/>
      <c r="P12" s="1"/>
      <c r="Q12" s="1"/>
      <c r="R12" s="1"/>
      <c r="S12" s="1"/>
      <c r="T12" s="1"/>
      <c r="U12" s="1"/>
      <c r="V12" s="1"/>
      <c r="W12" s="1"/>
      <c r="X12" s="1"/>
      <c r="Y12" s="1"/>
      <c r="Z12" s="1"/>
      <c r="AA12" s="1"/>
      <c r="AB12" s="1"/>
      <c r="AC12" s="1"/>
      <c r="AD12" s="1"/>
      <c r="AE12" s="1"/>
      <c r="AF12">
        <v>9</v>
      </c>
      <c r="AG12" s="1" t="str">
        <f ca="1">IF(AF12&gt;MODEL_FIT!$H$1+1,"",OFFSET(MODEL_FIT!$A$6,0,MODEL_FIT!$H$1+1-ROW()+ROW($AG$4),1,1))</f>
        <v/>
      </c>
      <c r="AH12" s="1" t="str">
        <f ca="1">IF(AF12&gt;MODEL_FIT!$H$1+1,"",OFFSET(MODEL_FIT!$A$7,0,MODEL_FIT!$H$1+1-ROW()+ROW($AG$4),1,1))</f>
        <v/>
      </c>
      <c r="AI12" s="1" t="str">
        <f ca="1">IF(AF12&gt;MODEL_FIT!$H$1+1,"",OFFSET(MODEL_FIT!$A$5,0,MODEL_FIT!$H$1+1-ROW()+ROW($AG$4),1,1))</f>
        <v/>
      </c>
    </row>
    <row r="13" spans="1:37" x14ac:dyDescent="0.25">
      <c r="A13">
        <v>10</v>
      </c>
      <c r="B13" s="1"/>
      <c r="C13" s="1"/>
      <c r="D13" s="1" t="str">
        <f t="shared" si="0"/>
        <v/>
      </c>
      <c r="E13" s="1" t="str">
        <f t="shared" si="1"/>
        <v/>
      </c>
      <c r="F13" s="1" t="str">
        <f t="shared" si="2"/>
        <v/>
      </c>
      <c r="G13" s="1"/>
      <c r="H13" s="1"/>
      <c r="I13" s="1"/>
      <c r="J13" s="1"/>
      <c r="K13" s="1"/>
      <c r="L13" s="1"/>
      <c r="M13" s="1"/>
      <c r="N13" s="1"/>
      <c r="O13" s="1"/>
      <c r="P13" s="1"/>
      <c r="Q13" s="1"/>
      <c r="R13" s="1"/>
      <c r="S13" s="1"/>
      <c r="T13" s="1"/>
      <c r="U13" s="1"/>
      <c r="V13" s="1"/>
      <c r="W13" s="1"/>
      <c r="X13" s="1"/>
      <c r="Y13" s="1"/>
      <c r="Z13" s="1"/>
      <c r="AA13" s="1"/>
      <c r="AB13" s="1"/>
      <c r="AC13" s="1"/>
      <c r="AD13" s="1"/>
      <c r="AE13" s="1"/>
      <c r="AF13">
        <v>10</v>
      </c>
      <c r="AG13" s="1" t="str">
        <f ca="1">IF(AF13&gt;MODEL_FIT!$H$1+1,"",OFFSET(MODEL_FIT!$A$6,0,MODEL_FIT!$H$1+1-ROW()+ROW($AG$4),1,1))</f>
        <v/>
      </c>
      <c r="AH13" s="1" t="str">
        <f ca="1">IF(AF13&gt;MODEL_FIT!$H$1+1,"",OFFSET(MODEL_FIT!$A$7,0,MODEL_FIT!$H$1+1-ROW()+ROW($AG$4),1,1))</f>
        <v/>
      </c>
      <c r="AI13" s="1" t="str">
        <f ca="1">IF(AF13&gt;MODEL_FIT!$H$1+1,"",OFFSET(MODEL_FIT!$A$5,0,MODEL_FIT!$H$1+1-ROW()+ROW($AG$4),1,1))</f>
        <v/>
      </c>
    </row>
    <row r="14" spans="1:37" x14ac:dyDescent="0.25">
      <c r="A14">
        <v>11</v>
      </c>
      <c r="B14" s="1"/>
      <c r="C14" s="1"/>
      <c r="D14" s="1" t="str">
        <f t="shared" si="0"/>
        <v/>
      </c>
      <c r="E14" s="1" t="str">
        <f t="shared" si="1"/>
        <v/>
      </c>
      <c r="F14" s="1" t="str">
        <f t="shared" si="2"/>
        <v/>
      </c>
      <c r="G14" s="1"/>
      <c r="H14" s="1"/>
      <c r="I14" s="1"/>
      <c r="J14" s="1"/>
      <c r="K14" s="1"/>
      <c r="L14" s="1"/>
      <c r="M14" s="1"/>
      <c r="N14" s="1"/>
      <c r="O14" s="1"/>
      <c r="P14" s="1"/>
      <c r="Q14" s="1"/>
      <c r="R14" s="1"/>
      <c r="S14" s="1"/>
      <c r="T14" s="1"/>
      <c r="U14" s="1"/>
      <c r="V14" s="1"/>
      <c r="W14" s="1"/>
      <c r="X14" s="1"/>
      <c r="Y14" s="1"/>
      <c r="Z14" s="1"/>
      <c r="AA14" s="1"/>
      <c r="AB14" s="1"/>
      <c r="AC14" s="1"/>
      <c r="AD14" s="1"/>
      <c r="AE14" s="1"/>
      <c r="AF14">
        <v>11</v>
      </c>
      <c r="AG14" s="1" t="str">
        <f ca="1">IF(AF14&gt;MODEL_FIT!$H$1+1,"",OFFSET(MODEL_FIT!$A$6,0,MODEL_FIT!$H$1+1-ROW()+ROW($AG$4),1,1))</f>
        <v/>
      </c>
      <c r="AH14" s="1" t="str">
        <f ca="1">IF(AF14&gt;MODEL_FIT!$H$1+1,"",OFFSET(MODEL_FIT!$A$7,0,MODEL_FIT!$H$1+1-ROW()+ROW($AG$4),1,1))</f>
        <v/>
      </c>
      <c r="AI14" s="1" t="str">
        <f ca="1">IF(AF14&gt;MODEL_FIT!$H$1+1,"",OFFSET(MODEL_FIT!$A$5,0,MODEL_FIT!$H$1+1-ROW()+ROW($AG$4),1,1))</f>
        <v/>
      </c>
    </row>
    <row r="15" spans="1:37" x14ac:dyDescent="0.25">
      <c r="A15">
        <v>12</v>
      </c>
      <c r="B15" s="1"/>
      <c r="C15" s="1"/>
      <c r="D15" s="1" t="str">
        <f t="shared" si="0"/>
        <v/>
      </c>
      <c r="E15" s="1" t="str">
        <f t="shared" si="1"/>
        <v/>
      </c>
      <c r="F15" s="1" t="str">
        <f t="shared" si="2"/>
        <v/>
      </c>
      <c r="G15" s="1"/>
      <c r="H15" s="1"/>
      <c r="I15" s="1"/>
      <c r="J15" s="1"/>
      <c r="K15" s="1"/>
      <c r="L15" s="1"/>
      <c r="M15" s="1"/>
      <c r="N15" s="1"/>
      <c r="O15" s="1"/>
      <c r="P15" s="1"/>
      <c r="Q15" s="1"/>
      <c r="R15" s="1"/>
      <c r="S15" s="1"/>
      <c r="T15" s="1"/>
      <c r="U15" s="1"/>
      <c r="V15" s="1"/>
      <c r="W15" s="1"/>
      <c r="X15" s="1"/>
      <c r="Y15" s="1"/>
      <c r="Z15" s="1"/>
      <c r="AA15" s="1"/>
      <c r="AB15" s="1"/>
      <c r="AC15" s="1"/>
      <c r="AD15" s="1"/>
      <c r="AE15" s="1"/>
      <c r="AF15">
        <v>12</v>
      </c>
      <c r="AG15" s="1" t="str">
        <f ca="1">IF(AF15&gt;MODEL_FIT!$H$1+1,"",OFFSET(MODEL_FIT!$A$6,0,MODEL_FIT!$H$1+1-ROW()+ROW($AG$4),1,1))</f>
        <v/>
      </c>
      <c r="AH15" s="1" t="str">
        <f ca="1">IF(AF15&gt;MODEL_FIT!$H$1+1,"",OFFSET(MODEL_FIT!$A$7,0,MODEL_FIT!$H$1+1-ROW()+ROW($AG$4),1,1))</f>
        <v/>
      </c>
      <c r="AI15" s="1" t="str">
        <f ca="1">IF(AF15&gt;MODEL_FIT!$H$1+1,"",OFFSET(MODEL_FIT!$A$5,0,MODEL_FIT!$H$1+1-ROW()+ROW($AG$4),1,1))</f>
        <v/>
      </c>
    </row>
    <row r="16" spans="1:37" x14ac:dyDescent="0.25">
      <c r="A16">
        <v>13</v>
      </c>
      <c r="B16" s="1"/>
      <c r="C16" s="1"/>
      <c r="D16" s="1" t="str">
        <f t="shared" si="0"/>
        <v/>
      </c>
      <c r="E16" s="1" t="str">
        <f t="shared" si="1"/>
        <v/>
      </c>
      <c r="F16" s="1" t="str">
        <f t="shared" si="2"/>
        <v/>
      </c>
      <c r="G16" s="1"/>
      <c r="H16" s="1"/>
      <c r="I16" s="1"/>
      <c r="J16" s="1"/>
      <c r="K16" s="1"/>
      <c r="L16" s="1"/>
      <c r="M16" s="1"/>
      <c r="N16" s="1"/>
      <c r="O16" s="1"/>
      <c r="P16" s="1"/>
      <c r="Q16" s="1"/>
      <c r="R16" s="1"/>
      <c r="S16" s="1"/>
      <c r="T16" s="1"/>
      <c r="U16" s="1"/>
      <c r="V16" s="1"/>
      <c r="W16" s="1"/>
      <c r="X16" s="1"/>
      <c r="Y16" s="1"/>
      <c r="Z16" s="1"/>
      <c r="AA16" s="1"/>
      <c r="AB16" s="1"/>
      <c r="AC16" s="1"/>
      <c r="AD16" s="1"/>
      <c r="AE16" s="1"/>
      <c r="AF16">
        <v>13</v>
      </c>
      <c r="AG16" s="1" t="str">
        <f ca="1">IF(AF16&gt;MODEL_FIT!$H$1+1,"",OFFSET(MODEL_FIT!$A$6,0,MODEL_FIT!$H$1+1-ROW()+ROW($AG$4),1,1))</f>
        <v/>
      </c>
      <c r="AH16" s="1" t="str">
        <f ca="1">IF(AF16&gt;MODEL_FIT!$H$1+1,"",OFFSET(MODEL_FIT!$A$7,0,MODEL_FIT!$H$1+1-ROW()+ROW($AG$4),1,1))</f>
        <v/>
      </c>
      <c r="AI16" s="1" t="str">
        <f ca="1">IF(AF16&gt;MODEL_FIT!$H$1+1,"",OFFSET(MODEL_FIT!$A$5,0,MODEL_FIT!$H$1+1-ROW()+ROW($AG$4),1,1))</f>
        <v/>
      </c>
    </row>
    <row r="17" spans="1:35" x14ac:dyDescent="0.25">
      <c r="A17">
        <v>14</v>
      </c>
      <c r="B17" s="1"/>
      <c r="C17" s="1"/>
      <c r="D17" s="1" t="str">
        <f t="shared" si="0"/>
        <v/>
      </c>
      <c r="E17" s="1" t="str">
        <f t="shared" si="1"/>
        <v/>
      </c>
      <c r="F17" s="1" t="str">
        <f t="shared" si="2"/>
        <v/>
      </c>
      <c r="G17" s="1"/>
      <c r="H17" s="1"/>
      <c r="I17" s="1"/>
      <c r="J17" s="1"/>
      <c r="K17" s="1"/>
      <c r="L17" s="1"/>
      <c r="M17" s="1"/>
      <c r="N17" s="1"/>
      <c r="O17" s="1"/>
      <c r="P17" s="1"/>
      <c r="Q17" s="1"/>
      <c r="R17" s="1"/>
      <c r="S17" s="1"/>
      <c r="T17" s="1"/>
      <c r="U17" s="1"/>
      <c r="V17" s="1"/>
      <c r="W17" s="1"/>
      <c r="X17" s="1"/>
      <c r="Y17" s="1"/>
      <c r="Z17" s="1"/>
      <c r="AA17" s="1"/>
      <c r="AB17" s="1"/>
      <c r="AC17" s="1"/>
      <c r="AD17" s="1"/>
      <c r="AE17" s="1"/>
      <c r="AF17">
        <v>14</v>
      </c>
      <c r="AG17" s="1" t="str">
        <f ca="1">IF(AF17&gt;MODEL_FIT!$H$1+1,"",OFFSET(MODEL_FIT!$A$6,0,MODEL_FIT!$H$1+1-ROW()+ROW($AG$4),1,1))</f>
        <v/>
      </c>
      <c r="AH17" s="1" t="str">
        <f ca="1">IF(AF17&gt;MODEL_FIT!$H$1+1,"",OFFSET(MODEL_FIT!$A$7,0,MODEL_FIT!$H$1+1-ROW()+ROW($AG$4),1,1))</f>
        <v/>
      </c>
      <c r="AI17" s="1" t="str">
        <f ca="1">IF(AF17&gt;MODEL_FIT!$H$1+1,"",OFFSET(MODEL_FIT!$A$5,0,MODEL_FIT!$H$1+1-ROW()+ROW($AG$4),1,1))</f>
        <v/>
      </c>
    </row>
    <row r="18" spans="1:35" x14ac:dyDescent="0.25">
      <c r="A18">
        <v>15</v>
      </c>
      <c r="B18" s="1"/>
      <c r="C18" s="1"/>
      <c r="D18" s="1" t="str">
        <f t="shared" si="0"/>
        <v/>
      </c>
      <c r="E18" s="1" t="str">
        <f t="shared" si="1"/>
        <v/>
      </c>
      <c r="F18" s="1" t="str">
        <f t="shared" si="2"/>
        <v/>
      </c>
      <c r="G18" s="1"/>
      <c r="H18" s="1"/>
      <c r="I18" s="1"/>
      <c r="J18" s="1"/>
      <c r="K18" s="1"/>
      <c r="L18" s="1"/>
      <c r="M18" s="1"/>
      <c r="N18" s="1"/>
      <c r="O18" s="1"/>
      <c r="P18" s="1"/>
      <c r="Q18" s="1"/>
      <c r="R18" s="1"/>
      <c r="S18" s="1"/>
      <c r="T18" s="1"/>
      <c r="U18" s="1"/>
      <c r="V18" s="1"/>
      <c r="W18" s="1"/>
      <c r="X18" s="1"/>
      <c r="Y18" s="1"/>
      <c r="Z18" s="1"/>
      <c r="AA18" s="1"/>
      <c r="AB18" s="1"/>
      <c r="AC18" s="1"/>
      <c r="AD18" s="1"/>
      <c r="AE18" s="1"/>
      <c r="AF18">
        <v>15</v>
      </c>
      <c r="AG18" s="1" t="str">
        <f ca="1">IF(AF18&gt;MODEL_FIT!$H$1+1,"",OFFSET(MODEL_FIT!$A$6,0,MODEL_FIT!$H$1+1-ROW()+ROW($AG$4),1,1))</f>
        <v/>
      </c>
      <c r="AH18" s="1" t="str">
        <f ca="1">IF(AF18&gt;MODEL_FIT!$H$1+1,"",OFFSET(MODEL_FIT!$A$7,0,MODEL_FIT!$H$1+1-ROW()+ROW($AG$4),1,1))</f>
        <v/>
      </c>
      <c r="AI18" s="1" t="str">
        <f ca="1">IF(AF18&gt;MODEL_FIT!$H$1+1,"",OFFSET(MODEL_FIT!$A$5,0,MODEL_FIT!$H$1+1-ROW()+ROW($AG$4),1,1))</f>
        <v/>
      </c>
    </row>
    <row r="19" spans="1:35" x14ac:dyDescent="0.25">
      <c r="A19">
        <v>16</v>
      </c>
      <c r="B19" s="1"/>
      <c r="C19" s="1"/>
      <c r="D19" s="1" t="str">
        <f t="shared" si="0"/>
        <v/>
      </c>
      <c r="E19" s="1" t="str">
        <f t="shared" si="1"/>
        <v/>
      </c>
      <c r="F19" s="1" t="str">
        <f t="shared" si="2"/>
        <v/>
      </c>
      <c r="G19" s="1"/>
      <c r="H19" s="1"/>
      <c r="I19" s="1"/>
      <c r="J19" s="1"/>
      <c r="K19" s="1"/>
      <c r="L19" s="1"/>
      <c r="M19" s="1"/>
      <c r="N19" s="1"/>
      <c r="O19" s="1"/>
      <c r="P19" s="1"/>
      <c r="Q19" s="1"/>
      <c r="R19" s="1"/>
      <c r="S19" s="1"/>
      <c r="T19" s="1"/>
      <c r="U19" s="1"/>
      <c r="V19" s="1"/>
      <c r="W19" s="1"/>
      <c r="X19" s="1"/>
      <c r="Y19" s="1"/>
      <c r="Z19" s="1"/>
      <c r="AA19" s="1"/>
      <c r="AB19" s="1"/>
      <c r="AC19" s="1"/>
      <c r="AD19" s="1"/>
      <c r="AE19" s="1"/>
      <c r="AF19">
        <v>16</v>
      </c>
      <c r="AG19" s="1" t="str">
        <f ca="1">IF(AF19&gt;MODEL_FIT!$H$1+1,"",OFFSET(MODEL_FIT!$A$6,0,MODEL_FIT!$H$1+1-ROW()+ROW($AG$4),1,1))</f>
        <v/>
      </c>
      <c r="AH19" s="1" t="str">
        <f ca="1">IF(AF19&gt;MODEL_FIT!$H$1+1,"",OFFSET(MODEL_FIT!$A$7,0,MODEL_FIT!$H$1+1-ROW()+ROW($AG$4),1,1))</f>
        <v/>
      </c>
      <c r="AI19" s="1" t="str">
        <f ca="1">IF(AF19&gt;MODEL_FIT!$H$1+1,"",OFFSET(MODEL_FIT!$A$5,0,MODEL_FIT!$H$1+1-ROW()+ROW($AG$4),1,1))</f>
        <v/>
      </c>
    </row>
    <row r="20" spans="1:35" x14ac:dyDescent="0.25">
      <c r="A20">
        <v>17</v>
      </c>
      <c r="B20" s="1"/>
      <c r="C20" s="1"/>
      <c r="D20" s="1" t="str">
        <f t="shared" si="0"/>
        <v/>
      </c>
      <c r="E20" s="1" t="str">
        <f t="shared" si="1"/>
        <v/>
      </c>
      <c r="F20" s="1" t="str">
        <f t="shared" si="2"/>
        <v/>
      </c>
      <c r="G20" s="1"/>
      <c r="H20" s="1"/>
      <c r="I20" s="1"/>
      <c r="J20" s="1"/>
      <c r="K20" s="1"/>
      <c r="L20" s="1"/>
      <c r="M20" s="1"/>
      <c r="N20" s="1"/>
      <c r="O20" s="1"/>
      <c r="P20" s="1"/>
      <c r="Q20" s="1"/>
      <c r="R20" s="1"/>
      <c r="S20" s="1"/>
      <c r="T20" s="1"/>
      <c r="U20" s="1"/>
      <c r="V20" s="1"/>
      <c r="W20" s="1"/>
      <c r="X20" s="1"/>
      <c r="Y20" s="1"/>
      <c r="Z20" s="1"/>
      <c r="AA20" s="1"/>
      <c r="AB20" s="1"/>
      <c r="AC20" s="1"/>
      <c r="AD20" s="1"/>
      <c r="AE20" s="1"/>
      <c r="AF20">
        <v>17</v>
      </c>
      <c r="AG20" s="1" t="str">
        <f ca="1">IF(AF20&gt;MODEL_FIT!$H$1+1,"",OFFSET(MODEL_FIT!$A$6,0,MODEL_FIT!$H$1+1-ROW()+ROW($AG$4),1,1))</f>
        <v/>
      </c>
      <c r="AH20" s="1" t="str">
        <f ca="1">IF(AF20&gt;MODEL_FIT!$H$1+1,"",OFFSET(MODEL_FIT!$A$7,0,MODEL_FIT!$H$1+1-ROW()+ROW($AG$4),1,1))</f>
        <v/>
      </c>
      <c r="AI20" s="1" t="str">
        <f ca="1">IF(AF20&gt;MODEL_FIT!$H$1+1,"",OFFSET(MODEL_FIT!$A$5,0,MODEL_FIT!$H$1+1-ROW()+ROW($AG$4),1,1))</f>
        <v/>
      </c>
    </row>
    <row r="21" spans="1:35" x14ac:dyDescent="0.25">
      <c r="A21">
        <v>18</v>
      </c>
      <c r="B21" s="1"/>
      <c r="C21" s="1"/>
      <c r="D21" s="1" t="str">
        <f t="shared" si="0"/>
        <v/>
      </c>
      <c r="E21" s="1" t="str">
        <f t="shared" si="1"/>
        <v/>
      </c>
      <c r="F21" s="1" t="str">
        <f t="shared" si="2"/>
        <v/>
      </c>
      <c r="G21" s="1"/>
      <c r="H21" s="1"/>
      <c r="I21" s="1"/>
      <c r="J21" s="1"/>
      <c r="K21" s="1"/>
      <c r="L21" s="1"/>
      <c r="M21" s="1"/>
      <c r="N21" s="1"/>
      <c r="O21" s="1"/>
      <c r="P21" s="1"/>
      <c r="Q21" s="1"/>
      <c r="R21" s="1"/>
      <c r="S21" s="1"/>
      <c r="T21" s="1"/>
      <c r="U21" s="1"/>
      <c r="V21" s="1"/>
      <c r="W21" s="1"/>
      <c r="X21" s="1"/>
      <c r="Y21" s="1"/>
      <c r="Z21" s="1"/>
      <c r="AA21" s="1"/>
      <c r="AB21" s="1"/>
      <c r="AC21" s="1"/>
      <c r="AD21" s="1"/>
      <c r="AE21" s="1"/>
      <c r="AF21">
        <v>18</v>
      </c>
      <c r="AG21" s="1" t="str">
        <f ca="1">IF(AF21&gt;MODEL_FIT!$H$1+1,"",OFFSET(MODEL_FIT!$A$6,0,MODEL_FIT!$H$1+1-ROW()+ROW($AG$4),1,1))</f>
        <v/>
      </c>
      <c r="AH21" s="1" t="str">
        <f ca="1">IF(AF21&gt;MODEL_FIT!$H$1+1,"",OFFSET(MODEL_FIT!$A$7,0,MODEL_FIT!$H$1+1-ROW()+ROW($AG$4),1,1))</f>
        <v/>
      </c>
      <c r="AI21" s="1" t="str">
        <f ca="1">IF(AF21&gt;MODEL_FIT!$H$1+1,"",OFFSET(MODEL_FIT!$A$5,0,MODEL_FIT!$H$1+1-ROW()+ROW($AG$4),1,1))</f>
        <v/>
      </c>
    </row>
    <row r="22" spans="1:35" x14ac:dyDescent="0.25">
      <c r="A22">
        <v>19</v>
      </c>
      <c r="B22" s="1"/>
      <c r="C22" s="1"/>
      <c r="D22" s="1" t="str">
        <f t="shared" si="0"/>
        <v/>
      </c>
      <c r="E22" s="1" t="str">
        <f t="shared" si="1"/>
        <v/>
      </c>
      <c r="F22" s="1" t="str">
        <f t="shared" si="2"/>
        <v/>
      </c>
      <c r="G22" s="1"/>
      <c r="H22" s="1"/>
      <c r="I22" s="1"/>
      <c r="J22" s="1"/>
      <c r="K22" s="1"/>
      <c r="L22" s="1"/>
      <c r="M22" s="1"/>
      <c r="N22" s="1"/>
      <c r="O22" s="1"/>
      <c r="P22" s="1"/>
      <c r="Q22" s="1"/>
      <c r="R22" s="1"/>
      <c r="S22" s="1"/>
      <c r="T22" s="1"/>
      <c r="U22" s="1"/>
      <c r="V22" s="1"/>
      <c r="W22" s="1"/>
      <c r="X22" s="1"/>
      <c r="Y22" s="1"/>
      <c r="Z22" s="1"/>
      <c r="AA22" s="1"/>
      <c r="AB22" s="1"/>
      <c r="AC22" s="1"/>
      <c r="AD22" s="1"/>
      <c r="AE22" s="1"/>
      <c r="AF22">
        <v>19</v>
      </c>
      <c r="AG22" s="1" t="str">
        <f ca="1">IF(AF22&gt;MODEL_FIT!$H$1+1,"",OFFSET(MODEL_FIT!$A$6,0,MODEL_FIT!$H$1+1-ROW()+ROW($AG$4),1,1))</f>
        <v/>
      </c>
      <c r="AH22" s="1" t="str">
        <f ca="1">IF(AF22&gt;MODEL_FIT!$H$1+1,"",OFFSET(MODEL_FIT!$A$7,0,MODEL_FIT!$H$1+1-ROW()+ROW($AG$4),1,1))</f>
        <v/>
      </c>
      <c r="AI22" s="1" t="str">
        <f ca="1">IF(AF22&gt;MODEL_FIT!$H$1+1,"",OFFSET(MODEL_FIT!$A$5,0,MODEL_FIT!$H$1+1-ROW()+ROW($AG$4),1,1))</f>
        <v/>
      </c>
    </row>
    <row r="23" spans="1:35" x14ac:dyDescent="0.25">
      <c r="A23">
        <v>20</v>
      </c>
      <c r="B23" s="1"/>
      <c r="C23" s="1"/>
      <c r="D23" s="1" t="str">
        <f t="shared" si="0"/>
        <v/>
      </c>
      <c r="E23" s="1" t="str">
        <f t="shared" si="1"/>
        <v/>
      </c>
      <c r="F23" s="1" t="str">
        <f t="shared" si="2"/>
        <v/>
      </c>
      <c r="G23" s="1"/>
      <c r="H23" s="1"/>
      <c r="I23" s="1"/>
      <c r="J23" s="1"/>
      <c r="K23" s="1"/>
      <c r="L23" s="1"/>
      <c r="M23" s="1"/>
      <c r="N23" s="1"/>
      <c r="O23" s="1"/>
      <c r="P23" s="1"/>
      <c r="Q23" s="1"/>
      <c r="R23" s="1"/>
      <c r="S23" s="1"/>
      <c r="T23" s="1"/>
      <c r="U23" s="1"/>
      <c r="V23" s="1"/>
      <c r="W23" s="1"/>
      <c r="X23" s="1"/>
      <c r="Y23" s="1"/>
      <c r="Z23" s="1"/>
      <c r="AA23" s="1"/>
      <c r="AB23" s="1"/>
      <c r="AC23" s="1"/>
      <c r="AD23" s="1"/>
      <c r="AE23" s="1"/>
      <c r="AF23">
        <v>20</v>
      </c>
      <c r="AG23" s="1" t="str">
        <f ca="1">IF(AF23&gt;MODEL_FIT!$H$1+1,"",OFFSET(MODEL_FIT!$A$6,0,MODEL_FIT!$H$1+1-ROW()+ROW($AG$4),1,1))</f>
        <v/>
      </c>
      <c r="AH23" s="1" t="str">
        <f ca="1">IF(AF23&gt;MODEL_FIT!$H$1+1,"",OFFSET(MODEL_FIT!$A$7,0,MODEL_FIT!$H$1+1-ROW()+ROW($AG$4),1,1))</f>
        <v/>
      </c>
      <c r="AI23" s="1" t="str">
        <f ca="1">IF(AF23&gt;MODEL_FIT!$H$1+1,"",OFFSET(MODEL_FIT!$A$5,0,MODEL_FIT!$H$1+1-ROW()+ROW($AG$4),1,1))</f>
        <v/>
      </c>
    </row>
    <row r="24" spans="1:35" x14ac:dyDescent="0.25">
      <c r="AF24">
        <v>21</v>
      </c>
      <c r="AG24" s="1" t="str">
        <f ca="1">IF(AF24&gt;MODEL_FIT!$H$1+1,"",OFFSET(MODEL_FIT!$A$6,0,MODEL_FIT!$H$1+1-ROW()+ROW($AG$4),1,1))</f>
        <v/>
      </c>
      <c r="AH24" s="1" t="str">
        <f ca="1">IF(AF24&gt;MODEL_FIT!$H$1+1,"",OFFSET(MODEL_FIT!$A$7,0,MODEL_FIT!$H$1+1-ROW()+ROW($AG$4),1,1))</f>
        <v/>
      </c>
      <c r="AI24" s="1" t="str">
        <f ca="1">IF(AF24&gt;MODEL_FIT!$H$1+1,"",OFFSET(MODEL_FIT!$A$5,0,MODEL_FIT!$H$1+1-ROW()+ROW($AG$4),1,1))</f>
        <v/>
      </c>
    </row>
    <row r="25" spans="1:35" ht="15" customHeight="1" x14ac:dyDescent="0.25">
      <c r="A25" s="20" t="s">
        <v>176</v>
      </c>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v>22</v>
      </c>
      <c r="AG25" s="1" t="str">
        <f ca="1">IF(AF25&gt;MODEL_FIT!$H$1+1,"",OFFSET(MODEL_FIT!$A$6,0,MODEL_FIT!$H$1+1-ROW()+ROW($AG$4),1,1))</f>
        <v/>
      </c>
      <c r="AH25" s="1" t="str">
        <f ca="1">IF(AF25&gt;MODEL_FIT!$H$1+1,"",OFFSET(MODEL_FIT!$A$7,0,MODEL_FIT!$H$1+1-ROW()+ROW($AG$4),1,1))</f>
        <v/>
      </c>
      <c r="AI25" s="1" t="str">
        <f ca="1">IF(AF25&gt;MODEL_FIT!$H$1+1,"",OFFSET(MODEL_FIT!$A$5,0,MODEL_FIT!$H$1+1-ROW()+ROW($AG$4),1,1))</f>
        <v/>
      </c>
    </row>
    <row r="26" spans="1:35"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v>23</v>
      </c>
      <c r="AG26" s="1" t="str">
        <f ca="1">IF(AF26&gt;MODEL_FIT!$H$1+1,"",OFFSET(MODEL_FIT!$A$6,0,MODEL_FIT!$H$1+1-ROW()+ROW($AG$4),1,1))</f>
        <v/>
      </c>
      <c r="AH26" s="1" t="str">
        <f ca="1">IF(AF26&gt;MODEL_FIT!$H$1+1,"",OFFSET(MODEL_FIT!$A$7,0,MODEL_FIT!$H$1+1-ROW()+ROW($AG$4),1,1))</f>
        <v/>
      </c>
      <c r="AI26" s="1" t="str">
        <f ca="1">IF(AF26&gt;MODEL_FIT!$H$1+1,"",OFFSET(MODEL_FIT!$A$5,0,MODEL_FIT!$H$1+1-ROW()+ROW($AG$4),1,1))</f>
        <v/>
      </c>
    </row>
    <row r="27" spans="1:35" x14ac:dyDescent="0.25">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v>24</v>
      </c>
      <c r="AG27" s="1" t="str">
        <f ca="1">IF(AF27&gt;MODEL_FIT!$H$1+1,"",OFFSET(MODEL_FIT!$A$6,0,MODEL_FIT!$H$1+1-ROW()+ROW($AG$4),1,1))</f>
        <v/>
      </c>
      <c r="AH27" s="1" t="str">
        <f ca="1">IF(AF27&gt;MODEL_FIT!$H$1+1,"",OFFSET(MODEL_FIT!$A$7,0,MODEL_FIT!$H$1+1-ROW()+ROW($AG$4),1,1))</f>
        <v/>
      </c>
      <c r="AI27" s="1" t="str">
        <f ca="1">IF(AF27&gt;MODEL_FIT!$H$1+1,"",OFFSET(MODEL_FIT!$A$5,0,MODEL_FIT!$H$1+1-ROW()+ROW($AG$4),1,1))</f>
        <v/>
      </c>
    </row>
    <row r="28" spans="1:35" x14ac:dyDescent="0.25">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v>25</v>
      </c>
      <c r="AG28" s="1" t="str">
        <f ca="1">IF(AF28&gt;MODEL_FIT!$H$1+1,"",OFFSET(MODEL_FIT!$A$6,0,MODEL_FIT!$H$1+1-ROW()+ROW($AG$4),1,1))</f>
        <v/>
      </c>
      <c r="AH28" s="1" t="str">
        <f ca="1">IF(AF28&gt;MODEL_FIT!$H$1+1,"",OFFSET(MODEL_FIT!$A$7,0,MODEL_FIT!$H$1+1-ROW()+ROW($AG$4),1,1))</f>
        <v/>
      </c>
      <c r="AI28" s="1" t="str">
        <f ca="1">IF(AF28&gt;MODEL_FIT!$H$1+1,"",OFFSET(MODEL_FIT!$A$5,0,MODEL_FIT!$H$1+1-ROW()+ROW($AG$4),1,1))</f>
        <v/>
      </c>
    </row>
    <row r="29" spans="1:35" x14ac:dyDescent="0.25">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v>26</v>
      </c>
      <c r="AG29" s="1" t="str">
        <f ca="1">IF(AF29&gt;MODEL_FIT!$H$1+1,"",OFFSET(MODEL_FIT!$A$6,0,MODEL_FIT!$H$1+1-ROW()+ROW($AG$4),1,1))</f>
        <v/>
      </c>
      <c r="AH29" s="1" t="str">
        <f ca="1">IF(AF29&gt;MODEL_FIT!$H$1+1,"",OFFSET(MODEL_FIT!$A$7,0,MODEL_FIT!$H$1+1-ROW()+ROW($AG$4),1,1))</f>
        <v/>
      </c>
      <c r="AI29" s="1" t="str">
        <f ca="1">IF(AF29&gt;MODEL_FIT!$H$1+1,"",OFFSET(MODEL_FIT!$A$5,0,MODEL_FIT!$H$1+1-ROW()+ROW($AG$4),1,1))</f>
        <v/>
      </c>
    </row>
    <row r="31" spans="1:35" hidden="1" x14ac:dyDescent="0.25">
      <c r="C31" t="s">
        <v>144</v>
      </c>
      <c r="F31">
        <v>1</v>
      </c>
      <c r="G31">
        <f>IF(G3="","",AVERAGE(MODEL_MATRIX!C2:C71))</f>
        <v>0</v>
      </c>
      <c r="H31">
        <f>IF(H3="","",AVERAGE(MODEL_MATRIX!D2:D71))</f>
        <v>0</v>
      </c>
      <c r="I31">
        <f>IF(I3="","",AVERAGE(MODEL_MATRIX!E2:E71))</f>
        <v>0</v>
      </c>
      <c r="J31">
        <f>IF(J3="","",AVERAGE(MODEL_MATRIX!F2:F71))</f>
        <v>0</v>
      </c>
      <c r="K31">
        <f>IF(K3="","",AVERAGE(MODEL_MATRIX!G2:G71))</f>
        <v>0</v>
      </c>
      <c r="L31" t="str">
        <f>IF(L3="","",AVERAGE(MODEL_MATRIX!H2:H71))</f>
        <v/>
      </c>
      <c r="M31" t="str">
        <f>IF(M3="","",AVERAGE(MODEL_MATRIX!I2:I71))</f>
        <v/>
      </c>
      <c r="N31" t="str">
        <f>IF(N3="","",AVERAGE(MODEL_MATRIX!J2:J71))</f>
        <v/>
      </c>
      <c r="O31" t="str">
        <f>IF(O3="","",AVERAGE(MODEL_MATRIX!K2:K71))</f>
        <v/>
      </c>
      <c r="P31" t="str">
        <f>IF(P3="","",AVERAGE(MODEL_MATRIX!L2:L71))</f>
        <v/>
      </c>
      <c r="Q31" t="str">
        <f>IF(Q3="","",AVERAGE(MODEL_MATRIX!M2:M71))</f>
        <v/>
      </c>
      <c r="R31" t="str">
        <f>IF(R3="","",AVERAGE(MODEL_MATRIX!N2:N71))</f>
        <v/>
      </c>
      <c r="S31" t="str">
        <f>IF(S3="","",AVERAGE(MODEL_MATRIX!O2:O71))</f>
        <v/>
      </c>
      <c r="T31" t="str">
        <f>IF(T3="","",AVERAGE(MODEL_MATRIX!P2:P71))</f>
        <v/>
      </c>
      <c r="U31" t="str">
        <f>IF(U3="","",AVERAGE(MODEL_MATRIX!Q2:Q71))</f>
        <v/>
      </c>
      <c r="V31" t="str">
        <f>IF(V3="","",AVERAGE(MODEL_MATRIX!R2:R71))</f>
        <v/>
      </c>
      <c r="W31" t="str">
        <f>IF(W3="","",AVERAGE(MODEL_MATRIX!S2:S71))</f>
        <v/>
      </c>
      <c r="X31" t="str">
        <f>IF(X3="","",AVERAGE(MODEL_MATRIX!T2:T71))</f>
        <v/>
      </c>
      <c r="Y31" t="str">
        <f>IF(Y3="","",AVERAGE(MODEL_MATRIX!U2:U71))</f>
        <v/>
      </c>
      <c r="Z31" t="str">
        <f>IF(Z3="","",AVERAGE(MODEL_MATRIX!V2:V71))</f>
        <v/>
      </c>
      <c r="AA31" t="str">
        <f>IF(AA3="","",AVERAGE(MODEL_MATRIX!W2:W71))</f>
        <v/>
      </c>
      <c r="AB31" t="str">
        <f>IF(AB3="","",AVERAGE(MODEL_MATRIX!X2:X71))</f>
        <v/>
      </c>
      <c r="AC31" t="str">
        <f>IF(AC3="","",AVERAGE(MODEL_MATRIX!Y2:Y71))</f>
        <v/>
      </c>
      <c r="AD31" t="str">
        <f>IF(AD3="","",AVERAGE(MODEL_MATRIX!Z2:Z71))</f>
        <v/>
      </c>
      <c r="AE31" t="str">
        <f>IF(AE3="","",AVERAGE(MODEL_MATRIX!AA2:AA71))</f>
        <v/>
      </c>
    </row>
    <row r="32" spans="1:35" hidden="1" x14ac:dyDescent="0.25">
      <c r="F32" s="1" t="str">
        <f t="shared" ref="F32:AE32" si="3">IF(F4="","",F$31)</f>
        <v/>
      </c>
      <c r="G32" s="1" t="str">
        <f t="shared" si="3"/>
        <v/>
      </c>
      <c r="H32" s="1" t="str">
        <f t="shared" si="3"/>
        <v/>
      </c>
      <c r="I32" s="1" t="str">
        <f t="shared" si="3"/>
        <v/>
      </c>
      <c r="J32" s="1" t="str">
        <f t="shared" si="3"/>
        <v/>
      </c>
      <c r="K32" s="1" t="str">
        <f t="shared" si="3"/>
        <v/>
      </c>
      <c r="L32" s="1" t="str">
        <f t="shared" si="3"/>
        <v/>
      </c>
      <c r="M32" s="1" t="str">
        <f t="shared" si="3"/>
        <v/>
      </c>
      <c r="N32" s="1" t="str">
        <f t="shared" si="3"/>
        <v/>
      </c>
      <c r="O32" s="1" t="str">
        <f t="shared" si="3"/>
        <v/>
      </c>
      <c r="P32" s="1" t="str">
        <f t="shared" si="3"/>
        <v/>
      </c>
      <c r="Q32" s="1" t="str">
        <f t="shared" si="3"/>
        <v/>
      </c>
      <c r="R32" s="1" t="str">
        <f t="shared" si="3"/>
        <v/>
      </c>
      <c r="S32" s="1" t="str">
        <f t="shared" si="3"/>
        <v/>
      </c>
      <c r="T32" s="1" t="str">
        <f t="shared" si="3"/>
        <v/>
      </c>
      <c r="U32" s="1" t="str">
        <f t="shared" si="3"/>
        <v/>
      </c>
      <c r="V32" s="1" t="str">
        <f t="shared" si="3"/>
        <v/>
      </c>
      <c r="W32" s="1" t="str">
        <f t="shared" si="3"/>
        <v/>
      </c>
      <c r="X32" s="1" t="str">
        <f t="shared" si="3"/>
        <v/>
      </c>
      <c r="Y32" s="1" t="str">
        <f t="shared" si="3"/>
        <v/>
      </c>
      <c r="Z32" s="1" t="str">
        <f t="shared" si="3"/>
        <v/>
      </c>
      <c r="AA32" s="1" t="str">
        <f t="shared" si="3"/>
        <v/>
      </c>
      <c r="AB32" s="1" t="str">
        <f t="shared" si="3"/>
        <v/>
      </c>
      <c r="AC32" s="1" t="str">
        <f t="shared" si="3"/>
        <v/>
      </c>
      <c r="AD32" s="1" t="str">
        <f t="shared" si="3"/>
        <v/>
      </c>
      <c r="AE32" s="1" t="str">
        <f t="shared" si="3"/>
        <v/>
      </c>
    </row>
    <row r="33" spans="4:31" hidden="1" x14ac:dyDescent="0.25">
      <c r="D33" t="e" cm="1">
        <f t="array" aca="1" ref="D33" ca="1">MMULT((OFFSET(F4,0,0,COUNT(F4:F23),COUNT(F4:AE4))-OFFSET(F31,0,0,COUNT(F4:F23),COUNT(F4:AE4)))^2,OFFSET(AH4,0,0,COUNT(F4:AE4),1)^2)</f>
        <v>#REF!</v>
      </c>
      <c r="F33" s="1" t="str">
        <f t="shared" ref="F33:AE33" si="4">IF(F5="","",F$31)</f>
        <v/>
      </c>
      <c r="G33" s="1" t="str">
        <f t="shared" si="4"/>
        <v/>
      </c>
      <c r="H33" s="1" t="str">
        <f t="shared" si="4"/>
        <v/>
      </c>
      <c r="I33" s="1" t="str">
        <f t="shared" si="4"/>
        <v/>
      </c>
      <c r="J33" s="1" t="str">
        <f t="shared" si="4"/>
        <v/>
      </c>
      <c r="K33" s="1" t="str">
        <f t="shared" si="4"/>
        <v/>
      </c>
      <c r="L33" s="1" t="str">
        <f t="shared" si="4"/>
        <v/>
      </c>
      <c r="M33" s="1" t="str">
        <f t="shared" si="4"/>
        <v/>
      </c>
      <c r="N33" s="1" t="str">
        <f t="shared" si="4"/>
        <v/>
      </c>
      <c r="O33" s="1" t="str">
        <f t="shared" si="4"/>
        <v/>
      </c>
      <c r="P33" s="1" t="str">
        <f t="shared" si="4"/>
        <v/>
      </c>
      <c r="Q33" s="1" t="str">
        <f t="shared" si="4"/>
        <v/>
      </c>
      <c r="R33" s="1" t="str">
        <f t="shared" si="4"/>
        <v/>
      </c>
      <c r="S33" s="1" t="str">
        <f t="shared" si="4"/>
        <v/>
      </c>
      <c r="T33" s="1" t="str">
        <f t="shared" si="4"/>
        <v/>
      </c>
      <c r="U33" s="1" t="str">
        <f t="shared" si="4"/>
        <v/>
      </c>
      <c r="V33" s="1" t="str">
        <f t="shared" si="4"/>
        <v/>
      </c>
      <c r="W33" s="1" t="str">
        <f t="shared" si="4"/>
        <v/>
      </c>
      <c r="X33" s="1" t="str">
        <f t="shared" si="4"/>
        <v/>
      </c>
      <c r="Y33" s="1" t="str">
        <f t="shared" si="4"/>
        <v/>
      </c>
      <c r="Z33" s="1" t="str">
        <f t="shared" si="4"/>
        <v/>
      </c>
      <c r="AA33" s="1" t="str">
        <f t="shared" si="4"/>
        <v/>
      </c>
      <c r="AB33" s="1" t="str">
        <f t="shared" si="4"/>
        <v/>
      </c>
      <c r="AC33" s="1" t="str">
        <f t="shared" si="4"/>
        <v/>
      </c>
      <c r="AD33" s="1" t="str">
        <f t="shared" si="4"/>
        <v/>
      </c>
      <c r="AE33" s="1" t="str">
        <f t="shared" si="4"/>
        <v/>
      </c>
    </row>
    <row r="34" spans="4:31" hidden="1" x14ac:dyDescent="0.25">
      <c r="F34" s="1" t="str">
        <f t="shared" ref="F34:AE34" si="5">IF(F6="","",F$31)</f>
        <v/>
      </c>
      <c r="G34" s="1" t="str">
        <f t="shared" si="5"/>
        <v/>
      </c>
      <c r="H34" s="1" t="str">
        <f t="shared" si="5"/>
        <v/>
      </c>
      <c r="I34" s="1" t="str">
        <f t="shared" si="5"/>
        <v/>
      </c>
      <c r="J34" s="1" t="str">
        <f t="shared" si="5"/>
        <v/>
      </c>
      <c r="K34" s="1" t="str">
        <f t="shared" si="5"/>
        <v/>
      </c>
      <c r="L34" s="1" t="str">
        <f t="shared" si="5"/>
        <v/>
      </c>
      <c r="M34" s="1" t="str">
        <f t="shared" si="5"/>
        <v/>
      </c>
      <c r="N34" s="1" t="str">
        <f t="shared" si="5"/>
        <v/>
      </c>
      <c r="O34" s="1" t="str">
        <f t="shared" si="5"/>
        <v/>
      </c>
      <c r="P34" s="1" t="str">
        <f t="shared" si="5"/>
        <v/>
      </c>
      <c r="Q34" s="1" t="str">
        <f t="shared" si="5"/>
        <v/>
      </c>
      <c r="R34" s="1" t="str">
        <f t="shared" si="5"/>
        <v/>
      </c>
      <c r="S34" s="1" t="str">
        <f t="shared" si="5"/>
        <v/>
      </c>
      <c r="T34" s="1" t="str">
        <f t="shared" si="5"/>
        <v/>
      </c>
      <c r="U34" s="1" t="str">
        <f t="shared" si="5"/>
        <v/>
      </c>
      <c r="V34" s="1" t="str">
        <f t="shared" si="5"/>
        <v/>
      </c>
      <c r="W34" s="1" t="str">
        <f t="shared" si="5"/>
        <v/>
      </c>
      <c r="X34" s="1" t="str">
        <f t="shared" si="5"/>
        <v/>
      </c>
      <c r="Y34" s="1" t="str">
        <f t="shared" si="5"/>
        <v/>
      </c>
      <c r="Z34" s="1" t="str">
        <f t="shared" si="5"/>
        <v/>
      </c>
      <c r="AA34" s="1" t="str">
        <f t="shared" si="5"/>
        <v/>
      </c>
      <c r="AB34" s="1" t="str">
        <f t="shared" si="5"/>
        <v/>
      </c>
      <c r="AC34" s="1" t="str">
        <f t="shared" si="5"/>
        <v/>
      </c>
      <c r="AD34" s="1" t="str">
        <f t="shared" si="5"/>
        <v/>
      </c>
      <c r="AE34" s="1" t="str">
        <f t="shared" si="5"/>
        <v/>
      </c>
    </row>
    <row r="35" spans="4:31" hidden="1" x14ac:dyDescent="0.25">
      <c r="F35" s="1" t="str">
        <f t="shared" ref="F35:AE35" si="6">IF(F7="","",F$31)</f>
        <v/>
      </c>
      <c r="G35" s="1" t="str">
        <f t="shared" si="6"/>
        <v/>
      </c>
      <c r="H35" s="1" t="str">
        <f t="shared" si="6"/>
        <v/>
      </c>
      <c r="I35" s="1" t="str">
        <f t="shared" si="6"/>
        <v/>
      </c>
      <c r="J35" s="1" t="str">
        <f t="shared" si="6"/>
        <v/>
      </c>
      <c r="K35" s="1" t="str">
        <f t="shared" si="6"/>
        <v/>
      </c>
      <c r="L35" s="1" t="str">
        <f t="shared" si="6"/>
        <v/>
      </c>
      <c r="M35" s="1" t="str">
        <f t="shared" si="6"/>
        <v/>
      </c>
      <c r="N35" s="1" t="str">
        <f t="shared" si="6"/>
        <v/>
      </c>
      <c r="O35" s="1" t="str">
        <f t="shared" si="6"/>
        <v/>
      </c>
      <c r="P35" s="1" t="str">
        <f t="shared" si="6"/>
        <v/>
      </c>
      <c r="Q35" s="1" t="str">
        <f t="shared" si="6"/>
        <v/>
      </c>
      <c r="R35" s="1" t="str">
        <f t="shared" si="6"/>
        <v/>
      </c>
      <c r="S35" s="1" t="str">
        <f t="shared" si="6"/>
        <v/>
      </c>
      <c r="T35" s="1" t="str">
        <f t="shared" si="6"/>
        <v/>
      </c>
      <c r="U35" s="1" t="str">
        <f t="shared" si="6"/>
        <v/>
      </c>
      <c r="V35" s="1" t="str">
        <f t="shared" si="6"/>
        <v/>
      </c>
      <c r="W35" s="1" t="str">
        <f t="shared" si="6"/>
        <v/>
      </c>
      <c r="X35" s="1" t="str">
        <f t="shared" si="6"/>
        <v/>
      </c>
      <c r="Y35" s="1" t="str">
        <f t="shared" si="6"/>
        <v/>
      </c>
      <c r="Z35" s="1" t="str">
        <f t="shared" si="6"/>
        <v/>
      </c>
      <c r="AA35" s="1" t="str">
        <f t="shared" si="6"/>
        <v/>
      </c>
      <c r="AB35" s="1" t="str">
        <f t="shared" si="6"/>
        <v/>
      </c>
      <c r="AC35" s="1" t="str">
        <f t="shared" si="6"/>
        <v/>
      </c>
      <c r="AD35" s="1" t="str">
        <f t="shared" si="6"/>
        <v/>
      </c>
      <c r="AE35" s="1" t="str">
        <f t="shared" si="6"/>
        <v/>
      </c>
    </row>
    <row r="36" spans="4:31" hidden="1" x14ac:dyDescent="0.25">
      <c r="F36" s="1" t="str">
        <f t="shared" ref="F36:AE36" si="7">IF(F8="","",F$31)</f>
        <v/>
      </c>
      <c r="G36" s="1" t="str">
        <f t="shared" si="7"/>
        <v/>
      </c>
      <c r="H36" s="1" t="str">
        <f t="shared" si="7"/>
        <v/>
      </c>
      <c r="I36" s="1" t="str">
        <f t="shared" si="7"/>
        <v/>
      </c>
      <c r="J36" s="1" t="str">
        <f t="shared" si="7"/>
        <v/>
      </c>
      <c r="K36" s="1" t="str">
        <f t="shared" si="7"/>
        <v/>
      </c>
      <c r="L36" s="1" t="str">
        <f t="shared" si="7"/>
        <v/>
      </c>
      <c r="M36" s="1" t="str">
        <f t="shared" si="7"/>
        <v/>
      </c>
      <c r="N36" s="1" t="str">
        <f t="shared" si="7"/>
        <v/>
      </c>
      <c r="O36" s="1" t="str">
        <f t="shared" si="7"/>
        <v/>
      </c>
      <c r="P36" s="1" t="str">
        <f t="shared" si="7"/>
        <v/>
      </c>
      <c r="Q36" s="1" t="str">
        <f t="shared" si="7"/>
        <v/>
      </c>
      <c r="R36" s="1" t="str">
        <f t="shared" si="7"/>
        <v/>
      </c>
      <c r="S36" s="1" t="str">
        <f t="shared" si="7"/>
        <v/>
      </c>
      <c r="T36" s="1" t="str">
        <f t="shared" si="7"/>
        <v/>
      </c>
      <c r="U36" s="1" t="str">
        <f t="shared" si="7"/>
        <v/>
      </c>
      <c r="V36" s="1" t="str">
        <f t="shared" si="7"/>
        <v/>
      </c>
      <c r="W36" s="1" t="str">
        <f t="shared" si="7"/>
        <v/>
      </c>
      <c r="X36" s="1" t="str">
        <f t="shared" si="7"/>
        <v/>
      </c>
      <c r="Y36" s="1" t="str">
        <f t="shared" si="7"/>
        <v/>
      </c>
      <c r="Z36" s="1" t="str">
        <f t="shared" si="7"/>
        <v/>
      </c>
      <c r="AA36" s="1" t="str">
        <f t="shared" si="7"/>
        <v/>
      </c>
      <c r="AB36" s="1" t="str">
        <f t="shared" si="7"/>
        <v/>
      </c>
      <c r="AC36" s="1" t="str">
        <f t="shared" si="7"/>
        <v/>
      </c>
      <c r="AD36" s="1" t="str">
        <f t="shared" si="7"/>
        <v/>
      </c>
      <c r="AE36" s="1" t="str">
        <f t="shared" si="7"/>
        <v/>
      </c>
    </row>
    <row r="37" spans="4:31" hidden="1" x14ac:dyDescent="0.25">
      <c r="F37" s="1" t="str">
        <f t="shared" ref="F37:AE37" si="8">IF(F9="","",F$31)</f>
        <v/>
      </c>
      <c r="G37" s="1" t="str">
        <f t="shared" si="8"/>
        <v/>
      </c>
      <c r="H37" s="1" t="str">
        <f t="shared" si="8"/>
        <v/>
      </c>
      <c r="I37" s="1" t="str">
        <f t="shared" si="8"/>
        <v/>
      </c>
      <c r="J37" s="1" t="str">
        <f t="shared" si="8"/>
        <v/>
      </c>
      <c r="K37" s="1" t="str">
        <f t="shared" si="8"/>
        <v/>
      </c>
      <c r="L37" s="1" t="str">
        <f t="shared" si="8"/>
        <v/>
      </c>
      <c r="M37" s="1" t="str">
        <f t="shared" si="8"/>
        <v/>
      </c>
      <c r="N37" s="1" t="str">
        <f t="shared" si="8"/>
        <v/>
      </c>
      <c r="O37" s="1" t="str">
        <f t="shared" si="8"/>
        <v/>
      </c>
      <c r="P37" s="1" t="str">
        <f t="shared" si="8"/>
        <v/>
      </c>
      <c r="Q37" s="1" t="str">
        <f t="shared" si="8"/>
        <v/>
      </c>
      <c r="R37" s="1" t="str">
        <f t="shared" si="8"/>
        <v/>
      </c>
      <c r="S37" s="1" t="str">
        <f t="shared" si="8"/>
        <v/>
      </c>
      <c r="T37" s="1" t="str">
        <f t="shared" si="8"/>
        <v/>
      </c>
      <c r="U37" s="1" t="str">
        <f t="shared" si="8"/>
        <v/>
      </c>
      <c r="V37" s="1" t="str">
        <f t="shared" si="8"/>
        <v/>
      </c>
      <c r="W37" s="1" t="str">
        <f t="shared" si="8"/>
        <v/>
      </c>
      <c r="X37" s="1" t="str">
        <f t="shared" si="8"/>
        <v/>
      </c>
      <c r="Y37" s="1" t="str">
        <f t="shared" si="8"/>
        <v/>
      </c>
      <c r="Z37" s="1" t="str">
        <f t="shared" si="8"/>
        <v/>
      </c>
      <c r="AA37" s="1" t="str">
        <f t="shared" si="8"/>
        <v/>
      </c>
      <c r="AB37" s="1" t="str">
        <f t="shared" si="8"/>
        <v/>
      </c>
      <c r="AC37" s="1" t="str">
        <f t="shared" si="8"/>
        <v/>
      </c>
      <c r="AD37" s="1" t="str">
        <f t="shared" si="8"/>
        <v/>
      </c>
      <c r="AE37" s="1" t="str">
        <f t="shared" si="8"/>
        <v/>
      </c>
    </row>
    <row r="38" spans="4:31" hidden="1" x14ac:dyDescent="0.25">
      <c r="F38" s="1" t="str">
        <f t="shared" ref="F38:AE38" si="9">IF(F10="","",F$31)</f>
        <v/>
      </c>
      <c r="G38" s="1" t="str">
        <f t="shared" si="9"/>
        <v/>
      </c>
      <c r="H38" s="1" t="str">
        <f t="shared" si="9"/>
        <v/>
      </c>
      <c r="I38" s="1" t="str">
        <f t="shared" si="9"/>
        <v/>
      </c>
      <c r="J38" s="1" t="str">
        <f t="shared" si="9"/>
        <v/>
      </c>
      <c r="K38" s="1" t="str">
        <f t="shared" si="9"/>
        <v/>
      </c>
      <c r="L38" s="1" t="str">
        <f t="shared" si="9"/>
        <v/>
      </c>
      <c r="M38" s="1" t="str">
        <f t="shared" si="9"/>
        <v/>
      </c>
      <c r="N38" s="1" t="str">
        <f t="shared" si="9"/>
        <v/>
      </c>
      <c r="O38" s="1" t="str">
        <f t="shared" si="9"/>
        <v/>
      </c>
      <c r="P38" s="1" t="str">
        <f t="shared" si="9"/>
        <v/>
      </c>
      <c r="Q38" s="1" t="str">
        <f t="shared" si="9"/>
        <v/>
      </c>
      <c r="R38" s="1" t="str">
        <f t="shared" si="9"/>
        <v/>
      </c>
      <c r="S38" s="1" t="str">
        <f t="shared" si="9"/>
        <v/>
      </c>
      <c r="T38" s="1" t="str">
        <f t="shared" si="9"/>
        <v/>
      </c>
      <c r="U38" s="1" t="str">
        <f t="shared" si="9"/>
        <v/>
      </c>
      <c r="V38" s="1" t="str">
        <f t="shared" si="9"/>
        <v/>
      </c>
      <c r="W38" s="1" t="str">
        <f t="shared" si="9"/>
        <v/>
      </c>
      <c r="X38" s="1" t="str">
        <f t="shared" si="9"/>
        <v/>
      </c>
      <c r="Y38" s="1" t="str">
        <f t="shared" si="9"/>
        <v/>
      </c>
      <c r="Z38" s="1" t="str">
        <f t="shared" si="9"/>
        <v/>
      </c>
      <c r="AA38" s="1" t="str">
        <f t="shared" si="9"/>
        <v/>
      </c>
      <c r="AB38" s="1" t="str">
        <f t="shared" si="9"/>
        <v/>
      </c>
      <c r="AC38" s="1" t="str">
        <f t="shared" si="9"/>
        <v/>
      </c>
      <c r="AD38" s="1" t="str">
        <f t="shared" si="9"/>
        <v/>
      </c>
      <c r="AE38" s="1" t="str">
        <f t="shared" si="9"/>
        <v/>
      </c>
    </row>
    <row r="39" spans="4:31" hidden="1" x14ac:dyDescent="0.25">
      <c r="F39" s="1" t="str">
        <f t="shared" ref="F39:AE39" si="10">IF(F11="","",F$31)</f>
        <v/>
      </c>
      <c r="G39" s="1" t="str">
        <f t="shared" si="10"/>
        <v/>
      </c>
      <c r="H39" s="1" t="str">
        <f t="shared" si="10"/>
        <v/>
      </c>
      <c r="I39" s="1" t="str">
        <f t="shared" si="10"/>
        <v/>
      </c>
      <c r="J39" s="1" t="str">
        <f t="shared" si="10"/>
        <v/>
      </c>
      <c r="K39" s="1" t="str">
        <f t="shared" si="10"/>
        <v/>
      </c>
      <c r="L39" s="1" t="str">
        <f t="shared" si="10"/>
        <v/>
      </c>
      <c r="M39" s="1" t="str">
        <f t="shared" si="10"/>
        <v/>
      </c>
      <c r="N39" s="1" t="str">
        <f t="shared" si="10"/>
        <v/>
      </c>
      <c r="O39" s="1" t="str">
        <f t="shared" si="10"/>
        <v/>
      </c>
      <c r="P39" s="1" t="str">
        <f t="shared" si="10"/>
        <v/>
      </c>
      <c r="Q39" s="1" t="str">
        <f t="shared" si="10"/>
        <v/>
      </c>
      <c r="R39" s="1" t="str">
        <f t="shared" si="10"/>
        <v/>
      </c>
      <c r="S39" s="1" t="str">
        <f t="shared" si="10"/>
        <v/>
      </c>
      <c r="T39" s="1" t="str">
        <f t="shared" si="10"/>
        <v/>
      </c>
      <c r="U39" s="1" t="str">
        <f t="shared" si="10"/>
        <v/>
      </c>
      <c r="V39" s="1" t="str">
        <f t="shared" si="10"/>
        <v/>
      </c>
      <c r="W39" s="1" t="str">
        <f t="shared" si="10"/>
        <v/>
      </c>
      <c r="X39" s="1" t="str">
        <f t="shared" si="10"/>
        <v/>
      </c>
      <c r="Y39" s="1" t="str">
        <f t="shared" si="10"/>
        <v/>
      </c>
      <c r="Z39" s="1" t="str">
        <f t="shared" si="10"/>
        <v/>
      </c>
      <c r="AA39" s="1" t="str">
        <f t="shared" si="10"/>
        <v/>
      </c>
      <c r="AB39" s="1" t="str">
        <f t="shared" si="10"/>
        <v/>
      </c>
      <c r="AC39" s="1" t="str">
        <f t="shared" si="10"/>
        <v/>
      </c>
      <c r="AD39" s="1" t="str">
        <f t="shared" si="10"/>
        <v/>
      </c>
      <c r="AE39" s="1" t="str">
        <f t="shared" si="10"/>
        <v/>
      </c>
    </row>
    <row r="40" spans="4:31" hidden="1" x14ac:dyDescent="0.25">
      <c r="F40" s="1" t="str">
        <f t="shared" ref="F40:AE40" si="11">IF(F12="","",F$31)</f>
        <v/>
      </c>
      <c r="G40" s="1" t="str">
        <f t="shared" si="11"/>
        <v/>
      </c>
      <c r="H40" s="1" t="str">
        <f t="shared" si="11"/>
        <v/>
      </c>
      <c r="I40" s="1" t="str">
        <f t="shared" si="11"/>
        <v/>
      </c>
      <c r="J40" s="1" t="str">
        <f t="shared" si="11"/>
        <v/>
      </c>
      <c r="K40" s="1" t="str">
        <f t="shared" si="11"/>
        <v/>
      </c>
      <c r="L40" s="1" t="str">
        <f t="shared" si="11"/>
        <v/>
      </c>
      <c r="M40" s="1" t="str">
        <f t="shared" si="11"/>
        <v/>
      </c>
      <c r="N40" s="1" t="str">
        <f t="shared" si="11"/>
        <v/>
      </c>
      <c r="O40" s="1" t="str">
        <f t="shared" si="11"/>
        <v/>
      </c>
      <c r="P40" s="1" t="str">
        <f t="shared" si="11"/>
        <v/>
      </c>
      <c r="Q40" s="1" t="str">
        <f t="shared" si="11"/>
        <v/>
      </c>
      <c r="R40" s="1" t="str">
        <f t="shared" si="11"/>
        <v/>
      </c>
      <c r="S40" s="1" t="str">
        <f t="shared" si="11"/>
        <v/>
      </c>
      <c r="T40" s="1" t="str">
        <f t="shared" si="11"/>
        <v/>
      </c>
      <c r="U40" s="1" t="str">
        <f t="shared" si="11"/>
        <v/>
      </c>
      <c r="V40" s="1" t="str">
        <f t="shared" si="11"/>
        <v/>
      </c>
      <c r="W40" s="1" t="str">
        <f t="shared" si="11"/>
        <v/>
      </c>
      <c r="X40" s="1" t="str">
        <f t="shared" si="11"/>
        <v/>
      </c>
      <c r="Y40" s="1" t="str">
        <f t="shared" si="11"/>
        <v/>
      </c>
      <c r="Z40" s="1" t="str">
        <f t="shared" si="11"/>
        <v/>
      </c>
      <c r="AA40" s="1" t="str">
        <f t="shared" si="11"/>
        <v/>
      </c>
      <c r="AB40" s="1" t="str">
        <f t="shared" si="11"/>
        <v/>
      </c>
      <c r="AC40" s="1" t="str">
        <f t="shared" si="11"/>
        <v/>
      </c>
      <c r="AD40" s="1" t="str">
        <f t="shared" si="11"/>
        <v/>
      </c>
      <c r="AE40" s="1" t="str">
        <f t="shared" si="11"/>
        <v/>
      </c>
    </row>
    <row r="41" spans="4:31" hidden="1" x14ac:dyDescent="0.25">
      <c r="F41" s="1" t="str">
        <f t="shared" ref="F41:AE41" si="12">IF(F13="","",F$31)</f>
        <v/>
      </c>
      <c r="G41" s="1" t="str">
        <f t="shared" si="12"/>
        <v/>
      </c>
      <c r="H41" s="1" t="str">
        <f t="shared" si="12"/>
        <v/>
      </c>
      <c r="I41" s="1" t="str">
        <f t="shared" si="12"/>
        <v/>
      </c>
      <c r="J41" s="1" t="str">
        <f t="shared" si="12"/>
        <v/>
      </c>
      <c r="K41" s="1" t="str">
        <f t="shared" si="12"/>
        <v/>
      </c>
      <c r="L41" s="1" t="str">
        <f t="shared" si="12"/>
        <v/>
      </c>
      <c r="M41" s="1" t="str">
        <f t="shared" si="12"/>
        <v/>
      </c>
      <c r="N41" s="1" t="str">
        <f t="shared" si="12"/>
        <v/>
      </c>
      <c r="O41" s="1" t="str">
        <f t="shared" si="12"/>
        <v/>
      </c>
      <c r="P41" s="1" t="str">
        <f t="shared" si="12"/>
        <v/>
      </c>
      <c r="Q41" s="1" t="str">
        <f t="shared" si="12"/>
        <v/>
      </c>
      <c r="R41" s="1" t="str">
        <f t="shared" si="12"/>
        <v/>
      </c>
      <c r="S41" s="1" t="str">
        <f t="shared" si="12"/>
        <v/>
      </c>
      <c r="T41" s="1" t="str">
        <f t="shared" si="12"/>
        <v/>
      </c>
      <c r="U41" s="1" t="str">
        <f t="shared" si="12"/>
        <v/>
      </c>
      <c r="V41" s="1" t="str">
        <f t="shared" si="12"/>
        <v/>
      </c>
      <c r="W41" s="1" t="str">
        <f t="shared" si="12"/>
        <v/>
      </c>
      <c r="X41" s="1" t="str">
        <f t="shared" si="12"/>
        <v/>
      </c>
      <c r="Y41" s="1" t="str">
        <f t="shared" si="12"/>
        <v/>
      </c>
      <c r="Z41" s="1" t="str">
        <f t="shared" si="12"/>
        <v/>
      </c>
      <c r="AA41" s="1" t="str">
        <f t="shared" si="12"/>
        <v/>
      </c>
      <c r="AB41" s="1" t="str">
        <f t="shared" si="12"/>
        <v/>
      </c>
      <c r="AC41" s="1" t="str">
        <f t="shared" si="12"/>
        <v/>
      </c>
      <c r="AD41" s="1" t="str">
        <f t="shared" si="12"/>
        <v/>
      </c>
      <c r="AE41" s="1" t="str">
        <f t="shared" si="12"/>
        <v/>
      </c>
    </row>
    <row r="42" spans="4:31" hidden="1" x14ac:dyDescent="0.25">
      <c r="F42" s="1" t="str">
        <f t="shared" ref="F42:AE42" si="13">IF(F14="","",F$31)</f>
        <v/>
      </c>
      <c r="G42" s="1" t="str">
        <f t="shared" si="13"/>
        <v/>
      </c>
      <c r="H42" s="1" t="str">
        <f t="shared" si="13"/>
        <v/>
      </c>
      <c r="I42" s="1" t="str">
        <f t="shared" si="13"/>
        <v/>
      </c>
      <c r="J42" s="1" t="str">
        <f t="shared" si="13"/>
        <v/>
      </c>
      <c r="K42" s="1" t="str">
        <f t="shared" si="13"/>
        <v/>
      </c>
      <c r="L42" s="1" t="str">
        <f t="shared" si="13"/>
        <v/>
      </c>
      <c r="M42" s="1" t="str">
        <f t="shared" si="13"/>
        <v/>
      </c>
      <c r="N42" s="1" t="str">
        <f t="shared" si="13"/>
        <v/>
      </c>
      <c r="O42" s="1" t="str">
        <f t="shared" si="13"/>
        <v/>
      </c>
      <c r="P42" s="1" t="str">
        <f t="shared" si="13"/>
        <v/>
      </c>
      <c r="Q42" s="1" t="str">
        <f t="shared" si="13"/>
        <v/>
      </c>
      <c r="R42" s="1" t="str">
        <f t="shared" si="13"/>
        <v/>
      </c>
      <c r="S42" s="1" t="str">
        <f t="shared" si="13"/>
        <v/>
      </c>
      <c r="T42" s="1" t="str">
        <f t="shared" si="13"/>
        <v/>
      </c>
      <c r="U42" s="1" t="str">
        <f t="shared" si="13"/>
        <v/>
      </c>
      <c r="V42" s="1" t="str">
        <f t="shared" si="13"/>
        <v/>
      </c>
      <c r="W42" s="1" t="str">
        <f t="shared" si="13"/>
        <v/>
      </c>
      <c r="X42" s="1" t="str">
        <f t="shared" si="13"/>
        <v/>
      </c>
      <c r="Y42" s="1" t="str">
        <f t="shared" si="13"/>
        <v/>
      </c>
      <c r="Z42" s="1" t="str">
        <f t="shared" si="13"/>
        <v/>
      </c>
      <c r="AA42" s="1" t="str">
        <f t="shared" si="13"/>
        <v/>
      </c>
      <c r="AB42" s="1" t="str">
        <f t="shared" si="13"/>
        <v/>
      </c>
      <c r="AC42" s="1" t="str">
        <f t="shared" si="13"/>
        <v/>
      </c>
      <c r="AD42" s="1" t="str">
        <f t="shared" si="13"/>
        <v/>
      </c>
      <c r="AE42" s="1" t="str">
        <f t="shared" si="13"/>
        <v/>
      </c>
    </row>
    <row r="43" spans="4:31" hidden="1" x14ac:dyDescent="0.25">
      <c r="F43" s="1" t="str">
        <f t="shared" ref="F43:AE43" si="14">IF(F15="","",F$31)</f>
        <v/>
      </c>
      <c r="G43" s="1" t="str">
        <f t="shared" si="14"/>
        <v/>
      </c>
      <c r="H43" s="1" t="str">
        <f t="shared" si="14"/>
        <v/>
      </c>
      <c r="I43" s="1" t="str">
        <f t="shared" si="14"/>
        <v/>
      </c>
      <c r="J43" s="1" t="str">
        <f t="shared" si="14"/>
        <v/>
      </c>
      <c r="K43" s="1" t="str">
        <f t="shared" si="14"/>
        <v/>
      </c>
      <c r="L43" s="1" t="str">
        <f t="shared" si="14"/>
        <v/>
      </c>
      <c r="M43" s="1" t="str">
        <f t="shared" si="14"/>
        <v/>
      </c>
      <c r="N43" s="1" t="str">
        <f t="shared" si="14"/>
        <v/>
      </c>
      <c r="O43" s="1" t="str">
        <f t="shared" si="14"/>
        <v/>
      </c>
      <c r="P43" s="1" t="str">
        <f t="shared" si="14"/>
        <v/>
      </c>
      <c r="Q43" s="1" t="str">
        <f t="shared" si="14"/>
        <v/>
      </c>
      <c r="R43" s="1" t="str">
        <f t="shared" si="14"/>
        <v/>
      </c>
      <c r="S43" s="1" t="str">
        <f t="shared" si="14"/>
        <v/>
      </c>
      <c r="T43" s="1" t="str">
        <f t="shared" si="14"/>
        <v/>
      </c>
      <c r="U43" s="1" t="str">
        <f t="shared" si="14"/>
        <v/>
      </c>
      <c r="V43" s="1" t="str">
        <f t="shared" si="14"/>
        <v/>
      </c>
      <c r="W43" s="1" t="str">
        <f t="shared" si="14"/>
        <v/>
      </c>
      <c r="X43" s="1" t="str">
        <f t="shared" si="14"/>
        <v/>
      </c>
      <c r="Y43" s="1" t="str">
        <f t="shared" si="14"/>
        <v/>
      </c>
      <c r="Z43" s="1" t="str">
        <f t="shared" si="14"/>
        <v/>
      </c>
      <c r="AA43" s="1" t="str">
        <f t="shared" si="14"/>
        <v/>
      </c>
      <c r="AB43" s="1" t="str">
        <f t="shared" si="14"/>
        <v/>
      </c>
      <c r="AC43" s="1" t="str">
        <f t="shared" si="14"/>
        <v/>
      </c>
      <c r="AD43" s="1" t="str">
        <f t="shared" si="14"/>
        <v/>
      </c>
      <c r="AE43" s="1" t="str">
        <f t="shared" si="14"/>
        <v/>
      </c>
    </row>
    <row r="44" spans="4:31" hidden="1" x14ac:dyDescent="0.25">
      <c r="F44" s="1" t="str">
        <f t="shared" ref="F44:AE44" si="15">IF(F16="","",F$31)</f>
        <v/>
      </c>
      <c r="G44" s="1" t="str">
        <f t="shared" si="15"/>
        <v/>
      </c>
      <c r="H44" s="1" t="str">
        <f t="shared" si="15"/>
        <v/>
      </c>
      <c r="I44" s="1" t="str">
        <f t="shared" si="15"/>
        <v/>
      </c>
      <c r="J44" s="1" t="str">
        <f t="shared" si="15"/>
        <v/>
      </c>
      <c r="K44" s="1" t="str">
        <f t="shared" si="15"/>
        <v/>
      </c>
      <c r="L44" s="1" t="str">
        <f t="shared" si="15"/>
        <v/>
      </c>
      <c r="M44" s="1" t="str">
        <f t="shared" si="15"/>
        <v/>
      </c>
      <c r="N44" s="1" t="str">
        <f t="shared" si="15"/>
        <v/>
      </c>
      <c r="O44" s="1" t="str">
        <f t="shared" si="15"/>
        <v/>
      </c>
      <c r="P44" s="1" t="str">
        <f t="shared" si="15"/>
        <v/>
      </c>
      <c r="Q44" s="1" t="str">
        <f t="shared" si="15"/>
        <v/>
      </c>
      <c r="R44" s="1" t="str">
        <f t="shared" si="15"/>
        <v/>
      </c>
      <c r="S44" s="1" t="str">
        <f t="shared" si="15"/>
        <v/>
      </c>
      <c r="T44" s="1" t="str">
        <f t="shared" si="15"/>
        <v/>
      </c>
      <c r="U44" s="1" t="str">
        <f t="shared" si="15"/>
        <v/>
      </c>
      <c r="V44" s="1" t="str">
        <f t="shared" si="15"/>
        <v/>
      </c>
      <c r="W44" s="1" t="str">
        <f t="shared" si="15"/>
        <v/>
      </c>
      <c r="X44" s="1" t="str">
        <f t="shared" si="15"/>
        <v/>
      </c>
      <c r="Y44" s="1" t="str">
        <f t="shared" si="15"/>
        <v/>
      </c>
      <c r="Z44" s="1" t="str">
        <f t="shared" si="15"/>
        <v/>
      </c>
      <c r="AA44" s="1" t="str">
        <f t="shared" si="15"/>
        <v/>
      </c>
      <c r="AB44" s="1" t="str">
        <f t="shared" si="15"/>
        <v/>
      </c>
      <c r="AC44" s="1" t="str">
        <f t="shared" si="15"/>
        <v/>
      </c>
      <c r="AD44" s="1" t="str">
        <f t="shared" si="15"/>
        <v/>
      </c>
      <c r="AE44" s="1" t="str">
        <f t="shared" si="15"/>
        <v/>
      </c>
    </row>
    <row r="45" spans="4:31" hidden="1" x14ac:dyDescent="0.25">
      <c r="F45" s="1" t="str">
        <f t="shared" ref="F45:AE45" si="16">IF(F17="","",F$31)</f>
        <v/>
      </c>
      <c r="G45" s="1" t="str">
        <f t="shared" si="16"/>
        <v/>
      </c>
      <c r="H45" s="1" t="str">
        <f t="shared" si="16"/>
        <v/>
      </c>
      <c r="I45" s="1" t="str">
        <f t="shared" si="16"/>
        <v/>
      </c>
      <c r="J45" s="1" t="str">
        <f t="shared" si="16"/>
        <v/>
      </c>
      <c r="K45" s="1" t="str">
        <f t="shared" si="16"/>
        <v/>
      </c>
      <c r="L45" s="1" t="str">
        <f t="shared" si="16"/>
        <v/>
      </c>
      <c r="M45" s="1" t="str">
        <f t="shared" si="16"/>
        <v/>
      </c>
      <c r="N45" s="1" t="str">
        <f t="shared" si="16"/>
        <v/>
      </c>
      <c r="O45" s="1" t="str">
        <f t="shared" si="16"/>
        <v/>
      </c>
      <c r="P45" s="1" t="str">
        <f t="shared" si="16"/>
        <v/>
      </c>
      <c r="Q45" s="1" t="str">
        <f t="shared" si="16"/>
        <v/>
      </c>
      <c r="R45" s="1" t="str">
        <f t="shared" si="16"/>
        <v/>
      </c>
      <c r="S45" s="1" t="str">
        <f t="shared" si="16"/>
        <v/>
      </c>
      <c r="T45" s="1" t="str">
        <f t="shared" si="16"/>
        <v/>
      </c>
      <c r="U45" s="1" t="str">
        <f t="shared" si="16"/>
        <v/>
      </c>
      <c r="V45" s="1" t="str">
        <f t="shared" si="16"/>
        <v/>
      </c>
      <c r="W45" s="1" t="str">
        <f t="shared" si="16"/>
        <v/>
      </c>
      <c r="X45" s="1" t="str">
        <f t="shared" si="16"/>
        <v/>
      </c>
      <c r="Y45" s="1" t="str">
        <f t="shared" si="16"/>
        <v/>
      </c>
      <c r="Z45" s="1" t="str">
        <f t="shared" si="16"/>
        <v/>
      </c>
      <c r="AA45" s="1" t="str">
        <f t="shared" si="16"/>
        <v/>
      </c>
      <c r="AB45" s="1" t="str">
        <f t="shared" si="16"/>
        <v/>
      </c>
      <c r="AC45" s="1" t="str">
        <f t="shared" si="16"/>
        <v/>
      </c>
      <c r="AD45" s="1" t="str">
        <f t="shared" si="16"/>
        <v/>
      </c>
      <c r="AE45" s="1" t="str">
        <f t="shared" si="16"/>
        <v/>
      </c>
    </row>
    <row r="46" spans="4:31" hidden="1" x14ac:dyDescent="0.25">
      <c r="F46" s="1" t="str">
        <f t="shared" ref="F46:AE46" si="17">IF(F18="","",F$31)</f>
        <v/>
      </c>
      <c r="G46" s="1" t="str">
        <f t="shared" si="17"/>
        <v/>
      </c>
      <c r="H46" s="1" t="str">
        <f t="shared" si="17"/>
        <v/>
      </c>
      <c r="I46" s="1" t="str">
        <f t="shared" si="17"/>
        <v/>
      </c>
      <c r="J46" s="1" t="str">
        <f t="shared" si="17"/>
        <v/>
      </c>
      <c r="K46" s="1" t="str">
        <f t="shared" si="17"/>
        <v/>
      </c>
      <c r="L46" s="1" t="str">
        <f t="shared" si="17"/>
        <v/>
      </c>
      <c r="M46" s="1" t="str">
        <f t="shared" si="17"/>
        <v/>
      </c>
      <c r="N46" s="1" t="str">
        <f t="shared" si="17"/>
        <v/>
      </c>
      <c r="O46" s="1" t="str">
        <f t="shared" si="17"/>
        <v/>
      </c>
      <c r="P46" s="1" t="str">
        <f t="shared" si="17"/>
        <v/>
      </c>
      <c r="Q46" s="1" t="str">
        <f t="shared" si="17"/>
        <v/>
      </c>
      <c r="R46" s="1" t="str">
        <f t="shared" si="17"/>
        <v/>
      </c>
      <c r="S46" s="1" t="str">
        <f t="shared" si="17"/>
        <v/>
      </c>
      <c r="T46" s="1" t="str">
        <f t="shared" si="17"/>
        <v/>
      </c>
      <c r="U46" s="1" t="str">
        <f t="shared" si="17"/>
        <v/>
      </c>
      <c r="V46" s="1" t="str">
        <f t="shared" si="17"/>
        <v/>
      </c>
      <c r="W46" s="1" t="str">
        <f t="shared" si="17"/>
        <v/>
      </c>
      <c r="X46" s="1" t="str">
        <f t="shared" si="17"/>
        <v/>
      </c>
      <c r="Y46" s="1" t="str">
        <f t="shared" si="17"/>
        <v/>
      </c>
      <c r="Z46" s="1" t="str">
        <f t="shared" si="17"/>
        <v/>
      </c>
      <c r="AA46" s="1" t="str">
        <f t="shared" si="17"/>
        <v/>
      </c>
      <c r="AB46" s="1" t="str">
        <f t="shared" si="17"/>
        <v/>
      </c>
      <c r="AC46" s="1" t="str">
        <f t="shared" si="17"/>
        <v/>
      </c>
      <c r="AD46" s="1" t="str">
        <f t="shared" si="17"/>
        <v/>
      </c>
      <c r="AE46" s="1" t="str">
        <f t="shared" si="17"/>
        <v/>
      </c>
    </row>
    <row r="47" spans="4:31" hidden="1" x14ac:dyDescent="0.25">
      <c r="F47" s="1" t="str">
        <f t="shared" ref="F47:AE47" si="18">IF(F19="","",F$31)</f>
        <v/>
      </c>
      <c r="G47" s="1" t="str">
        <f t="shared" si="18"/>
        <v/>
      </c>
      <c r="H47" s="1" t="str">
        <f t="shared" si="18"/>
        <v/>
      </c>
      <c r="I47" s="1" t="str">
        <f t="shared" si="18"/>
        <v/>
      </c>
      <c r="J47" s="1" t="str">
        <f t="shared" si="18"/>
        <v/>
      </c>
      <c r="K47" s="1" t="str">
        <f t="shared" si="18"/>
        <v/>
      </c>
      <c r="L47" s="1" t="str">
        <f t="shared" si="18"/>
        <v/>
      </c>
      <c r="M47" s="1" t="str">
        <f t="shared" si="18"/>
        <v/>
      </c>
      <c r="N47" s="1" t="str">
        <f t="shared" si="18"/>
        <v/>
      </c>
      <c r="O47" s="1" t="str">
        <f t="shared" si="18"/>
        <v/>
      </c>
      <c r="P47" s="1" t="str">
        <f t="shared" si="18"/>
        <v/>
      </c>
      <c r="Q47" s="1" t="str">
        <f t="shared" si="18"/>
        <v/>
      </c>
      <c r="R47" s="1" t="str">
        <f t="shared" si="18"/>
        <v/>
      </c>
      <c r="S47" s="1" t="str">
        <f t="shared" si="18"/>
        <v/>
      </c>
      <c r="T47" s="1" t="str">
        <f t="shared" si="18"/>
        <v/>
      </c>
      <c r="U47" s="1" t="str">
        <f t="shared" si="18"/>
        <v/>
      </c>
      <c r="V47" s="1" t="str">
        <f t="shared" si="18"/>
        <v/>
      </c>
      <c r="W47" s="1" t="str">
        <f t="shared" si="18"/>
        <v/>
      </c>
      <c r="X47" s="1" t="str">
        <f t="shared" si="18"/>
        <v/>
      </c>
      <c r="Y47" s="1" t="str">
        <f t="shared" si="18"/>
        <v/>
      </c>
      <c r="Z47" s="1" t="str">
        <f t="shared" si="18"/>
        <v/>
      </c>
      <c r="AA47" s="1" t="str">
        <f t="shared" si="18"/>
        <v/>
      </c>
      <c r="AB47" s="1" t="str">
        <f t="shared" si="18"/>
        <v/>
      </c>
      <c r="AC47" s="1" t="str">
        <f t="shared" si="18"/>
        <v/>
      </c>
      <c r="AD47" s="1" t="str">
        <f t="shared" si="18"/>
        <v/>
      </c>
      <c r="AE47" s="1" t="str">
        <f t="shared" si="18"/>
        <v/>
      </c>
    </row>
    <row r="48" spans="4:31" hidden="1" x14ac:dyDescent="0.25">
      <c r="F48" s="1" t="str">
        <f t="shared" ref="F48:AE48" si="19">IF(F20="","",F$31)</f>
        <v/>
      </c>
      <c r="G48" s="1" t="str">
        <f t="shared" si="19"/>
        <v/>
      </c>
      <c r="H48" s="1" t="str">
        <f t="shared" si="19"/>
        <v/>
      </c>
      <c r="I48" s="1" t="str">
        <f t="shared" si="19"/>
        <v/>
      </c>
      <c r="J48" s="1" t="str">
        <f t="shared" si="19"/>
        <v/>
      </c>
      <c r="K48" s="1" t="str">
        <f t="shared" si="19"/>
        <v/>
      </c>
      <c r="L48" s="1" t="str">
        <f t="shared" si="19"/>
        <v/>
      </c>
      <c r="M48" s="1" t="str">
        <f t="shared" si="19"/>
        <v/>
      </c>
      <c r="N48" s="1" t="str">
        <f t="shared" si="19"/>
        <v/>
      </c>
      <c r="O48" s="1" t="str">
        <f t="shared" si="19"/>
        <v/>
      </c>
      <c r="P48" s="1" t="str">
        <f t="shared" si="19"/>
        <v/>
      </c>
      <c r="Q48" s="1" t="str">
        <f t="shared" si="19"/>
        <v/>
      </c>
      <c r="R48" s="1" t="str">
        <f t="shared" si="19"/>
        <v/>
      </c>
      <c r="S48" s="1" t="str">
        <f t="shared" si="19"/>
        <v/>
      </c>
      <c r="T48" s="1" t="str">
        <f t="shared" si="19"/>
        <v/>
      </c>
      <c r="U48" s="1" t="str">
        <f t="shared" si="19"/>
        <v/>
      </c>
      <c r="V48" s="1" t="str">
        <f t="shared" si="19"/>
        <v/>
      </c>
      <c r="W48" s="1" t="str">
        <f t="shared" si="19"/>
        <v/>
      </c>
      <c r="X48" s="1" t="str">
        <f t="shared" si="19"/>
        <v/>
      </c>
      <c r="Y48" s="1" t="str">
        <f t="shared" si="19"/>
        <v/>
      </c>
      <c r="Z48" s="1" t="str">
        <f t="shared" si="19"/>
        <v/>
      </c>
      <c r="AA48" s="1" t="str">
        <f t="shared" si="19"/>
        <v/>
      </c>
      <c r="AB48" s="1" t="str">
        <f t="shared" si="19"/>
        <v/>
      </c>
      <c r="AC48" s="1" t="str">
        <f t="shared" si="19"/>
        <v/>
      </c>
      <c r="AD48" s="1" t="str">
        <f t="shared" si="19"/>
        <v/>
      </c>
      <c r="AE48" s="1" t="str">
        <f t="shared" si="19"/>
        <v/>
      </c>
    </row>
    <row r="49" spans="6:31" hidden="1" x14ac:dyDescent="0.25">
      <c r="F49" s="1" t="str">
        <f t="shared" ref="F49:AE49" si="20">IF(F21="","",F$31)</f>
        <v/>
      </c>
      <c r="G49" s="1" t="str">
        <f t="shared" si="20"/>
        <v/>
      </c>
      <c r="H49" s="1" t="str">
        <f t="shared" si="20"/>
        <v/>
      </c>
      <c r="I49" s="1" t="str">
        <f t="shared" si="20"/>
        <v/>
      </c>
      <c r="J49" s="1" t="str">
        <f t="shared" si="20"/>
        <v/>
      </c>
      <c r="K49" s="1" t="str">
        <f t="shared" si="20"/>
        <v/>
      </c>
      <c r="L49" s="1" t="str">
        <f t="shared" si="20"/>
        <v/>
      </c>
      <c r="M49" s="1" t="str">
        <f t="shared" si="20"/>
        <v/>
      </c>
      <c r="N49" s="1" t="str">
        <f t="shared" si="20"/>
        <v/>
      </c>
      <c r="O49" s="1" t="str">
        <f t="shared" si="20"/>
        <v/>
      </c>
      <c r="P49" s="1" t="str">
        <f t="shared" si="20"/>
        <v/>
      </c>
      <c r="Q49" s="1" t="str">
        <f t="shared" si="20"/>
        <v/>
      </c>
      <c r="R49" s="1" t="str">
        <f t="shared" si="20"/>
        <v/>
      </c>
      <c r="S49" s="1" t="str">
        <f t="shared" si="20"/>
        <v/>
      </c>
      <c r="T49" s="1" t="str">
        <f t="shared" si="20"/>
        <v/>
      </c>
      <c r="U49" s="1" t="str">
        <f t="shared" si="20"/>
        <v/>
      </c>
      <c r="V49" s="1" t="str">
        <f t="shared" si="20"/>
        <v/>
      </c>
      <c r="W49" s="1" t="str">
        <f t="shared" si="20"/>
        <v/>
      </c>
      <c r="X49" s="1" t="str">
        <f t="shared" si="20"/>
        <v/>
      </c>
      <c r="Y49" s="1" t="str">
        <f t="shared" si="20"/>
        <v/>
      </c>
      <c r="Z49" s="1" t="str">
        <f t="shared" si="20"/>
        <v/>
      </c>
      <c r="AA49" s="1" t="str">
        <f t="shared" si="20"/>
        <v/>
      </c>
      <c r="AB49" s="1" t="str">
        <f t="shared" si="20"/>
        <v/>
      </c>
      <c r="AC49" s="1" t="str">
        <f t="shared" si="20"/>
        <v/>
      </c>
      <c r="AD49" s="1" t="str">
        <f t="shared" si="20"/>
        <v/>
      </c>
      <c r="AE49" s="1" t="str">
        <f t="shared" si="20"/>
        <v/>
      </c>
    </row>
    <row r="50" spans="6:31" hidden="1" x14ac:dyDescent="0.25">
      <c r="F50" s="1" t="str">
        <f t="shared" ref="F50:AE50" si="21">IF(F22="","",F$31)</f>
        <v/>
      </c>
      <c r="G50" s="1" t="str">
        <f t="shared" si="21"/>
        <v/>
      </c>
      <c r="H50" s="1" t="str">
        <f t="shared" si="21"/>
        <v/>
      </c>
      <c r="I50" s="1" t="str">
        <f t="shared" si="21"/>
        <v/>
      </c>
      <c r="J50" s="1" t="str">
        <f t="shared" si="21"/>
        <v/>
      </c>
      <c r="K50" s="1" t="str">
        <f t="shared" si="21"/>
        <v/>
      </c>
      <c r="L50" s="1" t="str">
        <f t="shared" si="21"/>
        <v/>
      </c>
      <c r="M50" s="1" t="str">
        <f t="shared" si="21"/>
        <v/>
      </c>
      <c r="N50" s="1" t="str">
        <f t="shared" si="21"/>
        <v/>
      </c>
      <c r="O50" s="1" t="str">
        <f t="shared" si="21"/>
        <v/>
      </c>
      <c r="P50" s="1" t="str">
        <f t="shared" si="21"/>
        <v/>
      </c>
      <c r="Q50" s="1" t="str">
        <f t="shared" si="21"/>
        <v/>
      </c>
      <c r="R50" s="1" t="str">
        <f t="shared" si="21"/>
        <v/>
      </c>
      <c r="S50" s="1" t="str">
        <f t="shared" si="21"/>
        <v/>
      </c>
      <c r="T50" s="1" t="str">
        <f t="shared" si="21"/>
        <v/>
      </c>
      <c r="U50" s="1" t="str">
        <f t="shared" si="21"/>
        <v/>
      </c>
      <c r="V50" s="1" t="str">
        <f t="shared" si="21"/>
        <v/>
      </c>
      <c r="W50" s="1" t="str">
        <f t="shared" si="21"/>
        <v/>
      </c>
      <c r="X50" s="1" t="str">
        <f t="shared" si="21"/>
        <v/>
      </c>
      <c r="Y50" s="1" t="str">
        <f t="shared" si="21"/>
        <v/>
      </c>
      <c r="Z50" s="1" t="str">
        <f t="shared" si="21"/>
        <v/>
      </c>
      <c r="AA50" s="1" t="str">
        <f t="shared" si="21"/>
        <v/>
      </c>
      <c r="AB50" s="1" t="str">
        <f t="shared" si="21"/>
        <v/>
      </c>
      <c r="AC50" s="1" t="str">
        <f t="shared" si="21"/>
        <v/>
      </c>
      <c r="AD50" s="1" t="str">
        <f t="shared" si="21"/>
        <v/>
      </c>
      <c r="AE50" s="1" t="str">
        <f t="shared" si="21"/>
        <v/>
      </c>
    </row>
    <row r="51" spans="6:31" hidden="1" x14ac:dyDescent="0.25">
      <c r="F51" s="1" t="str">
        <f t="shared" ref="F51:AE51" si="22">IF(F23="","",F$31)</f>
        <v/>
      </c>
      <c r="G51" s="1" t="str">
        <f t="shared" si="22"/>
        <v/>
      </c>
      <c r="H51" s="1" t="str">
        <f t="shared" si="22"/>
        <v/>
      </c>
      <c r="I51" s="1" t="str">
        <f t="shared" si="22"/>
        <v/>
      </c>
      <c r="J51" s="1" t="str">
        <f t="shared" si="22"/>
        <v/>
      </c>
      <c r="K51" s="1" t="str">
        <f t="shared" si="22"/>
        <v/>
      </c>
      <c r="L51" s="1" t="str">
        <f t="shared" si="22"/>
        <v/>
      </c>
      <c r="M51" s="1" t="str">
        <f t="shared" si="22"/>
        <v/>
      </c>
      <c r="N51" s="1" t="str">
        <f t="shared" si="22"/>
        <v/>
      </c>
      <c r="O51" s="1" t="str">
        <f t="shared" si="22"/>
        <v/>
      </c>
      <c r="P51" s="1" t="str">
        <f t="shared" si="22"/>
        <v/>
      </c>
      <c r="Q51" s="1" t="str">
        <f t="shared" si="22"/>
        <v/>
      </c>
      <c r="R51" s="1" t="str">
        <f t="shared" si="22"/>
        <v/>
      </c>
      <c r="S51" s="1" t="str">
        <f t="shared" si="22"/>
        <v/>
      </c>
      <c r="T51" s="1" t="str">
        <f t="shared" si="22"/>
        <v/>
      </c>
      <c r="U51" s="1" t="str">
        <f t="shared" si="22"/>
        <v/>
      </c>
      <c r="V51" s="1" t="str">
        <f t="shared" si="22"/>
        <v/>
      </c>
      <c r="W51" s="1" t="str">
        <f t="shared" si="22"/>
        <v/>
      </c>
      <c r="X51" s="1" t="str">
        <f t="shared" si="22"/>
        <v/>
      </c>
      <c r="Y51" s="1" t="str">
        <f t="shared" si="22"/>
        <v/>
      </c>
      <c r="Z51" s="1" t="str">
        <f t="shared" si="22"/>
        <v/>
      </c>
      <c r="AA51" s="1" t="str">
        <f t="shared" si="22"/>
        <v/>
      </c>
      <c r="AB51" s="1" t="str">
        <f t="shared" si="22"/>
        <v/>
      </c>
      <c r="AC51" s="1" t="str">
        <f t="shared" si="22"/>
        <v/>
      </c>
      <c r="AD51" s="1" t="str">
        <f t="shared" si="22"/>
        <v/>
      </c>
      <c r="AE51" s="1" t="str">
        <f t="shared" si="22"/>
        <v/>
      </c>
    </row>
  </sheetData>
  <mergeCells count="1">
    <mergeCell ref="A25:AE29"/>
  </mergeCells>
  <conditionalFormatting sqref="G4:AE23">
    <cfRule type="expression" dxfId="8" priority="1">
      <formula>G$3&lt;&gt;""</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27818-7698-4DDD-959F-E7CC753789CA}">
  <sheetPr>
    <tabColor theme="7"/>
  </sheetPr>
  <dimension ref="A1:AT58"/>
  <sheetViews>
    <sheetView zoomScaleNormal="100" workbookViewId="0"/>
  </sheetViews>
  <sheetFormatPr baseColWidth="10" defaultColWidth="0" defaultRowHeight="15" customHeight="1" zeroHeight="1" x14ac:dyDescent="0.25"/>
  <cols>
    <col min="1" max="1" width="3.85546875" customWidth="1"/>
    <col min="2" max="2" width="9.42578125" customWidth="1"/>
    <col min="3" max="8" width="9.28515625" customWidth="1"/>
    <col min="9" max="34" width="6.42578125" customWidth="1"/>
    <col min="35" max="37" width="1.7109375" customWidth="1"/>
    <col min="38" max="39" width="9.140625" hidden="1" customWidth="1"/>
    <col min="40" max="45" width="11.42578125" hidden="1" customWidth="1"/>
    <col min="46" max="46" width="4" hidden="1" customWidth="1"/>
    <col min="47" max="16384" width="11.42578125" hidden="1"/>
  </cols>
  <sheetData>
    <row r="1" spans="1:44" x14ac:dyDescent="0.25">
      <c r="C1" t="s">
        <v>147</v>
      </c>
      <c r="D1" s="2">
        <v>0.05</v>
      </c>
      <c r="E1" t="s">
        <v>148</v>
      </c>
      <c r="F1">
        <f ca="1">_xlfn.T.INV(1-D1/2,AR7)</f>
        <v>2.0555294386428731</v>
      </c>
    </row>
    <row r="2" spans="1:44" s="3" customFormat="1" x14ac:dyDescent="0.25">
      <c r="A2"/>
      <c r="B2"/>
      <c r="C2"/>
      <c r="D2"/>
      <c r="E2"/>
      <c r="F2"/>
      <c r="G2"/>
      <c r="H2"/>
      <c r="I2"/>
      <c r="J2"/>
      <c r="K2"/>
      <c r="L2"/>
      <c r="M2"/>
      <c r="N2"/>
      <c r="O2"/>
      <c r="P2"/>
      <c r="Q2"/>
      <c r="R2"/>
      <c r="S2"/>
      <c r="T2"/>
      <c r="U2"/>
      <c r="V2"/>
      <c r="W2"/>
      <c r="X2"/>
      <c r="Y2"/>
      <c r="Z2"/>
      <c r="AA2"/>
      <c r="AB2"/>
      <c r="AC2"/>
      <c r="AD2"/>
      <c r="AE2"/>
      <c r="AF2"/>
      <c r="AG2"/>
      <c r="AH2"/>
      <c r="AI2"/>
    </row>
    <row r="3" spans="1:44" s="3" customFormat="1" x14ac:dyDescent="0.25">
      <c r="A3"/>
      <c r="B3" t="s">
        <v>15</v>
      </c>
      <c r="C3" t="s">
        <v>78</v>
      </c>
      <c r="D3" t="s">
        <v>140</v>
      </c>
      <c r="E3" t="s">
        <v>150</v>
      </c>
      <c r="F3" t="s">
        <v>149</v>
      </c>
      <c r="G3" t="s">
        <v>179</v>
      </c>
      <c r="H3" t="s">
        <v>180</v>
      </c>
      <c r="I3" t="s">
        <v>79</v>
      </c>
      <c r="J3" t="str">
        <f>MODEL_MATRIX!C1</f>
        <v>A</v>
      </c>
      <c r="K3" t="str">
        <f>MODEL_MATRIX!D1</f>
        <v>C</v>
      </c>
      <c r="L3" t="str">
        <f>MODEL_MATRIX!E1</f>
        <v>E</v>
      </c>
      <c r="M3" t="str">
        <f>MODEL_MATRIX!F1</f>
        <v>AC</v>
      </c>
      <c r="N3" t="str">
        <f>MODEL_MATRIX!G1</f>
        <v>AE</v>
      </c>
      <c r="O3" t="str">
        <f>MODEL_MATRIX!H1</f>
        <v/>
      </c>
      <c r="P3" t="str">
        <f>MODEL_MATRIX!I1</f>
        <v/>
      </c>
      <c r="Q3" t="str">
        <f>MODEL_MATRIX!J1</f>
        <v/>
      </c>
      <c r="R3" t="str">
        <f>MODEL_MATRIX!K1</f>
        <v/>
      </c>
      <c r="S3" t="str">
        <f>MODEL_MATRIX!L1</f>
        <v/>
      </c>
      <c r="T3" t="str">
        <f>MODEL_MATRIX!M1</f>
        <v/>
      </c>
      <c r="U3" t="str">
        <f>MODEL_MATRIX!N1</f>
        <v/>
      </c>
      <c r="V3" t="str">
        <f>MODEL_MATRIX!O1</f>
        <v/>
      </c>
      <c r="W3" t="str">
        <f>MODEL_MATRIX!P1</f>
        <v/>
      </c>
      <c r="X3" t="str">
        <f>MODEL_MATRIX!Q1</f>
        <v/>
      </c>
      <c r="Y3" t="str">
        <f>MODEL_MATRIX!R1</f>
        <v/>
      </c>
      <c r="Z3" t="str">
        <f>MODEL_MATRIX!S1</f>
        <v/>
      </c>
      <c r="AA3" t="str">
        <f>MODEL_MATRIX!T1</f>
        <v/>
      </c>
      <c r="AB3" t="str">
        <f>MODEL_MATRIX!U1</f>
        <v/>
      </c>
      <c r="AC3" t="str">
        <f>MODEL_MATRIX!V1</f>
        <v/>
      </c>
      <c r="AD3" t="str">
        <f>MODEL_MATRIX!W1</f>
        <v/>
      </c>
      <c r="AE3" t="str">
        <f>MODEL_MATRIX!X1</f>
        <v/>
      </c>
      <c r="AF3" t="str">
        <f>MODEL_MATRIX!Y1</f>
        <v/>
      </c>
      <c r="AG3" t="str">
        <f>MODEL_MATRIX!Z1</f>
        <v/>
      </c>
      <c r="AH3" t="str">
        <f>MODEL_MATRIX!AA1</f>
        <v/>
      </c>
      <c r="AI3"/>
      <c r="AJ3" s="3" t="s">
        <v>182</v>
      </c>
      <c r="AK3" s="3" t="s">
        <v>15</v>
      </c>
      <c r="AN3" s="3" t="s">
        <v>141</v>
      </c>
      <c r="AO3" s="3" t="s">
        <v>142</v>
      </c>
      <c r="AQ3" s="3" t="s">
        <v>143</v>
      </c>
    </row>
    <row r="4" spans="1:44" s="3" customFormat="1" x14ac:dyDescent="0.25">
      <c r="A4">
        <v>1</v>
      </c>
      <c r="B4" s="2"/>
      <c r="C4" s="1" t="str" cm="1">
        <f t="array" aca="1" ref="C4" ca="1">IF(J4="","",MMULT(OFFSET(I4,0,0,COUNT(I4:I23),COUNT(I4:AH4)),OFFSET(AN4,0,0,COUNT(I4:AH4),1)))</f>
        <v/>
      </c>
      <c r="D4" s="1" t="str" cm="1">
        <f t="array" aca="1" ref="D4" ca="1">IF(J4="","",(MMULT((OFFSET(I4,0,0,COUNT(I4:I23),COUNT(I4:AH4))-OFFSET(G35,0,0,COUNT(I4:I23),COUNT(I4:AH4)))^2,OFFSET(AO4,0,0,COUNT(I4:AH4),1)^2)+$AQ$4^2/$AQ$7)^0.5)</f>
        <v/>
      </c>
      <c r="E4" s="1" t="str">
        <f ca="1">IF(C4="","",C4-D4*$F$1)</f>
        <v/>
      </c>
      <c r="F4" s="1" t="str">
        <f t="shared" ref="F4:F23" ca="1" si="0">IF(C4="","",C4+D4*$F$1)</f>
        <v/>
      </c>
      <c r="G4" s="1" t="str">
        <f ca="1">IF(C4="","",C4-(D4^2+$AQ$4^2)^0.5*$F$1)</f>
        <v/>
      </c>
      <c r="H4" s="1" t="str">
        <f ca="1">IF(C4="","",C4+(D4^2+$AQ$4^2)^0.5*$F$1)</f>
        <v/>
      </c>
      <c r="I4" s="1" t="str">
        <f>IF(J4="","",1)</f>
        <v/>
      </c>
      <c r="J4" s="1"/>
      <c r="K4" s="1"/>
      <c r="L4" s="1"/>
      <c r="M4" s="1"/>
      <c r="N4" s="1"/>
      <c r="O4" s="1"/>
      <c r="P4" s="1"/>
      <c r="Q4" s="1"/>
      <c r="R4" s="1"/>
      <c r="S4" s="1"/>
      <c r="T4" s="1"/>
      <c r="U4" s="1"/>
      <c r="V4" s="1"/>
      <c r="W4" s="1"/>
      <c r="X4" s="1"/>
      <c r="Y4" s="1"/>
      <c r="Z4" s="1"/>
      <c r="AA4" s="1"/>
      <c r="AB4" s="1"/>
      <c r="AC4" s="1"/>
      <c r="AD4" s="1"/>
      <c r="AE4" s="1"/>
      <c r="AF4" s="1"/>
      <c r="AG4" s="1"/>
      <c r="AH4" s="1"/>
      <c r="AI4"/>
      <c r="AJ4" s="3" t="e">
        <f t="shared" ref="AJ4:AJ23" si="1">IF($B4="",NA(),A4)</f>
        <v>#N/A</v>
      </c>
      <c r="AK4" s="3" t="e">
        <f t="shared" ref="AK4:AK23" si="2">IF($B4="",NA(),B4)</f>
        <v>#N/A</v>
      </c>
      <c r="AM4" s="3">
        <v>1</v>
      </c>
      <c r="AN4" s="3">
        <f ca="1">IF(AM4&gt;MODEL_FIT!$H$1+1,"",OFFSET(MODEL_FIT!$A$6,0,MODEL_FIT!$H$1+1-ROW()+ROW($AN$4),1,1))</f>
        <v>5.9889290109375004</v>
      </c>
      <c r="AO4" s="3">
        <f ca="1">IF(AM4&gt;MODEL_FIT!$H$1+1,"",OFFSET(MODEL_FIT!$A$7,0,MODEL_FIT!$H$1+1-ROW()+ROW($AN$4),1,1))</f>
        <v>0.13615377001056336</v>
      </c>
      <c r="AP4" s="3" t="str">
        <f ca="1">IF(AM4&gt;MODEL_FIT!$H$1+1,"",OFFSET(MODEL_FIT!$A$5,0,MODEL_FIT!$H$1+1-ROW()+ROW($AN$4),1,1))</f>
        <v>Intercept</v>
      </c>
      <c r="AQ4" s="3">
        <f ca="1">MODEL_FIT!C8</f>
        <v>0.7702020324686637</v>
      </c>
      <c r="AR4" s="3">
        <f ca="1">SQRT(AQ4^2/AQ7)</f>
        <v>0.13615377001056339</v>
      </c>
    </row>
    <row r="5" spans="1:44" s="3" customFormat="1" x14ac:dyDescent="0.25">
      <c r="A5">
        <v>2</v>
      </c>
      <c r="B5" s="2"/>
      <c r="C5" s="1"/>
      <c r="D5" s="1"/>
      <c r="E5" s="1" t="str">
        <f t="shared" ref="E5:E23" si="3">IF(C5="","",C5-D5*$F$1)</f>
        <v/>
      </c>
      <c r="F5" s="1" t="str">
        <f t="shared" si="0"/>
        <v/>
      </c>
      <c r="G5" s="1" t="str">
        <f t="shared" ref="G5:G7" si="4">IF(C5="","",C5-(D5^2+$AQ$4^2)^0.5*$F$1)</f>
        <v/>
      </c>
      <c r="H5" s="1" t="str">
        <f t="shared" ref="H5:H7" si="5">IF(C5="","",C5+(D5^2+$AQ$4^2)^0.5*$F$1)</f>
        <v/>
      </c>
      <c r="I5" s="1" t="str">
        <f>IF(OR(I$3="",$B5=""),"",I4)</f>
        <v/>
      </c>
      <c r="J5" s="1" t="str">
        <f t="shared" ref="J5:AH5" si="6">IF(OR(J$3="",$B5=""),"",J4)</f>
        <v/>
      </c>
      <c r="K5" s="1" t="str">
        <f t="shared" si="6"/>
        <v/>
      </c>
      <c r="L5" s="1" t="str">
        <f t="shared" si="6"/>
        <v/>
      </c>
      <c r="M5" s="1" t="str">
        <f t="shared" si="6"/>
        <v/>
      </c>
      <c r="N5" s="1" t="str">
        <f t="shared" si="6"/>
        <v/>
      </c>
      <c r="O5" s="1" t="str">
        <f t="shared" si="6"/>
        <v/>
      </c>
      <c r="P5" s="1" t="str">
        <f t="shared" si="6"/>
        <v/>
      </c>
      <c r="Q5" s="1" t="str">
        <f t="shared" si="6"/>
        <v/>
      </c>
      <c r="R5" s="1" t="str">
        <f t="shared" si="6"/>
        <v/>
      </c>
      <c r="S5" s="1" t="str">
        <f t="shared" si="6"/>
        <v/>
      </c>
      <c r="T5" s="1" t="str">
        <f t="shared" si="6"/>
        <v/>
      </c>
      <c r="U5" s="1" t="str">
        <f t="shared" si="6"/>
        <v/>
      </c>
      <c r="V5" s="1" t="str">
        <f t="shared" si="6"/>
        <v/>
      </c>
      <c r="W5" s="1" t="str">
        <f t="shared" si="6"/>
        <v/>
      </c>
      <c r="X5" s="1" t="str">
        <f t="shared" si="6"/>
        <v/>
      </c>
      <c r="Y5" s="1" t="str">
        <f t="shared" si="6"/>
        <v/>
      </c>
      <c r="Z5" s="1" t="str">
        <f t="shared" si="6"/>
        <v/>
      </c>
      <c r="AA5" s="1" t="str">
        <f t="shared" si="6"/>
        <v/>
      </c>
      <c r="AB5" s="1" t="str">
        <f t="shared" si="6"/>
        <v/>
      </c>
      <c r="AC5" s="1" t="str">
        <f t="shared" si="6"/>
        <v/>
      </c>
      <c r="AD5" s="1" t="str">
        <f t="shared" si="6"/>
        <v/>
      </c>
      <c r="AE5" s="1" t="str">
        <f t="shared" si="6"/>
        <v/>
      </c>
      <c r="AF5" s="1" t="str">
        <f t="shared" si="6"/>
        <v/>
      </c>
      <c r="AG5" s="1" t="str">
        <f t="shared" si="6"/>
        <v/>
      </c>
      <c r="AH5" s="1" t="str">
        <f t="shared" si="6"/>
        <v/>
      </c>
      <c r="AI5"/>
      <c r="AJ5" s="3" t="e">
        <f t="shared" si="1"/>
        <v>#N/A</v>
      </c>
      <c r="AK5" s="3" t="e">
        <f t="shared" si="2"/>
        <v>#N/A</v>
      </c>
      <c r="AM5" s="3">
        <v>2</v>
      </c>
      <c r="AN5" s="3">
        <f ca="1">IF(AM5&gt;MODEL_FIT!$H$1+1,"",OFFSET(MODEL_FIT!$A$6,0,MODEL_FIT!$H$1+1-ROW()+ROW($AN$4),1,1))</f>
        <v>-0.47624316406249995</v>
      </c>
      <c r="AO5" s="3">
        <f ca="1">IF(AM5&gt;MODEL_FIT!$H$1+1,"",OFFSET(MODEL_FIT!$A$7,0,MODEL_FIT!$H$1+1-ROW()+ROW($AN$4),1,1))</f>
        <v>0.13615377001056339</v>
      </c>
      <c r="AP5" s="3" t="str">
        <f ca="1">IF(AM5&gt;MODEL_FIT!$H$1+1,"",OFFSET(MODEL_FIT!$A$5,0,MODEL_FIT!$H$1+1-ROW()+ROW($AN$4),1,1))</f>
        <v>A</v>
      </c>
    </row>
    <row r="6" spans="1:44" s="3" customFormat="1" x14ac:dyDescent="0.25">
      <c r="A6">
        <v>3</v>
      </c>
      <c r="B6" s="2"/>
      <c r="C6" s="1"/>
      <c r="D6" s="1"/>
      <c r="E6" s="1" t="str">
        <f t="shared" si="3"/>
        <v/>
      </c>
      <c r="F6" s="1" t="str">
        <f t="shared" si="0"/>
        <v/>
      </c>
      <c r="G6" s="1" t="str">
        <f t="shared" si="4"/>
        <v/>
      </c>
      <c r="H6" s="1" t="str">
        <f t="shared" si="5"/>
        <v/>
      </c>
      <c r="I6" s="1" t="str">
        <f t="shared" ref="I6:I23" si="7">IF(OR(I$3="",$B6=""),"",I5)</f>
        <v/>
      </c>
      <c r="J6" s="1" t="str">
        <f t="shared" ref="J6:J23" si="8">IF(OR(J$3="",$B6=""),"",J5)</f>
        <v/>
      </c>
      <c r="K6" s="1" t="str">
        <f t="shared" ref="K6:K23" si="9">IF(OR(K$3="",$B6=""),"",K5)</f>
        <v/>
      </c>
      <c r="L6" s="1" t="str">
        <f t="shared" ref="L6:L23" si="10">IF(OR(L$3="",$B6=""),"",L5)</f>
        <v/>
      </c>
      <c r="M6" s="1" t="str">
        <f t="shared" ref="M6:M23" si="11">IF(OR(M$3="",$B6=""),"",M5)</f>
        <v/>
      </c>
      <c r="N6" s="1" t="str">
        <f t="shared" ref="N6:N23" si="12">IF(OR(N$3="",$B6=""),"",N5)</f>
        <v/>
      </c>
      <c r="O6" s="1" t="str">
        <f t="shared" ref="O6:O23" si="13">IF(OR(O$3="",$B6=""),"",O5)</f>
        <v/>
      </c>
      <c r="P6" s="1" t="str">
        <f t="shared" ref="P6:P23" si="14">IF(OR(P$3="",$B6=""),"",P5)</f>
        <v/>
      </c>
      <c r="Q6" s="1" t="str">
        <f t="shared" ref="Q6:Q23" si="15">IF(OR(Q$3="",$B6=""),"",Q5)</f>
        <v/>
      </c>
      <c r="R6" s="1" t="str">
        <f t="shared" ref="R6:R23" si="16">IF(OR(R$3="",$B6=""),"",R5)</f>
        <v/>
      </c>
      <c r="S6" s="1" t="str">
        <f t="shared" ref="S6:S23" si="17">IF(OR(S$3="",$B6=""),"",S5)</f>
        <v/>
      </c>
      <c r="T6" s="1" t="str">
        <f t="shared" ref="T6:T23" si="18">IF(OR(T$3="",$B6=""),"",T5)</f>
        <v/>
      </c>
      <c r="U6" s="1" t="str">
        <f t="shared" ref="U6:U23" si="19">IF(OR(U$3="",$B6=""),"",U5)</f>
        <v/>
      </c>
      <c r="V6" s="1" t="str">
        <f t="shared" ref="V6:V23" si="20">IF(OR(V$3="",$B6=""),"",V5)</f>
        <v/>
      </c>
      <c r="W6" s="1" t="str">
        <f t="shared" ref="W6:W23" si="21">IF(OR(W$3="",$B6=""),"",W5)</f>
        <v/>
      </c>
      <c r="X6" s="1" t="str">
        <f t="shared" ref="X6:X23" si="22">IF(OR(X$3="",$B6=""),"",X5)</f>
        <v/>
      </c>
      <c r="Y6" s="1" t="str">
        <f t="shared" ref="Y6:Y23" si="23">IF(OR(Y$3="",$B6=""),"",Y5)</f>
        <v/>
      </c>
      <c r="Z6" s="1" t="str">
        <f t="shared" ref="Z6:Z23" si="24">IF(OR(Z$3="",$B6=""),"",Z5)</f>
        <v/>
      </c>
      <c r="AA6" s="1" t="str">
        <f t="shared" ref="AA6:AA23" si="25">IF(OR(AA$3="",$B6=""),"",AA5)</f>
        <v/>
      </c>
      <c r="AB6" s="1" t="str">
        <f t="shared" ref="AB6:AB23" si="26">IF(OR(AB$3="",$B6=""),"",AB5)</f>
        <v/>
      </c>
      <c r="AC6" s="1" t="str">
        <f t="shared" ref="AC6:AC23" si="27">IF(OR(AC$3="",$B6=""),"",AC5)</f>
        <v/>
      </c>
      <c r="AD6" s="1" t="str">
        <f t="shared" ref="AD6:AD23" si="28">IF(OR(AD$3="",$B6=""),"",AD5)</f>
        <v/>
      </c>
      <c r="AE6" s="1" t="str">
        <f t="shared" ref="AE6:AE23" si="29">IF(OR(AE$3="",$B6=""),"",AE5)</f>
        <v/>
      </c>
      <c r="AF6" s="1" t="str">
        <f t="shared" ref="AF6:AF23" si="30">IF(OR(AF$3="",$B6=""),"",AF5)</f>
        <v/>
      </c>
      <c r="AG6" s="1" t="str">
        <f t="shared" ref="AG6:AG23" si="31">IF(OR(AG$3="",$B6=""),"",AG5)</f>
        <v/>
      </c>
      <c r="AH6" s="1" t="str">
        <f t="shared" ref="AH6:AH23" si="32">IF(OR(AH$3="",$B6=""),"",AH5)</f>
        <v/>
      </c>
      <c r="AI6"/>
      <c r="AJ6" s="3" t="e">
        <f t="shared" si="1"/>
        <v>#N/A</v>
      </c>
      <c r="AK6" s="3" t="e">
        <f t="shared" si="2"/>
        <v>#N/A</v>
      </c>
      <c r="AM6" s="3">
        <v>3</v>
      </c>
      <c r="AN6" s="3">
        <f ca="1">IF(AM6&gt;MODEL_FIT!$H$1+1,"",OFFSET(MODEL_FIT!$A$6,0,MODEL_FIT!$H$1+1-ROW()+ROW($AN$4),1,1))</f>
        <v>1.0836925390624996</v>
      </c>
      <c r="AO6" s="3">
        <f ca="1">IF(AM6&gt;MODEL_FIT!$H$1+1,"",OFFSET(MODEL_FIT!$A$7,0,MODEL_FIT!$H$1+1-ROW()+ROW($AN$4),1,1))</f>
        <v>0.13615377001056339</v>
      </c>
      <c r="AP6" s="3" t="str">
        <f ca="1">IF(AM6&gt;MODEL_FIT!$H$1+1,"",OFFSET(MODEL_FIT!$A$5,0,MODEL_FIT!$H$1+1-ROW()+ROW($AN$4),1,1))</f>
        <v>C</v>
      </c>
      <c r="AQ6" s="3" t="s">
        <v>51</v>
      </c>
      <c r="AR6" s="3" t="s">
        <v>146</v>
      </c>
    </row>
    <row r="7" spans="1:44" s="3" customFormat="1" x14ac:dyDescent="0.25">
      <c r="A7">
        <v>4</v>
      </c>
      <c r="B7" s="2"/>
      <c r="C7" s="1"/>
      <c r="D7" s="1"/>
      <c r="E7" s="1" t="str">
        <f t="shared" si="3"/>
        <v/>
      </c>
      <c r="F7" s="1" t="str">
        <f t="shared" si="0"/>
        <v/>
      </c>
      <c r="G7" s="1" t="str">
        <f t="shared" si="4"/>
        <v/>
      </c>
      <c r="H7" s="1" t="str">
        <f t="shared" si="5"/>
        <v/>
      </c>
      <c r="I7" s="1" t="str">
        <f t="shared" si="7"/>
        <v/>
      </c>
      <c r="J7" s="1" t="str">
        <f t="shared" si="8"/>
        <v/>
      </c>
      <c r="K7" s="1" t="str">
        <f t="shared" si="9"/>
        <v/>
      </c>
      <c r="L7" s="1" t="str">
        <f t="shared" si="10"/>
        <v/>
      </c>
      <c r="M7" s="1" t="str">
        <f t="shared" si="11"/>
        <v/>
      </c>
      <c r="N7" s="1" t="str">
        <f t="shared" si="12"/>
        <v/>
      </c>
      <c r="O7" s="1" t="str">
        <f t="shared" si="13"/>
        <v/>
      </c>
      <c r="P7" s="1" t="str">
        <f t="shared" si="14"/>
        <v/>
      </c>
      <c r="Q7" s="1" t="str">
        <f t="shared" si="15"/>
        <v/>
      </c>
      <c r="R7" s="1" t="str">
        <f t="shared" si="16"/>
        <v/>
      </c>
      <c r="S7" s="1" t="str">
        <f t="shared" si="17"/>
        <v/>
      </c>
      <c r="T7" s="1" t="str">
        <f t="shared" si="18"/>
        <v/>
      </c>
      <c r="U7" s="1" t="str">
        <f t="shared" si="19"/>
        <v/>
      </c>
      <c r="V7" s="1" t="str">
        <f t="shared" si="20"/>
        <v/>
      </c>
      <c r="W7" s="1" t="str">
        <f t="shared" si="21"/>
        <v/>
      </c>
      <c r="X7" s="1" t="str">
        <f t="shared" si="22"/>
        <v/>
      </c>
      <c r="Y7" s="1" t="str">
        <f t="shared" si="23"/>
        <v/>
      </c>
      <c r="Z7" s="1" t="str">
        <f t="shared" si="24"/>
        <v/>
      </c>
      <c r="AA7" s="1" t="str">
        <f t="shared" si="25"/>
        <v/>
      </c>
      <c r="AB7" s="1" t="str">
        <f t="shared" si="26"/>
        <v/>
      </c>
      <c r="AC7" s="1" t="str">
        <f t="shared" si="27"/>
        <v/>
      </c>
      <c r="AD7" s="1" t="str">
        <f t="shared" si="28"/>
        <v/>
      </c>
      <c r="AE7" s="1" t="str">
        <f t="shared" si="29"/>
        <v/>
      </c>
      <c r="AF7" s="1" t="str">
        <f t="shared" si="30"/>
        <v/>
      </c>
      <c r="AG7" s="1" t="str">
        <f t="shared" si="31"/>
        <v/>
      </c>
      <c r="AH7" s="1" t="str">
        <f t="shared" si="32"/>
        <v/>
      </c>
      <c r="AI7"/>
      <c r="AJ7" s="3" t="e">
        <f t="shared" si="1"/>
        <v>#N/A</v>
      </c>
      <c r="AK7" s="3" t="e">
        <f t="shared" si="2"/>
        <v>#N/A</v>
      </c>
      <c r="AM7" s="3">
        <v>4</v>
      </c>
      <c r="AN7" s="3">
        <f ca="1">IF(AM7&gt;MODEL_FIT!$H$1+1,"",OFFSET(MODEL_FIT!$A$6,0,MODEL_FIT!$H$1+1-ROW()+ROW($AN$4),1,1))</f>
        <v>0.46799014843750014</v>
      </c>
      <c r="AO7" s="3">
        <f ca="1">IF(AM7&gt;MODEL_FIT!$H$1+1,"",OFFSET(MODEL_FIT!$A$7,0,MODEL_FIT!$H$1+1-ROW()+ROW($AN$4),1,1))</f>
        <v>0.13615377001056336</v>
      </c>
      <c r="AP7" s="3" t="str">
        <f ca="1">IF(AM7&gt;MODEL_FIT!$H$1+1,"",OFFSET(MODEL_FIT!$A$5,0,MODEL_FIT!$H$1+1-ROW()+ROW($AN$4),1,1))</f>
        <v>E</v>
      </c>
      <c r="AQ7" s="3">
        <f>DESIGN_FEATURES!E1</f>
        <v>32</v>
      </c>
      <c r="AR7" s="3">
        <f ca="1">MODEL_FIT!C9</f>
        <v>26</v>
      </c>
    </row>
    <row r="8" spans="1:44" s="3" customFormat="1" x14ac:dyDescent="0.25">
      <c r="A8">
        <v>5</v>
      </c>
      <c r="B8" s="2"/>
      <c r="C8" s="1"/>
      <c r="D8" s="1"/>
      <c r="E8" s="1" t="str">
        <f t="shared" si="3"/>
        <v/>
      </c>
      <c r="F8" s="1" t="str">
        <f t="shared" si="0"/>
        <v/>
      </c>
      <c r="G8" s="1"/>
      <c r="H8" s="1"/>
      <c r="I8" s="1" t="str">
        <f t="shared" si="7"/>
        <v/>
      </c>
      <c r="J8" s="1" t="str">
        <f t="shared" si="8"/>
        <v/>
      </c>
      <c r="K8" s="1" t="str">
        <f t="shared" si="9"/>
        <v/>
      </c>
      <c r="L8" s="1" t="str">
        <f t="shared" si="10"/>
        <v/>
      </c>
      <c r="M8" s="1" t="str">
        <f t="shared" si="11"/>
        <v/>
      </c>
      <c r="N8" s="1" t="str">
        <f t="shared" si="12"/>
        <v/>
      </c>
      <c r="O8" s="1" t="str">
        <f t="shared" si="13"/>
        <v/>
      </c>
      <c r="P8" s="1" t="str">
        <f t="shared" si="14"/>
        <v/>
      </c>
      <c r="Q8" s="1" t="str">
        <f t="shared" si="15"/>
        <v/>
      </c>
      <c r="R8" s="1" t="str">
        <f t="shared" si="16"/>
        <v/>
      </c>
      <c r="S8" s="1" t="str">
        <f t="shared" si="17"/>
        <v/>
      </c>
      <c r="T8" s="1" t="str">
        <f t="shared" si="18"/>
        <v/>
      </c>
      <c r="U8" s="1" t="str">
        <f t="shared" si="19"/>
        <v/>
      </c>
      <c r="V8" s="1" t="str">
        <f t="shared" si="20"/>
        <v/>
      </c>
      <c r="W8" s="1" t="str">
        <f t="shared" si="21"/>
        <v/>
      </c>
      <c r="X8" s="1" t="str">
        <f t="shared" si="22"/>
        <v/>
      </c>
      <c r="Y8" s="1" t="str">
        <f t="shared" si="23"/>
        <v/>
      </c>
      <c r="Z8" s="1" t="str">
        <f t="shared" si="24"/>
        <v/>
      </c>
      <c r="AA8" s="1" t="str">
        <f t="shared" si="25"/>
        <v/>
      </c>
      <c r="AB8" s="1" t="str">
        <f t="shared" si="26"/>
        <v/>
      </c>
      <c r="AC8" s="1" t="str">
        <f t="shared" si="27"/>
        <v/>
      </c>
      <c r="AD8" s="1" t="str">
        <f t="shared" si="28"/>
        <v/>
      </c>
      <c r="AE8" s="1" t="str">
        <f t="shared" si="29"/>
        <v/>
      </c>
      <c r="AF8" s="1" t="str">
        <f t="shared" si="30"/>
        <v/>
      </c>
      <c r="AG8" s="1" t="str">
        <f t="shared" si="31"/>
        <v/>
      </c>
      <c r="AH8" s="1" t="str">
        <f t="shared" si="32"/>
        <v/>
      </c>
      <c r="AI8"/>
      <c r="AJ8" s="3" t="e">
        <f t="shared" si="1"/>
        <v>#N/A</v>
      </c>
      <c r="AK8" s="3" t="e">
        <f t="shared" si="2"/>
        <v>#N/A</v>
      </c>
      <c r="AM8" s="3">
        <v>5</v>
      </c>
      <c r="AN8" s="3">
        <f ca="1">IF(AM8&gt;MODEL_FIT!$H$1+1,"",OFFSET(MODEL_FIT!$A$6,0,MODEL_FIT!$H$1+1-ROW()+ROW($AN$4),1,1))</f>
        <v>-0.35986405468749977</v>
      </c>
      <c r="AO8" s="3">
        <f ca="1">IF(AM8&gt;MODEL_FIT!$H$1+1,"",OFFSET(MODEL_FIT!$A$7,0,MODEL_FIT!$H$1+1-ROW()+ROW($AN$4),1,1))</f>
        <v>0.13615377001056336</v>
      </c>
      <c r="AP8" s="3" t="str">
        <f ca="1">IF(AM8&gt;MODEL_FIT!$H$1+1,"",OFFSET(MODEL_FIT!$A$5,0,MODEL_FIT!$H$1+1-ROW()+ROW($AN$4),1,1))</f>
        <v>AC</v>
      </c>
    </row>
    <row r="9" spans="1:44" s="3" customFormat="1" x14ac:dyDescent="0.25">
      <c r="A9">
        <v>6</v>
      </c>
      <c r="B9" s="2"/>
      <c r="C9" s="1"/>
      <c r="D9" s="1"/>
      <c r="E9" s="1" t="str">
        <f t="shared" si="3"/>
        <v/>
      </c>
      <c r="F9" s="1" t="str">
        <f t="shared" si="0"/>
        <v/>
      </c>
      <c r="G9" s="1"/>
      <c r="H9" s="1"/>
      <c r="I9" s="1" t="str">
        <f t="shared" si="7"/>
        <v/>
      </c>
      <c r="J9" s="1" t="str">
        <f t="shared" si="8"/>
        <v/>
      </c>
      <c r="K9" s="1" t="str">
        <f t="shared" si="9"/>
        <v/>
      </c>
      <c r="L9" s="1" t="str">
        <f t="shared" si="10"/>
        <v/>
      </c>
      <c r="M9" s="1" t="str">
        <f t="shared" si="11"/>
        <v/>
      </c>
      <c r="N9" s="1" t="str">
        <f t="shared" si="12"/>
        <v/>
      </c>
      <c r="O9" s="1" t="str">
        <f t="shared" si="13"/>
        <v/>
      </c>
      <c r="P9" s="1" t="str">
        <f t="shared" si="14"/>
        <v/>
      </c>
      <c r="Q9" s="1" t="str">
        <f t="shared" si="15"/>
        <v/>
      </c>
      <c r="R9" s="1" t="str">
        <f t="shared" si="16"/>
        <v/>
      </c>
      <c r="S9" s="1" t="str">
        <f t="shared" si="17"/>
        <v/>
      </c>
      <c r="T9" s="1" t="str">
        <f t="shared" si="18"/>
        <v/>
      </c>
      <c r="U9" s="1" t="str">
        <f t="shared" si="19"/>
        <v/>
      </c>
      <c r="V9" s="1" t="str">
        <f t="shared" si="20"/>
        <v/>
      </c>
      <c r="W9" s="1" t="str">
        <f t="shared" si="21"/>
        <v/>
      </c>
      <c r="X9" s="1" t="str">
        <f t="shared" si="22"/>
        <v/>
      </c>
      <c r="Y9" s="1" t="str">
        <f t="shared" si="23"/>
        <v/>
      </c>
      <c r="Z9" s="1" t="str">
        <f t="shared" si="24"/>
        <v/>
      </c>
      <c r="AA9" s="1" t="str">
        <f t="shared" si="25"/>
        <v/>
      </c>
      <c r="AB9" s="1" t="str">
        <f t="shared" si="26"/>
        <v/>
      </c>
      <c r="AC9" s="1" t="str">
        <f t="shared" si="27"/>
        <v/>
      </c>
      <c r="AD9" s="1" t="str">
        <f t="shared" si="28"/>
        <v/>
      </c>
      <c r="AE9" s="1" t="str">
        <f t="shared" si="29"/>
        <v/>
      </c>
      <c r="AF9" s="1" t="str">
        <f t="shared" si="30"/>
        <v/>
      </c>
      <c r="AG9" s="1" t="str">
        <f t="shared" si="31"/>
        <v/>
      </c>
      <c r="AH9" s="1" t="str">
        <f t="shared" si="32"/>
        <v/>
      </c>
      <c r="AI9"/>
      <c r="AJ9" s="3" t="e">
        <f t="shared" si="1"/>
        <v>#N/A</v>
      </c>
      <c r="AK9" s="3" t="e">
        <f t="shared" si="2"/>
        <v>#N/A</v>
      </c>
      <c r="AM9" s="3">
        <v>6</v>
      </c>
      <c r="AN9" s="3">
        <f ca="1">IF(AM9&gt;MODEL_FIT!$H$1+1,"",OFFSET(MODEL_FIT!$A$6,0,MODEL_FIT!$H$1+1-ROW()+ROW($AN$4),1,1))</f>
        <v>0.41883355468749978</v>
      </c>
      <c r="AO9" s="3">
        <f ca="1">IF(AM9&gt;MODEL_FIT!$H$1+1,"",OFFSET(MODEL_FIT!$A$7,0,MODEL_FIT!$H$1+1-ROW()+ROW($AN$4),1,1))</f>
        <v>0.13615377001056339</v>
      </c>
      <c r="AP9" s="3" t="str">
        <f ca="1">IF(AM9&gt;MODEL_FIT!$H$1+1,"",OFFSET(MODEL_FIT!$A$5,0,MODEL_FIT!$H$1+1-ROW()+ROW($AN$4),1,1))</f>
        <v>AE</v>
      </c>
    </row>
    <row r="10" spans="1:44" s="3" customFormat="1" x14ac:dyDescent="0.25">
      <c r="A10">
        <v>7</v>
      </c>
      <c r="B10" s="2"/>
      <c r="C10" s="1"/>
      <c r="D10" s="1"/>
      <c r="E10" s="1" t="str">
        <f t="shared" si="3"/>
        <v/>
      </c>
      <c r="F10" s="1" t="str">
        <f t="shared" si="0"/>
        <v/>
      </c>
      <c r="G10" s="1"/>
      <c r="H10" s="1"/>
      <c r="I10" s="1" t="str">
        <f t="shared" si="7"/>
        <v/>
      </c>
      <c r="J10" s="1" t="str">
        <f t="shared" si="8"/>
        <v/>
      </c>
      <c r="K10" s="1" t="str">
        <f t="shared" si="9"/>
        <v/>
      </c>
      <c r="L10" s="1" t="str">
        <f t="shared" si="10"/>
        <v/>
      </c>
      <c r="M10" s="1" t="str">
        <f t="shared" si="11"/>
        <v/>
      </c>
      <c r="N10" s="1" t="str">
        <f t="shared" si="12"/>
        <v/>
      </c>
      <c r="O10" s="1" t="str">
        <f t="shared" si="13"/>
        <v/>
      </c>
      <c r="P10" s="1" t="str">
        <f t="shared" si="14"/>
        <v/>
      </c>
      <c r="Q10" s="1" t="str">
        <f t="shared" si="15"/>
        <v/>
      </c>
      <c r="R10" s="1" t="str">
        <f t="shared" si="16"/>
        <v/>
      </c>
      <c r="S10" s="1" t="str">
        <f t="shared" si="17"/>
        <v/>
      </c>
      <c r="T10" s="1" t="str">
        <f t="shared" si="18"/>
        <v/>
      </c>
      <c r="U10" s="1" t="str">
        <f t="shared" si="19"/>
        <v/>
      </c>
      <c r="V10" s="1" t="str">
        <f t="shared" si="20"/>
        <v/>
      </c>
      <c r="W10" s="1" t="str">
        <f t="shared" si="21"/>
        <v/>
      </c>
      <c r="X10" s="1" t="str">
        <f t="shared" si="22"/>
        <v/>
      </c>
      <c r="Y10" s="1" t="str">
        <f t="shared" si="23"/>
        <v/>
      </c>
      <c r="Z10" s="1" t="str">
        <f t="shared" si="24"/>
        <v/>
      </c>
      <c r="AA10" s="1" t="str">
        <f t="shared" si="25"/>
        <v/>
      </c>
      <c r="AB10" s="1" t="str">
        <f t="shared" si="26"/>
        <v/>
      </c>
      <c r="AC10" s="1" t="str">
        <f t="shared" si="27"/>
        <v/>
      </c>
      <c r="AD10" s="1" t="str">
        <f t="shared" si="28"/>
        <v/>
      </c>
      <c r="AE10" s="1" t="str">
        <f t="shared" si="29"/>
        <v/>
      </c>
      <c r="AF10" s="1" t="str">
        <f t="shared" si="30"/>
        <v/>
      </c>
      <c r="AG10" s="1" t="str">
        <f t="shared" si="31"/>
        <v/>
      </c>
      <c r="AH10" s="1" t="str">
        <f t="shared" si="32"/>
        <v/>
      </c>
      <c r="AI10"/>
      <c r="AJ10" s="3" t="e">
        <f t="shared" si="1"/>
        <v>#N/A</v>
      </c>
      <c r="AK10" s="3" t="e">
        <f t="shared" si="2"/>
        <v>#N/A</v>
      </c>
      <c r="AM10" s="3">
        <v>7</v>
      </c>
      <c r="AN10" s="3" t="str">
        <f ca="1">IF(AM10&gt;MODEL_FIT!$H$1+1,"",OFFSET(MODEL_FIT!$A$6,0,MODEL_FIT!$H$1+1-ROW()+ROW($AN$4),1,1))</f>
        <v/>
      </c>
      <c r="AO10" s="3" t="str">
        <f ca="1">IF(AM10&gt;MODEL_FIT!$H$1+1,"",OFFSET(MODEL_FIT!$A$7,0,MODEL_FIT!$H$1+1-ROW()+ROW($AN$4),1,1))</f>
        <v/>
      </c>
      <c r="AP10" s="3" t="str">
        <f ca="1">IF(AM10&gt;MODEL_FIT!$H$1+1,"",OFFSET(MODEL_FIT!$A$5,0,MODEL_FIT!$H$1+1-ROW()+ROW($AN$4),1,1))</f>
        <v/>
      </c>
    </row>
    <row r="11" spans="1:44" s="3" customFormat="1" x14ac:dyDescent="0.25">
      <c r="A11">
        <v>8</v>
      </c>
      <c r="B11" s="2"/>
      <c r="C11" s="1"/>
      <c r="D11" s="1"/>
      <c r="E11" s="1" t="str">
        <f t="shared" si="3"/>
        <v/>
      </c>
      <c r="F11" s="1" t="str">
        <f t="shared" si="0"/>
        <v/>
      </c>
      <c r="G11" s="1"/>
      <c r="H11" s="1"/>
      <c r="I11" s="1" t="str">
        <f t="shared" si="7"/>
        <v/>
      </c>
      <c r="J11" s="1" t="str">
        <f t="shared" si="8"/>
        <v/>
      </c>
      <c r="K11" s="1" t="str">
        <f t="shared" si="9"/>
        <v/>
      </c>
      <c r="L11" s="1" t="str">
        <f t="shared" si="10"/>
        <v/>
      </c>
      <c r="M11" s="1" t="str">
        <f t="shared" si="11"/>
        <v/>
      </c>
      <c r="N11" s="1" t="str">
        <f t="shared" si="12"/>
        <v/>
      </c>
      <c r="O11" s="1" t="str">
        <f t="shared" si="13"/>
        <v/>
      </c>
      <c r="P11" s="1" t="str">
        <f t="shared" si="14"/>
        <v/>
      </c>
      <c r="Q11" s="1" t="str">
        <f t="shared" si="15"/>
        <v/>
      </c>
      <c r="R11" s="1" t="str">
        <f t="shared" si="16"/>
        <v/>
      </c>
      <c r="S11" s="1" t="str">
        <f t="shared" si="17"/>
        <v/>
      </c>
      <c r="T11" s="1" t="str">
        <f t="shared" si="18"/>
        <v/>
      </c>
      <c r="U11" s="1" t="str">
        <f t="shared" si="19"/>
        <v/>
      </c>
      <c r="V11" s="1" t="str">
        <f t="shared" si="20"/>
        <v/>
      </c>
      <c r="W11" s="1" t="str">
        <f t="shared" si="21"/>
        <v/>
      </c>
      <c r="X11" s="1" t="str">
        <f t="shared" si="22"/>
        <v/>
      </c>
      <c r="Y11" s="1" t="str">
        <f t="shared" si="23"/>
        <v/>
      </c>
      <c r="Z11" s="1" t="str">
        <f t="shared" si="24"/>
        <v/>
      </c>
      <c r="AA11" s="1" t="str">
        <f t="shared" si="25"/>
        <v/>
      </c>
      <c r="AB11" s="1" t="str">
        <f t="shared" si="26"/>
        <v/>
      </c>
      <c r="AC11" s="1" t="str">
        <f t="shared" si="27"/>
        <v/>
      </c>
      <c r="AD11" s="1" t="str">
        <f t="shared" si="28"/>
        <v/>
      </c>
      <c r="AE11" s="1" t="str">
        <f t="shared" si="29"/>
        <v/>
      </c>
      <c r="AF11" s="1" t="str">
        <f t="shared" si="30"/>
        <v/>
      </c>
      <c r="AG11" s="1" t="str">
        <f t="shared" si="31"/>
        <v/>
      </c>
      <c r="AH11" s="1" t="str">
        <f t="shared" si="32"/>
        <v/>
      </c>
      <c r="AI11"/>
      <c r="AJ11" s="3" t="e">
        <f t="shared" si="1"/>
        <v>#N/A</v>
      </c>
      <c r="AK11" s="3" t="e">
        <f t="shared" si="2"/>
        <v>#N/A</v>
      </c>
      <c r="AM11" s="3">
        <v>8</v>
      </c>
      <c r="AN11" s="3" t="str">
        <f ca="1">IF(AM11&gt;MODEL_FIT!$H$1+1,"",OFFSET(MODEL_FIT!$A$6,0,MODEL_FIT!$H$1+1-ROW()+ROW($AN$4),1,1))</f>
        <v/>
      </c>
      <c r="AO11" s="3" t="str">
        <f ca="1">IF(AM11&gt;MODEL_FIT!$H$1+1,"",OFFSET(MODEL_FIT!$A$7,0,MODEL_FIT!$H$1+1-ROW()+ROW($AN$4),1,1))</f>
        <v/>
      </c>
      <c r="AP11" s="3" t="str">
        <f ca="1">IF(AM11&gt;MODEL_FIT!$H$1+1,"",OFFSET(MODEL_FIT!$A$5,0,MODEL_FIT!$H$1+1-ROW()+ROW($AN$4),1,1))</f>
        <v/>
      </c>
    </row>
    <row r="12" spans="1:44" s="3" customFormat="1" x14ac:dyDescent="0.25">
      <c r="A12">
        <v>9</v>
      </c>
      <c r="B12" s="2"/>
      <c r="C12" s="1"/>
      <c r="D12" s="1"/>
      <c r="E12" s="1" t="str">
        <f t="shared" si="3"/>
        <v/>
      </c>
      <c r="F12" s="1" t="str">
        <f t="shared" si="0"/>
        <v/>
      </c>
      <c r="G12" s="1"/>
      <c r="H12" s="1"/>
      <c r="I12" s="1" t="str">
        <f t="shared" si="7"/>
        <v/>
      </c>
      <c r="J12" s="1" t="str">
        <f t="shared" si="8"/>
        <v/>
      </c>
      <c r="K12" s="1" t="str">
        <f t="shared" si="9"/>
        <v/>
      </c>
      <c r="L12" s="1" t="str">
        <f t="shared" si="10"/>
        <v/>
      </c>
      <c r="M12" s="1" t="str">
        <f t="shared" si="11"/>
        <v/>
      </c>
      <c r="N12" s="1" t="str">
        <f t="shared" si="12"/>
        <v/>
      </c>
      <c r="O12" s="1" t="str">
        <f t="shared" si="13"/>
        <v/>
      </c>
      <c r="P12" s="1" t="str">
        <f t="shared" si="14"/>
        <v/>
      </c>
      <c r="Q12" s="1" t="str">
        <f t="shared" si="15"/>
        <v/>
      </c>
      <c r="R12" s="1" t="str">
        <f t="shared" si="16"/>
        <v/>
      </c>
      <c r="S12" s="1" t="str">
        <f t="shared" si="17"/>
        <v/>
      </c>
      <c r="T12" s="1" t="str">
        <f t="shared" si="18"/>
        <v/>
      </c>
      <c r="U12" s="1" t="str">
        <f t="shared" si="19"/>
        <v/>
      </c>
      <c r="V12" s="1" t="str">
        <f t="shared" si="20"/>
        <v/>
      </c>
      <c r="W12" s="1" t="str">
        <f t="shared" si="21"/>
        <v/>
      </c>
      <c r="X12" s="1" t="str">
        <f t="shared" si="22"/>
        <v/>
      </c>
      <c r="Y12" s="1" t="str">
        <f t="shared" si="23"/>
        <v/>
      </c>
      <c r="Z12" s="1" t="str">
        <f t="shared" si="24"/>
        <v/>
      </c>
      <c r="AA12" s="1" t="str">
        <f t="shared" si="25"/>
        <v/>
      </c>
      <c r="AB12" s="1" t="str">
        <f t="shared" si="26"/>
        <v/>
      </c>
      <c r="AC12" s="1" t="str">
        <f t="shared" si="27"/>
        <v/>
      </c>
      <c r="AD12" s="1" t="str">
        <f t="shared" si="28"/>
        <v/>
      </c>
      <c r="AE12" s="1" t="str">
        <f t="shared" si="29"/>
        <v/>
      </c>
      <c r="AF12" s="1" t="str">
        <f t="shared" si="30"/>
        <v/>
      </c>
      <c r="AG12" s="1" t="str">
        <f t="shared" si="31"/>
        <v/>
      </c>
      <c r="AH12" s="1" t="str">
        <f t="shared" si="32"/>
        <v/>
      </c>
      <c r="AI12"/>
      <c r="AJ12" s="3" t="e">
        <f t="shared" si="1"/>
        <v>#N/A</v>
      </c>
      <c r="AK12" s="3" t="e">
        <f t="shared" si="2"/>
        <v>#N/A</v>
      </c>
      <c r="AM12" s="3">
        <v>9</v>
      </c>
      <c r="AN12" s="3" t="str">
        <f ca="1">IF(AM12&gt;MODEL_FIT!$H$1+1,"",OFFSET(MODEL_FIT!$A$6,0,MODEL_FIT!$H$1+1-ROW()+ROW($AN$4),1,1))</f>
        <v/>
      </c>
      <c r="AO12" s="3" t="str">
        <f ca="1">IF(AM12&gt;MODEL_FIT!$H$1+1,"",OFFSET(MODEL_FIT!$A$7,0,MODEL_FIT!$H$1+1-ROW()+ROW($AN$4),1,1))</f>
        <v/>
      </c>
      <c r="AP12" s="3" t="str">
        <f ca="1">IF(AM12&gt;MODEL_FIT!$H$1+1,"",OFFSET(MODEL_FIT!$A$5,0,MODEL_FIT!$H$1+1-ROW()+ROW($AN$4),1,1))</f>
        <v/>
      </c>
    </row>
    <row r="13" spans="1:44" s="3" customFormat="1" x14ac:dyDescent="0.25">
      <c r="A13">
        <v>10</v>
      </c>
      <c r="B13" s="2"/>
      <c r="C13" s="1"/>
      <c r="D13" s="1"/>
      <c r="E13" s="1" t="str">
        <f t="shared" si="3"/>
        <v/>
      </c>
      <c r="F13" s="1" t="str">
        <f t="shared" si="0"/>
        <v/>
      </c>
      <c r="G13" s="1"/>
      <c r="H13" s="1"/>
      <c r="I13" s="1" t="str">
        <f t="shared" si="7"/>
        <v/>
      </c>
      <c r="J13" s="1" t="str">
        <f t="shared" si="8"/>
        <v/>
      </c>
      <c r="K13" s="1" t="str">
        <f t="shared" si="9"/>
        <v/>
      </c>
      <c r="L13" s="1" t="str">
        <f t="shared" si="10"/>
        <v/>
      </c>
      <c r="M13" s="1" t="str">
        <f t="shared" si="11"/>
        <v/>
      </c>
      <c r="N13" s="1" t="str">
        <f t="shared" si="12"/>
        <v/>
      </c>
      <c r="O13" s="1" t="str">
        <f t="shared" si="13"/>
        <v/>
      </c>
      <c r="P13" s="1" t="str">
        <f t="shared" si="14"/>
        <v/>
      </c>
      <c r="Q13" s="1" t="str">
        <f t="shared" si="15"/>
        <v/>
      </c>
      <c r="R13" s="1" t="str">
        <f t="shared" si="16"/>
        <v/>
      </c>
      <c r="S13" s="1" t="str">
        <f t="shared" si="17"/>
        <v/>
      </c>
      <c r="T13" s="1" t="str">
        <f t="shared" si="18"/>
        <v/>
      </c>
      <c r="U13" s="1" t="str">
        <f t="shared" si="19"/>
        <v/>
      </c>
      <c r="V13" s="1" t="str">
        <f t="shared" si="20"/>
        <v/>
      </c>
      <c r="W13" s="1" t="str">
        <f t="shared" si="21"/>
        <v/>
      </c>
      <c r="X13" s="1" t="str">
        <f t="shared" si="22"/>
        <v/>
      </c>
      <c r="Y13" s="1" t="str">
        <f t="shared" si="23"/>
        <v/>
      </c>
      <c r="Z13" s="1" t="str">
        <f t="shared" si="24"/>
        <v/>
      </c>
      <c r="AA13" s="1" t="str">
        <f t="shared" si="25"/>
        <v/>
      </c>
      <c r="AB13" s="1" t="str">
        <f t="shared" si="26"/>
        <v/>
      </c>
      <c r="AC13" s="1" t="str">
        <f t="shared" si="27"/>
        <v/>
      </c>
      <c r="AD13" s="1" t="str">
        <f t="shared" si="28"/>
        <v/>
      </c>
      <c r="AE13" s="1" t="str">
        <f t="shared" si="29"/>
        <v/>
      </c>
      <c r="AF13" s="1" t="str">
        <f t="shared" si="30"/>
        <v/>
      </c>
      <c r="AG13" s="1" t="str">
        <f t="shared" si="31"/>
        <v/>
      </c>
      <c r="AH13" s="1" t="str">
        <f t="shared" si="32"/>
        <v/>
      </c>
      <c r="AI13"/>
      <c r="AJ13" s="3" t="e">
        <f t="shared" si="1"/>
        <v>#N/A</v>
      </c>
      <c r="AK13" s="3" t="e">
        <f t="shared" si="2"/>
        <v>#N/A</v>
      </c>
      <c r="AM13" s="3">
        <v>10</v>
      </c>
      <c r="AN13" s="3" t="str">
        <f ca="1">IF(AM13&gt;MODEL_FIT!$H$1+1,"",OFFSET(MODEL_FIT!$A$6,0,MODEL_FIT!$H$1+1-ROW()+ROW($AN$4),1,1))</f>
        <v/>
      </c>
      <c r="AO13" s="3" t="str">
        <f ca="1">IF(AM13&gt;MODEL_FIT!$H$1+1,"",OFFSET(MODEL_FIT!$A$7,0,MODEL_FIT!$H$1+1-ROW()+ROW($AN$4),1,1))</f>
        <v/>
      </c>
      <c r="AP13" s="3" t="str">
        <f ca="1">IF(AM13&gt;MODEL_FIT!$H$1+1,"",OFFSET(MODEL_FIT!$A$5,0,MODEL_FIT!$H$1+1-ROW()+ROW($AN$4),1,1))</f>
        <v/>
      </c>
    </row>
    <row r="14" spans="1:44" s="3" customFormat="1" x14ac:dyDescent="0.25">
      <c r="A14">
        <v>11</v>
      </c>
      <c r="B14" s="2"/>
      <c r="C14" s="1"/>
      <c r="D14" s="1"/>
      <c r="E14" s="1" t="str">
        <f t="shared" si="3"/>
        <v/>
      </c>
      <c r="F14" s="1" t="str">
        <f t="shared" si="0"/>
        <v/>
      </c>
      <c r="G14" s="1"/>
      <c r="H14" s="1"/>
      <c r="I14" s="1" t="str">
        <f t="shared" si="7"/>
        <v/>
      </c>
      <c r="J14" s="1" t="str">
        <f t="shared" si="8"/>
        <v/>
      </c>
      <c r="K14" s="1" t="str">
        <f t="shared" si="9"/>
        <v/>
      </c>
      <c r="L14" s="1" t="str">
        <f t="shared" si="10"/>
        <v/>
      </c>
      <c r="M14" s="1" t="str">
        <f t="shared" si="11"/>
        <v/>
      </c>
      <c r="N14" s="1" t="str">
        <f t="shared" si="12"/>
        <v/>
      </c>
      <c r="O14" s="1" t="str">
        <f t="shared" si="13"/>
        <v/>
      </c>
      <c r="P14" s="1" t="str">
        <f t="shared" si="14"/>
        <v/>
      </c>
      <c r="Q14" s="1" t="str">
        <f t="shared" si="15"/>
        <v/>
      </c>
      <c r="R14" s="1" t="str">
        <f t="shared" si="16"/>
        <v/>
      </c>
      <c r="S14" s="1" t="str">
        <f t="shared" si="17"/>
        <v/>
      </c>
      <c r="T14" s="1" t="str">
        <f t="shared" si="18"/>
        <v/>
      </c>
      <c r="U14" s="1" t="str">
        <f t="shared" si="19"/>
        <v/>
      </c>
      <c r="V14" s="1" t="str">
        <f t="shared" si="20"/>
        <v/>
      </c>
      <c r="W14" s="1" t="str">
        <f t="shared" si="21"/>
        <v/>
      </c>
      <c r="X14" s="1" t="str">
        <f t="shared" si="22"/>
        <v/>
      </c>
      <c r="Y14" s="1" t="str">
        <f t="shared" si="23"/>
        <v/>
      </c>
      <c r="Z14" s="1" t="str">
        <f t="shared" si="24"/>
        <v/>
      </c>
      <c r="AA14" s="1" t="str">
        <f t="shared" si="25"/>
        <v/>
      </c>
      <c r="AB14" s="1" t="str">
        <f t="shared" si="26"/>
        <v/>
      </c>
      <c r="AC14" s="1" t="str">
        <f t="shared" si="27"/>
        <v/>
      </c>
      <c r="AD14" s="1" t="str">
        <f t="shared" si="28"/>
        <v/>
      </c>
      <c r="AE14" s="1" t="str">
        <f t="shared" si="29"/>
        <v/>
      </c>
      <c r="AF14" s="1" t="str">
        <f t="shared" si="30"/>
        <v/>
      </c>
      <c r="AG14" s="1" t="str">
        <f t="shared" si="31"/>
        <v/>
      </c>
      <c r="AH14" s="1" t="str">
        <f t="shared" si="32"/>
        <v/>
      </c>
      <c r="AI14"/>
      <c r="AJ14" s="3" t="e">
        <f t="shared" si="1"/>
        <v>#N/A</v>
      </c>
      <c r="AK14" s="3" t="e">
        <f t="shared" si="2"/>
        <v>#N/A</v>
      </c>
      <c r="AM14" s="3">
        <v>11</v>
      </c>
      <c r="AN14" s="3" t="str">
        <f ca="1">IF(AM14&gt;MODEL_FIT!$H$1+1,"",OFFSET(MODEL_FIT!$A$6,0,MODEL_FIT!$H$1+1-ROW()+ROW($AN$4),1,1))</f>
        <v/>
      </c>
      <c r="AO14" s="3" t="str">
        <f ca="1">IF(AM14&gt;MODEL_FIT!$H$1+1,"",OFFSET(MODEL_FIT!$A$7,0,MODEL_FIT!$H$1+1-ROW()+ROW($AN$4),1,1))</f>
        <v/>
      </c>
      <c r="AP14" s="3" t="str">
        <f ca="1">IF(AM14&gt;MODEL_FIT!$H$1+1,"",OFFSET(MODEL_FIT!$A$5,0,MODEL_FIT!$H$1+1-ROW()+ROW($AN$4),1,1))</f>
        <v/>
      </c>
    </row>
    <row r="15" spans="1:44" s="3" customFormat="1" x14ac:dyDescent="0.25">
      <c r="A15">
        <v>12</v>
      </c>
      <c r="B15" s="2"/>
      <c r="C15" s="1"/>
      <c r="D15" s="1"/>
      <c r="E15" s="1" t="str">
        <f t="shared" si="3"/>
        <v/>
      </c>
      <c r="F15" s="1" t="str">
        <f t="shared" si="0"/>
        <v/>
      </c>
      <c r="G15" s="1"/>
      <c r="H15" s="1"/>
      <c r="I15" s="1" t="str">
        <f t="shared" si="7"/>
        <v/>
      </c>
      <c r="J15" s="1" t="str">
        <f t="shared" si="8"/>
        <v/>
      </c>
      <c r="K15" s="1" t="str">
        <f t="shared" si="9"/>
        <v/>
      </c>
      <c r="L15" s="1" t="str">
        <f t="shared" si="10"/>
        <v/>
      </c>
      <c r="M15" s="1" t="str">
        <f t="shared" si="11"/>
        <v/>
      </c>
      <c r="N15" s="1" t="str">
        <f t="shared" si="12"/>
        <v/>
      </c>
      <c r="O15" s="1" t="str">
        <f t="shared" si="13"/>
        <v/>
      </c>
      <c r="P15" s="1" t="str">
        <f t="shared" si="14"/>
        <v/>
      </c>
      <c r="Q15" s="1" t="str">
        <f t="shared" si="15"/>
        <v/>
      </c>
      <c r="R15" s="1" t="str">
        <f t="shared" si="16"/>
        <v/>
      </c>
      <c r="S15" s="1" t="str">
        <f t="shared" si="17"/>
        <v/>
      </c>
      <c r="T15" s="1" t="str">
        <f t="shared" si="18"/>
        <v/>
      </c>
      <c r="U15" s="1" t="str">
        <f t="shared" si="19"/>
        <v/>
      </c>
      <c r="V15" s="1" t="str">
        <f t="shared" si="20"/>
        <v/>
      </c>
      <c r="W15" s="1" t="str">
        <f t="shared" si="21"/>
        <v/>
      </c>
      <c r="X15" s="1" t="str">
        <f t="shared" si="22"/>
        <v/>
      </c>
      <c r="Y15" s="1" t="str">
        <f t="shared" si="23"/>
        <v/>
      </c>
      <c r="Z15" s="1" t="str">
        <f t="shared" si="24"/>
        <v/>
      </c>
      <c r="AA15" s="1" t="str">
        <f t="shared" si="25"/>
        <v/>
      </c>
      <c r="AB15" s="1" t="str">
        <f t="shared" si="26"/>
        <v/>
      </c>
      <c r="AC15" s="1" t="str">
        <f t="shared" si="27"/>
        <v/>
      </c>
      <c r="AD15" s="1" t="str">
        <f t="shared" si="28"/>
        <v/>
      </c>
      <c r="AE15" s="1" t="str">
        <f t="shared" si="29"/>
        <v/>
      </c>
      <c r="AF15" s="1" t="str">
        <f t="shared" si="30"/>
        <v/>
      </c>
      <c r="AG15" s="1" t="str">
        <f t="shared" si="31"/>
        <v/>
      </c>
      <c r="AH15" s="1" t="str">
        <f t="shared" si="32"/>
        <v/>
      </c>
      <c r="AI15"/>
      <c r="AJ15" s="3" t="e">
        <f t="shared" si="1"/>
        <v>#N/A</v>
      </c>
      <c r="AK15" s="3" t="e">
        <f t="shared" si="2"/>
        <v>#N/A</v>
      </c>
      <c r="AM15" s="3">
        <v>12</v>
      </c>
      <c r="AN15" s="3" t="str">
        <f ca="1">IF(AM15&gt;MODEL_FIT!$H$1+1,"",OFFSET(MODEL_FIT!$A$6,0,MODEL_FIT!$H$1+1-ROW()+ROW($AN$4),1,1))</f>
        <v/>
      </c>
      <c r="AO15" s="3" t="str">
        <f ca="1">IF(AM15&gt;MODEL_FIT!$H$1+1,"",OFFSET(MODEL_FIT!$A$7,0,MODEL_FIT!$H$1+1-ROW()+ROW($AN$4),1,1))</f>
        <v/>
      </c>
      <c r="AP15" s="3" t="str">
        <f ca="1">IF(AM15&gt;MODEL_FIT!$H$1+1,"",OFFSET(MODEL_FIT!$A$5,0,MODEL_FIT!$H$1+1-ROW()+ROW($AN$4),1,1))</f>
        <v/>
      </c>
    </row>
    <row r="16" spans="1:44" s="3" customFormat="1" x14ac:dyDescent="0.25">
      <c r="A16">
        <v>13</v>
      </c>
      <c r="B16" s="2"/>
      <c r="C16" s="1"/>
      <c r="D16" s="1"/>
      <c r="E16" s="1" t="str">
        <f t="shared" si="3"/>
        <v/>
      </c>
      <c r="F16" s="1" t="str">
        <f t="shared" si="0"/>
        <v/>
      </c>
      <c r="G16" s="1"/>
      <c r="H16" s="1"/>
      <c r="I16" s="1" t="str">
        <f t="shared" si="7"/>
        <v/>
      </c>
      <c r="J16" s="1" t="str">
        <f t="shared" si="8"/>
        <v/>
      </c>
      <c r="K16" s="1" t="str">
        <f t="shared" si="9"/>
        <v/>
      </c>
      <c r="L16" s="1" t="str">
        <f t="shared" si="10"/>
        <v/>
      </c>
      <c r="M16" s="1" t="str">
        <f t="shared" si="11"/>
        <v/>
      </c>
      <c r="N16" s="1" t="str">
        <f t="shared" si="12"/>
        <v/>
      </c>
      <c r="O16" s="1" t="str">
        <f t="shared" si="13"/>
        <v/>
      </c>
      <c r="P16" s="1" t="str">
        <f t="shared" si="14"/>
        <v/>
      </c>
      <c r="Q16" s="1" t="str">
        <f t="shared" si="15"/>
        <v/>
      </c>
      <c r="R16" s="1" t="str">
        <f t="shared" si="16"/>
        <v/>
      </c>
      <c r="S16" s="1" t="str">
        <f t="shared" si="17"/>
        <v/>
      </c>
      <c r="T16" s="1" t="str">
        <f t="shared" si="18"/>
        <v/>
      </c>
      <c r="U16" s="1" t="str">
        <f t="shared" si="19"/>
        <v/>
      </c>
      <c r="V16" s="1" t="str">
        <f t="shared" si="20"/>
        <v/>
      </c>
      <c r="W16" s="1" t="str">
        <f t="shared" si="21"/>
        <v/>
      </c>
      <c r="X16" s="1" t="str">
        <f t="shared" si="22"/>
        <v/>
      </c>
      <c r="Y16" s="1" t="str">
        <f t="shared" si="23"/>
        <v/>
      </c>
      <c r="Z16" s="1" t="str">
        <f t="shared" si="24"/>
        <v/>
      </c>
      <c r="AA16" s="1" t="str">
        <f t="shared" si="25"/>
        <v/>
      </c>
      <c r="AB16" s="1" t="str">
        <f t="shared" si="26"/>
        <v/>
      </c>
      <c r="AC16" s="1" t="str">
        <f t="shared" si="27"/>
        <v/>
      </c>
      <c r="AD16" s="1" t="str">
        <f t="shared" si="28"/>
        <v/>
      </c>
      <c r="AE16" s="1" t="str">
        <f t="shared" si="29"/>
        <v/>
      </c>
      <c r="AF16" s="1" t="str">
        <f t="shared" si="30"/>
        <v/>
      </c>
      <c r="AG16" s="1" t="str">
        <f t="shared" si="31"/>
        <v/>
      </c>
      <c r="AH16" s="1" t="str">
        <f t="shared" si="32"/>
        <v/>
      </c>
      <c r="AI16"/>
      <c r="AJ16" s="3" t="e">
        <f t="shared" si="1"/>
        <v>#N/A</v>
      </c>
      <c r="AK16" s="3" t="e">
        <f t="shared" si="2"/>
        <v>#N/A</v>
      </c>
      <c r="AM16" s="3">
        <v>13</v>
      </c>
      <c r="AN16" s="3" t="str">
        <f ca="1">IF(AM16&gt;MODEL_FIT!$H$1+1,"",OFFSET(MODEL_FIT!$A$6,0,MODEL_FIT!$H$1+1-ROW()+ROW($AN$4),1,1))</f>
        <v/>
      </c>
      <c r="AO16" s="3" t="str">
        <f ca="1">IF(AM16&gt;MODEL_FIT!$H$1+1,"",OFFSET(MODEL_FIT!$A$7,0,MODEL_FIT!$H$1+1-ROW()+ROW($AN$4),1,1))</f>
        <v/>
      </c>
      <c r="AP16" s="3" t="str">
        <f ca="1">IF(AM16&gt;MODEL_FIT!$H$1+1,"",OFFSET(MODEL_FIT!$A$5,0,MODEL_FIT!$H$1+1-ROW()+ROW($AN$4),1,1))</f>
        <v/>
      </c>
    </row>
    <row r="17" spans="1:42" s="3" customFormat="1" x14ac:dyDescent="0.25">
      <c r="A17">
        <v>14</v>
      </c>
      <c r="B17" s="2"/>
      <c r="C17" s="1"/>
      <c r="D17" s="1"/>
      <c r="E17" s="1" t="str">
        <f t="shared" si="3"/>
        <v/>
      </c>
      <c r="F17" s="1" t="str">
        <f t="shared" si="0"/>
        <v/>
      </c>
      <c r="G17" s="1"/>
      <c r="H17" s="1"/>
      <c r="I17" s="1" t="str">
        <f t="shared" si="7"/>
        <v/>
      </c>
      <c r="J17" s="1" t="str">
        <f t="shared" si="8"/>
        <v/>
      </c>
      <c r="K17" s="1" t="str">
        <f t="shared" si="9"/>
        <v/>
      </c>
      <c r="L17" s="1" t="str">
        <f t="shared" si="10"/>
        <v/>
      </c>
      <c r="M17" s="1" t="str">
        <f t="shared" si="11"/>
        <v/>
      </c>
      <c r="N17" s="1" t="str">
        <f t="shared" si="12"/>
        <v/>
      </c>
      <c r="O17" s="1" t="str">
        <f t="shared" si="13"/>
        <v/>
      </c>
      <c r="P17" s="1" t="str">
        <f t="shared" si="14"/>
        <v/>
      </c>
      <c r="Q17" s="1" t="str">
        <f t="shared" si="15"/>
        <v/>
      </c>
      <c r="R17" s="1" t="str">
        <f t="shared" si="16"/>
        <v/>
      </c>
      <c r="S17" s="1" t="str">
        <f t="shared" si="17"/>
        <v/>
      </c>
      <c r="T17" s="1" t="str">
        <f t="shared" si="18"/>
        <v/>
      </c>
      <c r="U17" s="1" t="str">
        <f t="shared" si="19"/>
        <v/>
      </c>
      <c r="V17" s="1" t="str">
        <f t="shared" si="20"/>
        <v/>
      </c>
      <c r="W17" s="1" t="str">
        <f t="shared" si="21"/>
        <v/>
      </c>
      <c r="X17" s="1" t="str">
        <f t="shared" si="22"/>
        <v/>
      </c>
      <c r="Y17" s="1" t="str">
        <f t="shared" si="23"/>
        <v/>
      </c>
      <c r="Z17" s="1" t="str">
        <f t="shared" si="24"/>
        <v/>
      </c>
      <c r="AA17" s="1" t="str">
        <f t="shared" si="25"/>
        <v/>
      </c>
      <c r="AB17" s="1" t="str">
        <f t="shared" si="26"/>
        <v/>
      </c>
      <c r="AC17" s="1" t="str">
        <f t="shared" si="27"/>
        <v/>
      </c>
      <c r="AD17" s="1" t="str">
        <f t="shared" si="28"/>
        <v/>
      </c>
      <c r="AE17" s="1" t="str">
        <f t="shared" si="29"/>
        <v/>
      </c>
      <c r="AF17" s="1" t="str">
        <f t="shared" si="30"/>
        <v/>
      </c>
      <c r="AG17" s="1" t="str">
        <f t="shared" si="31"/>
        <v/>
      </c>
      <c r="AH17" s="1" t="str">
        <f t="shared" si="32"/>
        <v/>
      </c>
      <c r="AI17"/>
      <c r="AJ17" s="3" t="e">
        <f t="shared" si="1"/>
        <v>#N/A</v>
      </c>
      <c r="AK17" s="3" t="e">
        <f t="shared" si="2"/>
        <v>#N/A</v>
      </c>
      <c r="AM17" s="3">
        <v>14</v>
      </c>
      <c r="AN17" s="3" t="str">
        <f ca="1">IF(AM17&gt;MODEL_FIT!$H$1+1,"",OFFSET(MODEL_FIT!$A$6,0,MODEL_FIT!$H$1+1-ROW()+ROW($AN$4),1,1))</f>
        <v/>
      </c>
      <c r="AO17" s="3" t="str">
        <f ca="1">IF(AM17&gt;MODEL_FIT!$H$1+1,"",OFFSET(MODEL_FIT!$A$7,0,MODEL_FIT!$H$1+1-ROW()+ROW($AN$4),1,1))</f>
        <v/>
      </c>
      <c r="AP17" s="3" t="str">
        <f ca="1">IF(AM17&gt;MODEL_FIT!$H$1+1,"",OFFSET(MODEL_FIT!$A$5,0,MODEL_FIT!$H$1+1-ROW()+ROW($AN$4),1,1))</f>
        <v/>
      </c>
    </row>
    <row r="18" spans="1:42" s="3" customFormat="1" x14ac:dyDescent="0.25">
      <c r="A18">
        <v>15</v>
      </c>
      <c r="B18" s="2"/>
      <c r="C18" s="1"/>
      <c r="D18" s="1"/>
      <c r="E18" s="1" t="str">
        <f t="shared" si="3"/>
        <v/>
      </c>
      <c r="F18" s="1" t="str">
        <f t="shared" si="0"/>
        <v/>
      </c>
      <c r="G18" s="1"/>
      <c r="H18" s="1"/>
      <c r="I18" s="1" t="str">
        <f t="shared" si="7"/>
        <v/>
      </c>
      <c r="J18" s="1" t="str">
        <f t="shared" si="8"/>
        <v/>
      </c>
      <c r="K18" s="1" t="str">
        <f t="shared" si="9"/>
        <v/>
      </c>
      <c r="L18" s="1" t="str">
        <f t="shared" si="10"/>
        <v/>
      </c>
      <c r="M18" s="1" t="str">
        <f t="shared" si="11"/>
        <v/>
      </c>
      <c r="N18" s="1" t="str">
        <f t="shared" si="12"/>
        <v/>
      </c>
      <c r="O18" s="1" t="str">
        <f t="shared" si="13"/>
        <v/>
      </c>
      <c r="P18" s="1" t="str">
        <f t="shared" si="14"/>
        <v/>
      </c>
      <c r="Q18" s="1" t="str">
        <f t="shared" si="15"/>
        <v/>
      </c>
      <c r="R18" s="1" t="str">
        <f t="shared" si="16"/>
        <v/>
      </c>
      <c r="S18" s="1" t="str">
        <f t="shared" si="17"/>
        <v/>
      </c>
      <c r="T18" s="1" t="str">
        <f t="shared" si="18"/>
        <v/>
      </c>
      <c r="U18" s="1" t="str">
        <f t="shared" si="19"/>
        <v/>
      </c>
      <c r="V18" s="1" t="str">
        <f t="shared" si="20"/>
        <v/>
      </c>
      <c r="W18" s="1" t="str">
        <f t="shared" si="21"/>
        <v/>
      </c>
      <c r="X18" s="1" t="str">
        <f t="shared" si="22"/>
        <v/>
      </c>
      <c r="Y18" s="1" t="str">
        <f t="shared" si="23"/>
        <v/>
      </c>
      <c r="Z18" s="1" t="str">
        <f t="shared" si="24"/>
        <v/>
      </c>
      <c r="AA18" s="1" t="str">
        <f t="shared" si="25"/>
        <v/>
      </c>
      <c r="AB18" s="1" t="str">
        <f t="shared" si="26"/>
        <v/>
      </c>
      <c r="AC18" s="1" t="str">
        <f t="shared" si="27"/>
        <v/>
      </c>
      <c r="AD18" s="1" t="str">
        <f t="shared" si="28"/>
        <v/>
      </c>
      <c r="AE18" s="1" t="str">
        <f t="shared" si="29"/>
        <v/>
      </c>
      <c r="AF18" s="1" t="str">
        <f t="shared" si="30"/>
        <v/>
      </c>
      <c r="AG18" s="1" t="str">
        <f t="shared" si="31"/>
        <v/>
      </c>
      <c r="AH18" s="1" t="str">
        <f t="shared" si="32"/>
        <v/>
      </c>
      <c r="AI18"/>
      <c r="AJ18" s="3" t="e">
        <f t="shared" si="1"/>
        <v>#N/A</v>
      </c>
      <c r="AK18" s="3" t="e">
        <f t="shared" si="2"/>
        <v>#N/A</v>
      </c>
      <c r="AM18" s="3">
        <v>15</v>
      </c>
      <c r="AN18" s="3" t="str">
        <f ca="1">IF(AM18&gt;MODEL_FIT!$H$1+1,"",OFFSET(MODEL_FIT!$A$6,0,MODEL_FIT!$H$1+1-ROW()+ROW($AN$4),1,1))</f>
        <v/>
      </c>
      <c r="AO18" s="3" t="str">
        <f ca="1">IF(AM18&gt;MODEL_FIT!$H$1+1,"",OFFSET(MODEL_FIT!$A$7,0,MODEL_FIT!$H$1+1-ROW()+ROW($AN$4),1,1))</f>
        <v/>
      </c>
      <c r="AP18" s="3" t="str">
        <f ca="1">IF(AM18&gt;MODEL_FIT!$H$1+1,"",OFFSET(MODEL_FIT!$A$5,0,MODEL_FIT!$H$1+1-ROW()+ROW($AN$4),1,1))</f>
        <v/>
      </c>
    </row>
    <row r="19" spans="1:42" s="3" customFormat="1" x14ac:dyDescent="0.25">
      <c r="A19">
        <v>16</v>
      </c>
      <c r="B19" s="2"/>
      <c r="C19" s="1"/>
      <c r="D19" s="1"/>
      <c r="E19" s="1" t="str">
        <f t="shared" si="3"/>
        <v/>
      </c>
      <c r="F19" s="1" t="str">
        <f t="shared" si="0"/>
        <v/>
      </c>
      <c r="G19" s="1"/>
      <c r="H19" s="1"/>
      <c r="I19" s="1" t="str">
        <f t="shared" si="7"/>
        <v/>
      </c>
      <c r="J19" s="1" t="str">
        <f t="shared" si="8"/>
        <v/>
      </c>
      <c r="K19" s="1" t="str">
        <f t="shared" si="9"/>
        <v/>
      </c>
      <c r="L19" s="1" t="str">
        <f t="shared" si="10"/>
        <v/>
      </c>
      <c r="M19" s="1" t="str">
        <f t="shared" si="11"/>
        <v/>
      </c>
      <c r="N19" s="1" t="str">
        <f t="shared" si="12"/>
        <v/>
      </c>
      <c r="O19" s="1" t="str">
        <f t="shared" si="13"/>
        <v/>
      </c>
      <c r="P19" s="1" t="str">
        <f t="shared" si="14"/>
        <v/>
      </c>
      <c r="Q19" s="1" t="str">
        <f t="shared" si="15"/>
        <v/>
      </c>
      <c r="R19" s="1" t="str">
        <f t="shared" si="16"/>
        <v/>
      </c>
      <c r="S19" s="1" t="str">
        <f t="shared" si="17"/>
        <v/>
      </c>
      <c r="T19" s="1" t="str">
        <f t="shared" si="18"/>
        <v/>
      </c>
      <c r="U19" s="1" t="str">
        <f t="shared" si="19"/>
        <v/>
      </c>
      <c r="V19" s="1" t="str">
        <f t="shared" si="20"/>
        <v/>
      </c>
      <c r="W19" s="1" t="str">
        <f t="shared" si="21"/>
        <v/>
      </c>
      <c r="X19" s="1" t="str">
        <f t="shared" si="22"/>
        <v/>
      </c>
      <c r="Y19" s="1" t="str">
        <f t="shared" si="23"/>
        <v/>
      </c>
      <c r="Z19" s="1" t="str">
        <f t="shared" si="24"/>
        <v/>
      </c>
      <c r="AA19" s="1" t="str">
        <f t="shared" si="25"/>
        <v/>
      </c>
      <c r="AB19" s="1" t="str">
        <f t="shared" si="26"/>
        <v/>
      </c>
      <c r="AC19" s="1" t="str">
        <f t="shared" si="27"/>
        <v/>
      </c>
      <c r="AD19" s="1" t="str">
        <f t="shared" si="28"/>
        <v/>
      </c>
      <c r="AE19" s="1" t="str">
        <f t="shared" si="29"/>
        <v/>
      </c>
      <c r="AF19" s="1" t="str">
        <f t="shared" si="30"/>
        <v/>
      </c>
      <c r="AG19" s="1" t="str">
        <f t="shared" si="31"/>
        <v/>
      </c>
      <c r="AH19" s="1" t="str">
        <f t="shared" si="32"/>
        <v/>
      </c>
      <c r="AI19"/>
      <c r="AJ19" s="3" t="e">
        <f t="shared" si="1"/>
        <v>#N/A</v>
      </c>
      <c r="AK19" s="3" t="e">
        <f t="shared" si="2"/>
        <v>#N/A</v>
      </c>
      <c r="AM19" s="3">
        <v>16</v>
      </c>
      <c r="AN19" s="3" t="str">
        <f ca="1">IF(AM19&gt;MODEL_FIT!$H$1+1,"",OFFSET(MODEL_FIT!$A$6,0,MODEL_FIT!$H$1+1-ROW()+ROW($AN$4),1,1))</f>
        <v/>
      </c>
      <c r="AO19" s="3" t="str">
        <f ca="1">IF(AM19&gt;MODEL_FIT!$H$1+1,"",OFFSET(MODEL_FIT!$A$7,0,MODEL_FIT!$H$1+1-ROW()+ROW($AN$4),1,1))</f>
        <v/>
      </c>
      <c r="AP19" s="3" t="str">
        <f ca="1">IF(AM19&gt;MODEL_FIT!$H$1+1,"",OFFSET(MODEL_FIT!$A$5,0,MODEL_FIT!$H$1+1-ROW()+ROW($AN$4),1,1))</f>
        <v/>
      </c>
    </row>
    <row r="20" spans="1:42" s="3" customFormat="1" x14ac:dyDescent="0.25">
      <c r="A20">
        <v>17</v>
      </c>
      <c r="B20" s="2"/>
      <c r="C20" s="1"/>
      <c r="D20" s="1"/>
      <c r="E20" s="1" t="str">
        <f t="shared" si="3"/>
        <v/>
      </c>
      <c r="F20" s="1" t="str">
        <f t="shared" si="0"/>
        <v/>
      </c>
      <c r="G20" s="1"/>
      <c r="H20" s="1"/>
      <c r="I20" s="1" t="str">
        <f t="shared" si="7"/>
        <v/>
      </c>
      <c r="J20" s="1" t="str">
        <f t="shared" si="8"/>
        <v/>
      </c>
      <c r="K20" s="1" t="str">
        <f t="shared" si="9"/>
        <v/>
      </c>
      <c r="L20" s="1" t="str">
        <f t="shared" si="10"/>
        <v/>
      </c>
      <c r="M20" s="1" t="str">
        <f t="shared" si="11"/>
        <v/>
      </c>
      <c r="N20" s="1" t="str">
        <f t="shared" si="12"/>
        <v/>
      </c>
      <c r="O20" s="1" t="str">
        <f t="shared" si="13"/>
        <v/>
      </c>
      <c r="P20" s="1" t="str">
        <f t="shared" si="14"/>
        <v/>
      </c>
      <c r="Q20" s="1" t="str">
        <f t="shared" si="15"/>
        <v/>
      </c>
      <c r="R20" s="1" t="str">
        <f t="shared" si="16"/>
        <v/>
      </c>
      <c r="S20" s="1" t="str">
        <f t="shared" si="17"/>
        <v/>
      </c>
      <c r="T20" s="1" t="str">
        <f t="shared" si="18"/>
        <v/>
      </c>
      <c r="U20" s="1" t="str">
        <f t="shared" si="19"/>
        <v/>
      </c>
      <c r="V20" s="1" t="str">
        <f t="shared" si="20"/>
        <v/>
      </c>
      <c r="W20" s="1" t="str">
        <f t="shared" si="21"/>
        <v/>
      </c>
      <c r="X20" s="1" t="str">
        <f t="shared" si="22"/>
        <v/>
      </c>
      <c r="Y20" s="1" t="str">
        <f t="shared" si="23"/>
        <v/>
      </c>
      <c r="Z20" s="1" t="str">
        <f t="shared" si="24"/>
        <v/>
      </c>
      <c r="AA20" s="1" t="str">
        <f t="shared" si="25"/>
        <v/>
      </c>
      <c r="AB20" s="1" t="str">
        <f t="shared" si="26"/>
        <v/>
      </c>
      <c r="AC20" s="1" t="str">
        <f t="shared" si="27"/>
        <v/>
      </c>
      <c r="AD20" s="1" t="str">
        <f t="shared" si="28"/>
        <v/>
      </c>
      <c r="AE20" s="1" t="str">
        <f t="shared" si="29"/>
        <v/>
      </c>
      <c r="AF20" s="1" t="str">
        <f t="shared" si="30"/>
        <v/>
      </c>
      <c r="AG20" s="1" t="str">
        <f t="shared" si="31"/>
        <v/>
      </c>
      <c r="AH20" s="1" t="str">
        <f t="shared" si="32"/>
        <v/>
      </c>
      <c r="AI20"/>
      <c r="AJ20" s="3" t="e">
        <f t="shared" si="1"/>
        <v>#N/A</v>
      </c>
      <c r="AK20" s="3" t="e">
        <f t="shared" si="2"/>
        <v>#N/A</v>
      </c>
      <c r="AM20" s="3">
        <v>17</v>
      </c>
      <c r="AN20" s="3" t="str">
        <f ca="1">IF(AM20&gt;MODEL_FIT!$H$1+1,"",OFFSET(MODEL_FIT!$A$6,0,MODEL_FIT!$H$1+1-ROW()+ROW($AN$4),1,1))</f>
        <v/>
      </c>
      <c r="AO20" s="3" t="str">
        <f ca="1">IF(AM20&gt;MODEL_FIT!$H$1+1,"",OFFSET(MODEL_FIT!$A$7,0,MODEL_FIT!$H$1+1-ROW()+ROW($AN$4),1,1))</f>
        <v/>
      </c>
      <c r="AP20" s="3" t="str">
        <f ca="1">IF(AM20&gt;MODEL_FIT!$H$1+1,"",OFFSET(MODEL_FIT!$A$5,0,MODEL_FIT!$H$1+1-ROW()+ROW($AN$4),1,1))</f>
        <v/>
      </c>
    </row>
    <row r="21" spans="1:42" s="3" customFormat="1" x14ac:dyDescent="0.25">
      <c r="A21">
        <v>18</v>
      </c>
      <c r="B21" s="2"/>
      <c r="C21" s="1"/>
      <c r="D21" s="1"/>
      <c r="E21" s="1" t="str">
        <f t="shared" si="3"/>
        <v/>
      </c>
      <c r="F21" s="1" t="str">
        <f t="shared" si="0"/>
        <v/>
      </c>
      <c r="G21" s="1"/>
      <c r="H21" s="1"/>
      <c r="I21" s="1" t="str">
        <f t="shared" si="7"/>
        <v/>
      </c>
      <c r="J21" s="1" t="str">
        <f t="shared" si="8"/>
        <v/>
      </c>
      <c r="K21" s="1" t="str">
        <f t="shared" si="9"/>
        <v/>
      </c>
      <c r="L21" s="1" t="str">
        <f t="shared" si="10"/>
        <v/>
      </c>
      <c r="M21" s="1" t="str">
        <f t="shared" si="11"/>
        <v/>
      </c>
      <c r="N21" s="1" t="str">
        <f t="shared" si="12"/>
        <v/>
      </c>
      <c r="O21" s="1" t="str">
        <f t="shared" si="13"/>
        <v/>
      </c>
      <c r="P21" s="1" t="str">
        <f t="shared" si="14"/>
        <v/>
      </c>
      <c r="Q21" s="1" t="str">
        <f t="shared" si="15"/>
        <v/>
      </c>
      <c r="R21" s="1" t="str">
        <f t="shared" si="16"/>
        <v/>
      </c>
      <c r="S21" s="1" t="str">
        <f t="shared" si="17"/>
        <v/>
      </c>
      <c r="T21" s="1" t="str">
        <f t="shared" si="18"/>
        <v/>
      </c>
      <c r="U21" s="1" t="str">
        <f t="shared" si="19"/>
        <v/>
      </c>
      <c r="V21" s="1" t="str">
        <f t="shared" si="20"/>
        <v/>
      </c>
      <c r="W21" s="1" t="str">
        <f t="shared" si="21"/>
        <v/>
      </c>
      <c r="X21" s="1" t="str">
        <f t="shared" si="22"/>
        <v/>
      </c>
      <c r="Y21" s="1" t="str">
        <f t="shared" si="23"/>
        <v/>
      </c>
      <c r="Z21" s="1" t="str">
        <f t="shared" si="24"/>
        <v/>
      </c>
      <c r="AA21" s="1" t="str">
        <f t="shared" si="25"/>
        <v/>
      </c>
      <c r="AB21" s="1" t="str">
        <f t="shared" si="26"/>
        <v/>
      </c>
      <c r="AC21" s="1" t="str">
        <f t="shared" si="27"/>
        <v/>
      </c>
      <c r="AD21" s="1" t="str">
        <f t="shared" si="28"/>
        <v/>
      </c>
      <c r="AE21" s="1" t="str">
        <f t="shared" si="29"/>
        <v/>
      </c>
      <c r="AF21" s="1" t="str">
        <f t="shared" si="30"/>
        <v/>
      </c>
      <c r="AG21" s="1" t="str">
        <f t="shared" si="31"/>
        <v/>
      </c>
      <c r="AH21" s="1" t="str">
        <f t="shared" si="32"/>
        <v/>
      </c>
      <c r="AI21"/>
      <c r="AJ21" s="3" t="e">
        <f t="shared" si="1"/>
        <v>#N/A</v>
      </c>
      <c r="AK21" s="3" t="e">
        <f t="shared" si="2"/>
        <v>#N/A</v>
      </c>
      <c r="AM21" s="3">
        <v>18</v>
      </c>
      <c r="AN21" s="3" t="str">
        <f ca="1">IF(AM21&gt;MODEL_FIT!$H$1+1,"",OFFSET(MODEL_FIT!$A$6,0,MODEL_FIT!$H$1+1-ROW()+ROW($AN$4),1,1))</f>
        <v/>
      </c>
      <c r="AO21" s="3" t="str">
        <f ca="1">IF(AM21&gt;MODEL_FIT!$H$1+1,"",OFFSET(MODEL_FIT!$A$7,0,MODEL_FIT!$H$1+1-ROW()+ROW($AN$4),1,1))</f>
        <v/>
      </c>
      <c r="AP21" s="3" t="str">
        <f ca="1">IF(AM21&gt;MODEL_FIT!$H$1+1,"",OFFSET(MODEL_FIT!$A$5,0,MODEL_FIT!$H$1+1-ROW()+ROW($AN$4),1,1))</f>
        <v/>
      </c>
    </row>
    <row r="22" spans="1:42" s="3" customFormat="1" x14ac:dyDescent="0.25">
      <c r="A22">
        <v>19</v>
      </c>
      <c r="B22" s="2"/>
      <c r="C22" s="1"/>
      <c r="D22" s="1"/>
      <c r="E22" s="1" t="str">
        <f t="shared" si="3"/>
        <v/>
      </c>
      <c r="F22" s="1" t="str">
        <f t="shared" si="0"/>
        <v/>
      </c>
      <c r="G22" s="1"/>
      <c r="H22" s="1"/>
      <c r="I22" s="1" t="str">
        <f t="shared" si="7"/>
        <v/>
      </c>
      <c r="J22" s="1" t="str">
        <f t="shared" si="8"/>
        <v/>
      </c>
      <c r="K22" s="1" t="str">
        <f t="shared" si="9"/>
        <v/>
      </c>
      <c r="L22" s="1" t="str">
        <f t="shared" si="10"/>
        <v/>
      </c>
      <c r="M22" s="1" t="str">
        <f t="shared" si="11"/>
        <v/>
      </c>
      <c r="N22" s="1" t="str">
        <f t="shared" si="12"/>
        <v/>
      </c>
      <c r="O22" s="1" t="str">
        <f t="shared" si="13"/>
        <v/>
      </c>
      <c r="P22" s="1" t="str">
        <f t="shared" si="14"/>
        <v/>
      </c>
      <c r="Q22" s="1" t="str">
        <f t="shared" si="15"/>
        <v/>
      </c>
      <c r="R22" s="1" t="str">
        <f t="shared" si="16"/>
        <v/>
      </c>
      <c r="S22" s="1" t="str">
        <f t="shared" si="17"/>
        <v/>
      </c>
      <c r="T22" s="1" t="str">
        <f t="shared" si="18"/>
        <v/>
      </c>
      <c r="U22" s="1" t="str">
        <f t="shared" si="19"/>
        <v/>
      </c>
      <c r="V22" s="1" t="str">
        <f t="shared" si="20"/>
        <v/>
      </c>
      <c r="W22" s="1" t="str">
        <f t="shared" si="21"/>
        <v/>
      </c>
      <c r="X22" s="1" t="str">
        <f t="shared" si="22"/>
        <v/>
      </c>
      <c r="Y22" s="1" t="str">
        <f t="shared" si="23"/>
        <v/>
      </c>
      <c r="Z22" s="1" t="str">
        <f t="shared" si="24"/>
        <v/>
      </c>
      <c r="AA22" s="1" t="str">
        <f t="shared" si="25"/>
        <v/>
      </c>
      <c r="AB22" s="1" t="str">
        <f t="shared" si="26"/>
        <v/>
      </c>
      <c r="AC22" s="1" t="str">
        <f t="shared" si="27"/>
        <v/>
      </c>
      <c r="AD22" s="1" t="str">
        <f t="shared" si="28"/>
        <v/>
      </c>
      <c r="AE22" s="1" t="str">
        <f t="shared" si="29"/>
        <v/>
      </c>
      <c r="AF22" s="1" t="str">
        <f t="shared" si="30"/>
        <v/>
      </c>
      <c r="AG22" s="1" t="str">
        <f t="shared" si="31"/>
        <v/>
      </c>
      <c r="AH22" s="1" t="str">
        <f t="shared" si="32"/>
        <v/>
      </c>
      <c r="AI22"/>
      <c r="AJ22" s="3" t="e">
        <f t="shared" si="1"/>
        <v>#N/A</v>
      </c>
      <c r="AK22" s="3" t="e">
        <f t="shared" si="2"/>
        <v>#N/A</v>
      </c>
      <c r="AM22" s="3">
        <v>19</v>
      </c>
      <c r="AN22" s="3" t="str">
        <f ca="1">IF(AM22&gt;MODEL_FIT!$H$1+1,"",OFFSET(MODEL_FIT!$A$6,0,MODEL_FIT!$H$1+1-ROW()+ROW($AN$4),1,1))</f>
        <v/>
      </c>
      <c r="AO22" s="3" t="str">
        <f ca="1">IF(AM22&gt;MODEL_FIT!$H$1+1,"",OFFSET(MODEL_FIT!$A$7,0,MODEL_FIT!$H$1+1-ROW()+ROW($AN$4),1,1))</f>
        <v/>
      </c>
      <c r="AP22" s="3" t="str">
        <f ca="1">IF(AM22&gt;MODEL_FIT!$H$1+1,"",OFFSET(MODEL_FIT!$A$5,0,MODEL_FIT!$H$1+1-ROW()+ROW($AN$4),1,1))</f>
        <v/>
      </c>
    </row>
    <row r="23" spans="1:42" s="3" customFormat="1" x14ac:dyDescent="0.25">
      <c r="A23">
        <v>20</v>
      </c>
      <c r="B23" s="2"/>
      <c r="C23" s="1"/>
      <c r="D23" s="1"/>
      <c r="E23" s="1" t="str">
        <f t="shared" si="3"/>
        <v/>
      </c>
      <c r="F23" s="1" t="str">
        <f t="shared" si="0"/>
        <v/>
      </c>
      <c r="G23" s="1"/>
      <c r="H23" s="1"/>
      <c r="I23" s="1" t="str">
        <f t="shared" si="7"/>
        <v/>
      </c>
      <c r="J23" s="1" t="str">
        <f t="shared" si="8"/>
        <v/>
      </c>
      <c r="K23" s="1" t="str">
        <f t="shared" si="9"/>
        <v/>
      </c>
      <c r="L23" s="1" t="str">
        <f t="shared" si="10"/>
        <v/>
      </c>
      <c r="M23" s="1" t="str">
        <f t="shared" si="11"/>
        <v/>
      </c>
      <c r="N23" s="1" t="str">
        <f t="shared" si="12"/>
        <v/>
      </c>
      <c r="O23" s="1" t="str">
        <f t="shared" si="13"/>
        <v/>
      </c>
      <c r="P23" s="1" t="str">
        <f t="shared" si="14"/>
        <v/>
      </c>
      <c r="Q23" s="1" t="str">
        <f t="shared" si="15"/>
        <v/>
      </c>
      <c r="R23" s="1" t="str">
        <f t="shared" si="16"/>
        <v/>
      </c>
      <c r="S23" s="1" t="str">
        <f t="shared" si="17"/>
        <v/>
      </c>
      <c r="T23" s="1" t="str">
        <f t="shared" si="18"/>
        <v/>
      </c>
      <c r="U23" s="1" t="str">
        <f t="shared" si="19"/>
        <v/>
      </c>
      <c r="V23" s="1" t="str">
        <f t="shared" si="20"/>
        <v/>
      </c>
      <c r="W23" s="1" t="str">
        <f t="shared" si="21"/>
        <v/>
      </c>
      <c r="X23" s="1" t="str">
        <f t="shared" si="22"/>
        <v/>
      </c>
      <c r="Y23" s="1" t="str">
        <f t="shared" si="23"/>
        <v/>
      </c>
      <c r="Z23" s="1" t="str">
        <f t="shared" si="24"/>
        <v/>
      </c>
      <c r="AA23" s="1" t="str">
        <f t="shared" si="25"/>
        <v/>
      </c>
      <c r="AB23" s="1" t="str">
        <f t="shared" si="26"/>
        <v/>
      </c>
      <c r="AC23" s="1" t="str">
        <f t="shared" si="27"/>
        <v/>
      </c>
      <c r="AD23" s="1" t="str">
        <f t="shared" si="28"/>
        <v/>
      </c>
      <c r="AE23" s="1" t="str">
        <f t="shared" si="29"/>
        <v/>
      </c>
      <c r="AF23" s="1" t="str">
        <f t="shared" si="30"/>
        <v/>
      </c>
      <c r="AG23" s="1" t="str">
        <f t="shared" si="31"/>
        <v/>
      </c>
      <c r="AH23" s="1" t="str">
        <f t="shared" si="32"/>
        <v/>
      </c>
      <c r="AI23"/>
      <c r="AJ23" s="3" t="e">
        <f t="shared" si="1"/>
        <v>#N/A</v>
      </c>
      <c r="AK23" s="3" t="e">
        <f t="shared" si="2"/>
        <v>#N/A</v>
      </c>
      <c r="AM23" s="3">
        <v>20</v>
      </c>
      <c r="AN23" s="3" t="str">
        <f ca="1">IF(AM23&gt;MODEL_FIT!$H$1+1,"",OFFSET(MODEL_FIT!$A$6,0,MODEL_FIT!$H$1+1-ROW()+ROW($AN$4),1,1))</f>
        <v/>
      </c>
      <c r="AO23" s="3" t="str">
        <f ca="1">IF(AM23&gt;MODEL_FIT!$H$1+1,"",OFFSET(MODEL_FIT!$A$7,0,MODEL_FIT!$H$1+1-ROW()+ROW($AN$4),1,1))</f>
        <v/>
      </c>
      <c r="AP23" s="3" t="str">
        <f ca="1">IF(AM23&gt;MODEL_FIT!$H$1+1,"",OFFSET(MODEL_FIT!$A$5,0,MODEL_FIT!$H$1+1-ROW()+ROW($AN$4),1,1))</f>
        <v/>
      </c>
    </row>
    <row r="24" spans="1:42" x14ac:dyDescent="0.25">
      <c r="AM24">
        <v>21</v>
      </c>
      <c r="AN24" s="9" t="str">
        <f ca="1">IF(AM24&gt;MODEL_FIT!$H$1+1,"",OFFSET(MODEL_FIT!$A$6,0,MODEL_FIT!$H$1+1-ROW()+ROW($AN$4),1,1))</f>
        <v/>
      </c>
      <c r="AO24" s="9" t="str">
        <f ca="1">IF(AM24&gt;MODEL_FIT!$H$1+1,"",OFFSET(MODEL_FIT!$A$7,0,MODEL_FIT!$H$1+1-ROW()+ROW($AN$4),1,1))</f>
        <v/>
      </c>
      <c r="AP24" s="9" t="str">
        <f ca="1">IF(AM24&gt;MODEL_FIT!$H$1+1,"",OFFSET(MODEL_FIT!$A$5,0,MODEL_FIT!$H$1+1-ROW()+ROW($AN$4),1,1))</f>
        <v/>
      </c>
    </row>
    <row r="25" spans="1:42" ht="15" customHeight="1" x14ac:dyDescent="0.25">
      <c r="B25" t="s">
        <v>183</v>
      </c>
      <c r="C25" t="s">
        <v>178</v>
      </c>
      <c r="E25" t="s">
        <v>78</v>
      </c>
      <c r="F25" t="s">
        <v>184</v>
      </c>
      <c r="G25" t="s">
        <v>152</v>
      </c>
      <c r="K25" t="s">
        <v>153</v>
      </c>
      <c r="L25" t="s">
        <v>154</v>
      </c>
      <c r="M25" t="s">
        <v>150</v>
      </c>
      <c r="N25" t="s">
        <v>149</v>
      </c>
      <c r="AM25">
        <v>22</v>
      </c>
      <c r="AN25" s="1" t="str">
        <f ca="1">IF(AM25&gt;MODEL_FIT!$H$1+1,"",OFFSET(MODEL_FIT!$A$6,0,MODEL_FIT!$H$1+1-ROW()+ROW($AN$4),1,1))</f>
        <v/>
      </c>
      <c r="AO25" s="1" t="str">
        <f ca="1">IF(AM25&gt;MODEL_FIT!$H$1+1,"",OFFSET(MODEL_FIT!$A$7,0,MODEL_FIT!$H$1+1-ROW()+ROW($AN$4),1,1))</f>
        <v/>
      </c>
      <c r="AP25" s="1" t="str">
        <f ca="1">IF(AM25&gt;MODEL_FIT!$H$1+1,"",OFFSET(MODEL_FIT!$A$5,0,MODEL_FIT!$H$1+1-ROW()+ROW($AN$4),1,1))</f>
        <v/>
      </c>
    </row>
    <row r="26" spans="1:42" x14ac:dyDescent="0.25">
      <c r="B26" t="e">
        <f>AVERAGE(B4:B23)</f>
        <v>#DIV/0!</v>
      </c>
      <c r="C26" t="e">
        <f>STDEV(B4:B23)/SQRT(COUNT(B4:B23))</f>
        <v>#DIV/0!</v>
      </c>
      <c r="E26" t="str">
        <f ca="1">C4</f>
        <v/>
      </c>
      <c r="F26" t="str">
        <f ca="1">D4</f>
        <v/>
      </c>
      <c r="G26" t="str">
        <f ca="1">E4</f>
        <v/>
      </c>
      <c r="H26" t="str">
        <f ca="1">F4</f>
        <v/>
      </c>
      <c r="K26" t="e">
        <f ca="1">G58</f>
        <v>#REF!</v>
      </c>
      <c r="L26">
        <f>G59</f>
        <v>0</v>
      </c>
      <c r="M26" t="e">
        <f ca="1">IF(K26="","",K26-L26*$F$1)</f>
        <v>#REF!</v>
      </c>
      <c r="N26" t="e">
        <f t="shared" ref="N26" ca="1" si="33">IF(K26="","",K26+L26*$F$1)</f>
        <v>#REF!</v>
      </c>
      <c r="AM26">
        <v>23</v>
      </c>
      <c r="AN26" s="1" t="str">
        <f ca="1">IF(AM26&gt;MODEL_FIT!$H$1+1,"",OFFSET(MODEL_FIT!$A$6,0,MODEL_FIT!$H$1+1-ROW()+ROW($AN$4),1,1))</f>
        <v/>
      </c>
      <c r="AO26" s="1" t="str">
        <f ca="1">IF(AM26&gt;MODEL_FIT!$H$1+1,"",OFFSET(MODEL_FIT!$A$7,0,MODEL_FIT!$H$1+1-ROW()+ROW($AN$4),1,1))</f>
        <v/>
      </c>
      <c r="AP26" s="1" t="str">
        <f ca="1">IF(AM26&gt;MODEL_FIT!$H$1+1,"",OFFSET(MODEL_FIT!$A$5,0,MODEL_FIT!$H$1+1-ROW()+ROW($AN$4),1,1))</f>
        <v/>
      </c>
    </row>
    <row r="27" spans="1:42" x14ac:dyDescent="0.25">
      <c r="AM27">
        <v>24</v>
      </c>
      <c r="AN27" s="1" t="str">
        <f ca="1">IF(AM27&gt;MODEL_FIT!$H$1+1,"",OFFSET(MODEL_FIT!$A$6,0,MODEL_FIT!$H$1+1-ROW()+ROW($AN$4),1,1))</f>
        <v/>
      </c>
      <c r="AO27" s="1" t="str">
        <f ca="1">IF(AM27&gt;MODEL_FIT!$H$1+1,"",OFFSET(MODEL_FIT!$A$7,0,MODEL_FIT!$H$1+1-ROW()+ROW($AN$4),1,1))</f>
        <v/>
      </c>
      <c r="AP27" s="1" t="str">
        <f ca="1">IF(AM27&gt;MODEL_FIT!$H$1+1,"",OFFSET(MODEL_FIT!$A$5,0,MODEL_FIT!$H$1+1-ROW()+ROW($AN$4),1,1))</f>
        <v/>
      </c>
    </row>
    <row r="28" spans="1:42" x14ac:dyDescent="0.25">
      <c r="A28" s="20" t="s">
        <v>177</v>
      </c>
      <c r="B28" s="20"/>
      <c r="C28" s="20"/>
      <c r="D28" s="20"/>
      <c r="E28" s="20"/>
      <c r="F28" s="20"/>
      <c r="G28" s="20"/>
      <c r="H28" s="20"/>
      <c r="I28" s="20"/>
      <c r="J28" s="20"/>
      <c r="K28" s="20"/>
      <c r="L28" s="20"/>
      <c r="M28" s="20"/>
      <c r="N28" s="20"/>
      <c r="O28" s="20"/>
      <c r="AM28">
        <v>25</v>
      </c>
      <c r="AN28" s="1" t="str">
        <f ca="1">IF(AM28&gt;MODEL_FIT!$H$1+1,"",OFFSET(MODEL_FIT!$A$6,0,MODEL_FIT!$H$1+1-ROW()+ROW($AN$4),1,1))</f>
        <v/>
      </c>
      <c r="AO28" s="1" t="str">
        <f ca="1">IF(AM28&gt;MODEL_FIT!$H$1+1,"",OFFSET(MODEL_FIT!$A$7,0,MODEL_FIT!$H$1+1-ROW()+ROW($AN$4),1,1))</f>
        <v/>
      </c>
      <c r="AP28" s="1" t="str">
        <f ca="1">IF(AM28&gt;MODEL_FIT!$H$1+1,"",OFFSET(MODEL_FIT!$A$5,0,MODEL_FIT!$H$1+1-ROW()+ROW($AN$4),1,1))</f>
        <v/>
      </c>
    </row>
    <row r="29" spans="1:42" x14ac:dyDescent="0.25">
      <c r="A29" s="20"/>
      <c r="B29" s="20"/>
      <c r="C29" s="20"/>
      <c r="D29" s="20"/>
      <c r="E29" s="20"/>
      <c r="F29" s="20"/>
      <c r="G29" s="20"/>
      <c r="H29" s="20"/>
      <c r="I29" s="20"/>
      <c r="J29" s="20"/>
      <c r="K29" s="20"/>
      <c r="L29" s="20"/>
      <c r="M29" s="20"/>
      <c r="N29" s="20"/>
      <c r="O29" s="20"/>
      <c r="AM29">
        <v>26</v>
      </c>
      <c r="AN29" s="1" t="str">
        <f ca="1">IF(AM29&gt;MODEL_FIT!$H$1+1,"",OFFSET(MODEL_FIT!$A$6,0,MODEL_FIT!$H$1+1-ROW()+ROW($AN$4),1,1))</f>
        <v/>
      </c>
      <c r="AO29" s="1" t="str">
        <f ca="1">IF(AM29&gt;MODEL_FIT!$H$1+1,"",OFFSET(MODEL_FIT!$A$7,0,MODEL_FIT!$H$1+1-ROW()+ROW($AN$4),1,1))</f>
        <v/>
      </c>
      <c r="AP29" s="1" t="str">
        <f ca="1">IF(AM29&gt;MODEL_FIT!$H$1+1,"",OFFSET(MODEL_FIT!$A$5,0,MODEL_FIT!$H$1+1-ROW()+ROW($AN$4),1,1))</f>
        <v/>
      </c>
    </row>
    <row r="30" spans="1:42" x14ac:dyDescent="0.25">
      <c r="A30" s="20"/>
      <c r="B30" s="20"/>
      <c r="C30" s="20"/>
      <c r="D30" s="20"/>
      <c r="E30" s="20"/>
      <c r="F30" s="20"/>
      <c r="G30" s="20"/>
      <c r="H30" s="20"/>
      <c r="I30" s="20"/>
      <c r="J30" s="20"/>
      <c r="K30" s="20"/>
      <c r="L30" s="20"/>
      <c r="M30" s="20"/>
      <c r="N30" s="20"/>
      <c r="O30" s="20"/>
    </row>
    <row r="31" spans="1:42" ht="15" customHeight="1" x14ac:dyDescent="0.25">
      <c r="A31" s="20"/>
      <c r="B31" s="20"/>
      <c r="C31" s="20"/>
      <c r="D31" s="20"/>
      <c r="E31" s="20"/>
      <c r="F31" s="20"/>
      <c r="G31" s="20"/>
      <c r="H31" s="20"/>
      <c r="I31" s="20"/>
      <c r="J31" s="20"/>
      <c r="K31" s="20"/>
      <c r="L31" s="20"/>
      <c r="M31" s="20"/>
      <c r="N31" s="20"/>
      <c r="O31" s="20"/>
    </row>
    <row r="32" spans="1:42" x14ac:dyDescent="0.25">
      <c r="A32" s="20"/>
      <c r="B32" s="20"/>
      <c r="C32" s="20"/>
      <c r="D32" s="20"/>
      <c r="E32" s="20"/>
      <c r="F32" s="20"/>
      <c r="G32" s="20"/>
      <c r="H32" s="20"/>
      <c r="I32" s="20"/>
      <c r="J32" s="20"/>
      <c r="K32" s="20"/>
      <c r="L32" s="20"/>
      <c r="M32" s="20"/>
      <c r="N32" s="20"/>
      <c r="O32" s="20"/>
    </row>
    <row r="33" spans="1:32" x14ac:dyDescent="0.25">
      <c r="A33" s="20"/>
      <c r="B33" s="20"/>
      <c r="C33" s="20"/>
      <c r="D33" s="20"/>
      <c r="E33" s="20"/>
      <c r="F33" s="20"/>
      <c r="G33" s="20"/>
      <c r="H33" s="20"/>
      <c r="I33" s="20"/>
      <c r="J33" s="20"/>
      <c r="K33" s="20"/>
      <c r="L33" s="20"/>
      <c r="M33" s="20"/>
      <c r="N33" s="20"/>
      <c r="O33" s="20"/>
    </row>
    <row r="34" spans="1:32" hidden="1" x14ac:dyDescent="0.25"/>
    <row r="35" spans="1:32" hidden="1" x14ac:dyDescent="0.25">
      <c r="D35" t="s">
        <v>144</v>
      </c>
      <c r="G35">
        <v>1</v>
      </c>
      <c r="H35">
        <f>IF(J3="","",AVERAGE(EXP_MATRIX!C2:C71))</f>
        <v>0</v>
      </c>
      <c r="I35">
        <f>IF(K3="","",AVERAGE(EXP_MATRIX!D2:D71))</f>
        <v>0</v>
      </c>
      <c r="J35">
        <f>IF(L3="","",AVERAGE(EXP_MATRIX!E2:E71))</f>
        <v>0</v>
      </c>
      <c r="K35">
        <f>IF(M3="","",AVERAGE(EXP_MATRIX!F2:F71))</f>
        <v>0</v>
      </c>
      <c r="L35">
        <f>IF(N3="","",AVERAGE(EXP_MATRIX!G2:G71))</f>
        <v>0</v>
      </c>
      <c r="M35" t="str">
        <f>IF(O3="","",AVERAGE(EXP_MATRIX!H2:H71))</f>
        <v/>
      </c>
      <c r="N35" t="str">
        <f>IF(P3="","",AVERAGE(EXP_MATRIX!I2:I71))</f>
        <v/>
      </c>
      <c r="O35" t="str">
        <f>IF(Q3="","",AVERAGE(EXP_MATRIX!J2:J71))</f>
        <v/>
      </c>
      <c r="P35" t="str">
        <f>IF(R3="","",AVERAGE(EXP_MATRIX!K2:K71))</f>
        <v/>
      </c>
      <c r="Q35" t="str">
        <f>IF(S3="","",AVERAGE(EXP_MATRIX!L2:L71))</f>
        <v/>
      </c>
      <c r="R35" t="str">
        <f>IF(T3="","",AVERAGE(EXP_MATRIX!M2:M71))</f>
        <v/>
      </c>
      <c r="S35" t="str">
        <f>IF(U3="","",AVERAGE(EXP_MATRIX!N2:N71))</f>
        <v/>
      </c>
      <c r="T35" t="str">
        <f>IF(V3="","",AVERAGE(EXP_MATRIX!O2:O71))</f>
        <v/>
      </c>
      <c r="U35" t="str">
        <f>IF(W3="","",AVERAGE(EXP_MATRIX!P2:P71))</f>
        <v/>
      </c>
      <c r="V35" t="str">
        <f>IF(X3="","",AVERAGE(EXP_MATRIX!Q2:Q71))</f>
        <v/>
      </c>
      <c r="W35" t="str">
        <f>IF(Y3="","",AVERAGE(EXP_MATRIX!R2:R71))</f>
        <v/>
      </c>
      <c r="X35" t="str">
        <f>IF(Z3="","",AVERAGE(EXP_MATRIX!S2:S71))</f>
        <v/>
      </c>
      <c r="Y35" t="str">
        <f>IF(AA3="","",AVERAGE(EXP_MATRIX!T2:T71))</f>
        <v/>
      </c>
      <c r="Z35" t="str">
        <f>IF(AB3="","",AVERAGE(EXP_MATRIX!U2:U71))</f>
        <v/>
      </c>
      <c r="AA35" t="str">
        <f>IF(AC3="","",AVERAGE(EXP_MATRIX!V2:V71))</f>
        <v/>
      </c>
      <c r="AB35" t="str">
        <f>IF(AD3="","",AVERAGE(EXP_MATRIX!W2:W71))</f>
        <v/>
      </c>
      <c r="AC35" t="str">
        <f>IF(AE3="","",AVERAGE(EXP_MATRIX!X2:X71))</f>
        <v/>
      </c>
      <c r="AD35" t="str">
        <f>IF(AF3="","",AVERAGE(EXP_MATRIX!Y2:Y71))</f>
        <v/>
      </c>
      <c r="AE35" t="str">
        <f>IF(AG3="","",AVERAGE(EXP_MATRIX!Z2:Z71))</f>
        <v/>
      </c>
      <c r="AF35" t="str">
        <f>IF(AH3="","",AVERAGE(EXP_MATRIX!AA2:AA71))</f>
        <v/>
      </c>
    </row>
    <row r="36" spans="1:32" hidden="1" x14ac:dyDescent="0.25">
      <c r="G36" s="1" t="str">
        <f t="shared" ref="G36:G55" si="34">IF(I4="","",G$35)</f>
        <v/>
      </c>
      <c r="H36" s="1" t="str">
        <f t="shared" ref="H36:H55" si="35">IF(J4="","",H$35)</f>
        <v/>
      </c>
      <c r="I36" s="1" t="str">
        <f t="shared" ref="I36:I55" si="36">IF(K4="","",I$35)</f>
        <v/>
      </c>
      <c r="J36" s="1" t="str">
        <f t="shared" ref="J36:J55" si="37">IF(L4="","",J$35)</f>
        <v/>
      </c>
      <c r="K36" s="1" t="str">
        <f t="shared" ref="K36:K55" si="38">IF(M4="","",K$35)</f>
        <v/>
      </c>
      <c r="L36" s="1" t="str">
        <f t="shared" ref="L36:L55" si="39">IF(N4="","",L$35)</f>
        <v/>
      </c>
      <c r="M36" s="1" t="str">
        <f t="shared" ref="M36:M55" si="40">IF(O4="","",M$35)</f>
        <v/>
      </c>
      <c r="N36" s="1" t="str">
        <f t="shared" ref="N36:N55" si="41">IF(P4="","",N$35)</f>
        <v/>
      </c>
      <c r="O36" s="1" t="str">
        <f t="shared" ref="O36:O55" si="42">IF(Q4="","",O$35)</f>
        <v/>
      </c>
      <c r="P36" s="1" t="str">
        <f t="shared" ref="P36:P55" si="43">IF(R4="","",P$35)</f>
        <v/>
      </c>
      <c r="Q36" s="1" t="str">
        <f t="shared" ref="Q36:Q55" si="44">IF(S4="","",Q$35)</f>
        <v/>
      </c>
      <c r="R36" s="1" t="str">
        <f t="shared" ref="R36:R55" si="45">IF(T4="","",R$35)</f>
        <v/>
      </c>
      <c r="S36" s="1" t="str">
        <f t="shared" ref="S36:S55" si="46">IF(U4="","",S$35)</f>
        <v/>
      </c>
      <c r="T36" s="1" t="str">
        <f t="shared" ref="T36:T55" si="47">IF(V4="","",T$35)</f>
        <v/>
      </c>
      <c r="U36" s="1" t="str">
        <f t="shared" ref="U36:U55" si="48">IF(W4="","",U$35)</f>
        <v/>
      </c>
      <c r="V36" s="1" t="str">
        <f t="shared" ref="V36:V55" si="49">IF(X4="","",V$35)</f>
        <v/>
      </c>
      <c r="W36" s="1" t="str">
        <f t="shared" ref="W36:W55" si="50">IF(Y4="","",W$35)</f>
        <v/>
      </c>
      <c r="X36" s="1" t="str">
        <f t="shared" ref="X36:X55" si="51">IF(Z4="","",X$35)</f>
        <v/>
      </c>
      <c r="Y36" s="1" t="str">
        <f t="shared" ref="Y36:Y55" si="52">IF(AA4="","",Y$35)</f>
        <v/>
      </c>
      <c r="Z36" s="1" t="str">
        <f t="shared" ref="Z36:Z55" si="53">IF(AB4="","",Z$35)</f>
        <v/>
      </c>
      <c r="AA36" s="1" t="str">
        <f t="shared" ref="AA36:AA55" si="54">IF(AC4="","",AA$35)</f>
        <v/>
      </c>
      <c r="AB36" s="1" t="str">
        <f t="shared" ref="AB36:AB55" si="55">IF(AD4="","",AB$35)</f>
        <v/>
      </c>
      <c r="AC36" s="1" t="str">
        <f t="shared" ref="AC36:AC55" si="56">IF(AE4="","",AC$35)</f>
        <v/>
      </c>
      <c r="AD36" s="1" t="str">
        <f t="shared" ref="AD36:AD55" si="57">IF(AF4="","",AD$35)</f>
        <v/>
      </c>
      <c r="AE36" s="1" t="str">
        <f t="shared" ref="AE36:AE55" si="58">IF(AG4="","",AE$35)</f>
        <v/>
      </c>
      <c r="AF36" s="1" t="str">
        <f t="shared" ref="AF36:AF55" si="59">IF(AH4="","",AF$35)</f>
        <v/>
      </c>
    </row>
    <row r="37" spans="1:32" hidden="1" x14ac:dyDescent="0.25">
      <c r="E37" t="e" cm="1">
        <f t="array" aca="1" ref="E37" ca="1">MMULT((OFFSET(I4,0,0,COUNT(I4:I23),COUNT(I4:AH4))-OFFSET(G35,0,0,COUNT(I4:I23),COUNT(I4:AH4)))^2,OFFSET(AO4,0,0,COUNT(I4:AH4),1)^2)</f>
        <v>#REF!</v>
      </c>
      <c r="G37" s="1" t="str">
        <f t="shared" si="34"/>
        <v/>
      </c>
      <c r="H37" s="1" t="str">
        <f t="shared" si="35"/>
        <v/>
      </c>
      <c r="I37" s="1" t="str">
        <f t="shared" si="36"/>
        <v/>
      </c>
      <c r="J37" s="1" t="str">
        <f t="shared" si="37"/>
        <v/>
      </c>
      <c r="K37" s="1" t="str">
        <f t="shared" si="38"/>
        <v/>
      </c>
      <c r="L37" s="1" t="str">
        <f t="shared" si="39"/>
        <v/>
      </c>
      <c r="M37" s="1" t="str">
        <f t="shared" si="40"/>
        <v/>
      </c>
      <c r="N37" s="1" t="str">
        <f t="shared" si="41"/>
        <v/>
      </c>
      <c r="O37" s="1" t="str">
        <f t="shared" si="42"/>
        <v/>
      </c>
      <c r="P37" s="1" t="str">
        <f t="shared" si="43"/>
        <v/>
      </c>
      <c r="Q37" s="1" t="str">
        <f t="shared" si="44"/>
        <v/>
      </c>
      <c r="R37" s="1" t="str">
        <f t="shared" si="45"/>
        <v/>
      </c>
      <c r="S37" s="1" t="str">
        <f t="shared" si="46"/>
        <v/>
      </c>
      <c r="T37" s="1" t="str">
        <f t="shared" si="47"/>
        <v/>
      </c>
      <c r="U37" s="1" t="str">
        <f t="shared" si="48"/>
        <v/>
      </c>
      <c r="V37" s="1" t="str">
        <f t="shared" si="49"/>
        <v/>
      </c>
      <c r="W37" s="1" t="str">
        <f t="shared" si="50"/>
        <v/>
      </c>
      <c r="X37" s="1" t="str">
        <f t="shared" si="51"/>
        <v/>
      </c>
      <c r="Y37" s="1" t="str">
        <f t="shared" si="52"/>
        <v/>
      </c>
      <c r="Z37" s="1" t="str">
        <f t="shared" si="53"/>
        <v/>
      </c>
      <c r="AA37" s="1" t="str">
        <f t="shared" si="54"/>
        <v/>
      </c>
      <c r="AB37" s="1" t="str">
        <f t="shared" si="55"/>
        <v/>
      </c>
      <c r="AC37" s="1" t="str">
        <f t="shared" si="56"/>
        <v/>
      </c>
      <c r="AD37" s="1" t="str">
        <f t="shared" si="57"/>
        <v/>
      </c>
      <c r="AE37" s="1" t="str">
        <f t="shared" si="58"/>
        <v/>
      </c>
      <c r="AF37" s="1" t="str">
        <f t="shared" si="59"/>
        <v/>
      </c>
    </row>
    <row r="38" spans="1:32" hidden="1" x14ac:dyDescent="0.25">
      <c r="G38" s="1" t="str">
        <f t="shared" si="34"/>
        <v/>
      </c>
      <c r="H38" s="1" t="str">
        <f t="shared" si="35"/>
        <v/>
      </c>
      <c r="I38" s="1" t="str">
        <f t="shared" si="36"/>
        <v/>
      </c>
      <c r="J38" s="1" t="str">
        <f t="shared" si="37"/>
        <v/>
      </c>
      <c r="K38" s="1" t="str">
        <f t="shared" si="38"/>
        <v/>
      </c>
      <c r="L38" s="1" t="str">
        <f t="shared" si="39"/>
        <v/>
      </c>
      <c r="M38" s="1" t="str">
        <f t="shared" si="40"/>
        <v/>
      </c>
      <c r="N38" s="1" t="str">
        <f t="shared" si="41"/>
        <v/>
      </c>
      <c r="O38" s="1" t="str">
        <f t="shared" si="42"/>
        <v/>
      </c>
      <c r="P38" s="1" t="str">
        <f t="shared" si="43"/>
        <v/>
      </c>
      <c r="Q38" s="1" t="str">
        <f t="shared" si="44"/>
        <v/>
      </c>
      <c r="R38" s="1" t="str">
        <f t="shared" si="45"/>
        <v/>
      </c>
      <c r="S38" s="1" t="str">
        <f t="shared" si="46"/>
        <v/>
      </c>
      <c r="T38" s="1" t="str">
        <f t="shared" si="47"/>
        <v/>
      </c>
      <c r="U38" s="1" t="str">
        <f t="shared" si="48"/>
        <v/>
      </c>
      <c r="V38" s="1" t="str">
        <f t="shared" si="49"/>
        <v/>
      </c>
      <c r="W38" s="1" t="str">
        <f t="shared" si="50"/>
        <v/>
      </c>
      <c r="X38" s="1" t="str">
        <f t="shared" si="51"/>
        <v/>
      </c>
      <c r="Y38" s="1" t="str">
        <f t="shared" si="52"/>
        <v/>
      </c>
      <c r="Z38" s="1" t="str">
        <f t="shared" si="53"/>
        <v/>
      </c>
      <c r="AA38" s="1" t="str">
        <f t="shared" si="54"/>
        <v/>
      </c>
      <c r="AB38" s="1" t="str">
        <f t="shared" si="55"/>
        <v/>
      </c>
      <c r="AC38" s="1" t="str">
        <f t="shared" si="56"/>
        <v/>
      </c>
      <c r="AD38" s="1" t="str">
        <f t="shared" si="57"/>
        <v/>
      </c>
      <c r="AE38" s="1" t="str">
        <f t="shared" si="58"/>
        <v/>
      </c>
      <c r="AF38" s="1" t="str">
        <f t="shared" si="59"/>
        <v/>
      </c>
    </row>
    <row r="39" spans="1:32" hidden="1" x14ac:dyDescent="0.25">
      <c r="G39" s="1" t="str">
        <f t="shared" si="34"/>
        <v/>
      </c>
      <c r="H39" s="1" t="str">
        <f t="shared" si="35"/>
        <v/>
      </c>
      <c r="I39" s="1" t="str">
        <f t="shared" si="36"/>
        <v/>
      </c>
      <c r="J39" s="1" t="str">
        <f t="shared" si="37"/>
        <v/>
      </c>
      <c r="K39" s="1" t="str">
        <f t="shared" si="38"/>
        <v/>
      </c>
      <c r="L39" s="1" t="str">
        <f t="shared" si="39"/>
        <v/>
      </c>
      <c r="M39" s="1" t="str">
        <f t="shared" si="40"/>
        <v/>
      </c>
      <c r="N39" s="1" t="str">
        <f t="shared" si="41"/>
        <v/>
      </c>
      <c r="O39" s="1" t="str">
        <f t="shared" si="42"/>
        <v/>
      </c>
      <c r="P39" s="1" t="str">
        <f t="shared" si="43"/>
        <v/>
      </c>
      <c r="Q39" s="1" t="str">
        <f t="shared" si="44"/>
        <v/>
      </c>
      <c r="R39" s="1" t="str">
        <f t="shared" si="45"/>
        <v/>
      </c>
      <c r="S39" s="1" t="str">
        <f t="shared" si="46"/>
        <v/>
      </c>
      <c r="T39" s="1" t="str">
        <f t="shared" si="47"/>
        <v/>
      </c>
      <c r="U39" s="1" t="str">
        <f t="shared" si="48"/>
        <v/>
      </c>
      <c r="V39" s="1" t="str">
        <f t="shared" si="49"/>
        <v/>
      </c>
      <c r="W39" s="1" t="str">
        <f t="shared" si="50"/>
        <v/>
      </c>
      <c r="X39" s="1" t="str">
        <f t="shared" si="51"/>
        <v/>
      </c>
      <c r="Y39" s="1" t="str">
        <f t="shared" si="52"/>
        <v/>
      </c>
      <c r="Z39" s="1" t="str">
        <f t="shared" si="53"/>
        <v/>
      </c>
      <c r="AA39" s="1" t="str">
        <f t="shared" si="54"/>
        <v/>
      </c>
      <c r="AB39" s="1" t="str">
        <f t="shared" si="55"/>
        <v/>
      </c>
      <c r="AC39" s="1" t="str">
        <f t="shared" si="56"/>
        <v/>
      </c>
      <c r="AD39" s="1" t="str">
        <f t="shared" si="57"/>
        <v/>
      </c>
      <c r="AE39" s="1" t="str">
        <f t="shared" si="58"/>
        <v/>
      </c>
      <c r="AF39" s="1" t="str">
        <f t="shared" si="59"/>
        <v/>
      </c>
    </row>
    <row r="40" spans="1:32" hidden="1" x14ac:dyDescent="0.25">
      <c r="G40" s="1" t="str">
        <f t="shared" si="34"/>
        <v/>
      </c>
      <c r="H40" s="1" t="str">
        <f t="shared" si="35"/>
        <v/>
      </c>
      <c r="I40" s="1" t="str">
        <f t="shared" si="36"/>
        <v/>
      </c>
      <c r="J40" s="1" t="str">
        <f t="shared" si="37"/>
        <v/>
      </c>
      <c r="K40" s="1" t="str">
        <f t="shared" si="38"/>
        <v/>
      </c>
      <c r="L40" s="1" t="str">
        <f t="shared" si="39"/>
        <v/>
      </c>
      <c r="M40" s="1" t="str">
        <f t="shared" si="40"/>
        <v/>
      </c>
      <c r="N40" s="1" t="str">
        <f t="shared" si="41"/>
        <v/>
      </c>
      <c r="O40" s="1" t="str">
        <f t="shared" si="42"/>
        <v/>
      </c>
      <c r="P40" s="1" t="str">
        <f t="shared" si="43"/>
        <v/>
      </c>
      <c r="Q40" s="1" t="str">
        <f t="shared" si="44"/>
        <v/>
      </c>
      <c r="R40" s="1" t="str">
        <f t="shared" si="45"/>
        <v/>
      </c>
      <c r="S40" s="1" t="str">
        <f t="shared" si="46"/>
        <v/>
      </c>
      <c r="T40" s="1" t="str">
        <f t="shared" si="47"/>
        <v/>
      </c>
      <c r="U40" s="1" t="str">
        <f t="shared" si="48"/>
        <v/>
      </c>
      <c r="V40" s="1" t="str">
        <f t="shared" si="49"/>
        <v/>
      </c>
      <c r="W40" s="1" t="str">
        <f t="shared" si="50"/>
        <v/>
      </c>
      <c r="X40" s="1" t="str">
        <f t="shared" si="51"/>
        <v/>
      </c>
      <c r="Y40" s="1" t="str">
        <f t="shared" si="52"/>
        <v/>
      </c>
      <c r="Z40" s="1" t="str">
        <f t="shared" si="53"/>
        <v/>
      </c>
      <c r="AA40" s="1" t="str">
        <f t="shared" si="54"/>
        <v/>
      </c>
      <c r="AB40" s="1" t="str">
        <f t="shared" si="55"/>
        <v/>
      </c>
      <c r="AC40" s="1" t="str">
        <f t="shared" si="56"/>
        <v/>
      </c>
      <c r="AD40" s="1" t="str">
        <f t="shared" si="57"/>
        <v/>
      </c>
      <c r="AE40" s="1" t="str">
        <f t="shared" si="58"/>
        <v/>
      </c>
      <c r="AF40" s="1" t="str">
        <f t="shared" si="59"/>
        <v/>
      </c>
    </row>
    <row r="41" spans="1:32" hidden="1" x14ac:dyDescent="0.25">
      <c r="G41" s="1" t="str">
        <f t="shared" si="34"/>
        <v/>
      </c>
      <c r="H41" s="1" t="str">
        <f t="shared" si="35"/>
        <v/>
      </c>
      <c r="I41" s="1" t="str">
        <f t="shared" si="36"/>
        <v/>
      </c>
      <c r="J41" s="1" t="str">
        <f t="shared" si="37"/>
        <v/>
      </c>
      <c r="K41" s="1" t="str">
        <f t="shared" si="38"/>
        <v/>
      </c>
      <c r="L41" s="1" t="str">
        <f t="shared" si="39"/>
        <v/>
      </c>
      <c r="M41" s="1" t="str">
        <f t="shared" si="40"/>
        <v/>
      </c>
      <c r="N41" s="1" t="str">
        <f t="shared" si="41"/>
        <v/>
      </c>
      <c r="O41" s="1" t="str">
        <f t="shared" si="42"/>
        <v/>
      </c>
      <c r="P41" s="1" t="str">
        <f t="shared" si="43"/>
        <v/>
      </c>
      <c r="Q41" s="1" t="str">
        <f t="shared" si="44"/>
        <v/>
      </c>
      <c r="R41" s="1" t="str">
        <f t="shared" si="45"/>
        <v/>
      </c>
      <c r="S41" s="1" t="str">
        <f t="shared" si="46"/>
        <v/>
      </c>
      <c r="T41" s="1" t="str">
        <f t="shared" si="47"/>
        <v/>
      </c>
      <c r="U41" s="1" t="str">
        <f t="shared" si="48"/>
        <v/>
      </c>
      <c r="V41" s="1" t="str">
        <f t="shared" si="49"/>
        <v/>
      </c>
      <c r="W41" s="1" t="str">
        <f t="shared" si="50"/>
        <v/>
      </c>
      <c r="X41" s="1" t="str">
        <f t="shared" si="51"/>
        <v/>
      </c>
      <c r="Y41" s="1" t="str">
        <f t="shared" si="52"/>
        <v/>
      </c>
      <c r="Z41" s="1" t="str">
        <f t="shared" si="53"/>
        <v/>
      </c>
      <c r="AA41" s="1" t="str">
        <f t="shared" si="54"/>
        <v/>
      </c>
      <c r="AB41" s="1" t="str">
        <f t="shared" si="55"/>
        <v/>
      </c>
      <c r="AC41" s="1" t="str">
        <f t="shared" si="56"/>
        <v/>
      </c>
      <c r="AD41" s="1" t="str">
        <f t="shared" si="57"/>
        <v/>
      </c>
      <c r="AE41" s="1" t="str">
        <f t="shared" si="58"/>
        <v/>
      </c>
      <c r="AF41" s="1" t="str">
        <f t="shared" si="59"/>
        <v/>
      </c>
    </row>
    <row r="42" spans="1:32" hidden="1" x14ac:dyDescent="0.25">
      <c r="G42" s="1" t="str">
        <f t="shared" si="34"/>
        <v/>
      </c>
      <c r="H42" s="1" t="str">
        <f t="shared" si="35"/>
        <v/>
      </c>
      <c r="I42" s="1" t="str">
        <f t="shared" si="36"/>
        <v/>
      </c>
      <c r="J42" s="1" t="str">
        <f t="shared" si="37"/>
        <v/>
      </c>
      <c r="K42" s="1" t="str">
        <f t="shared" si="38"/>
        <v/>
      </c>
      <c r="L42" s="1" t="str">
        <f t="shared" si="39"/>
        <v/>
      </c>
      <c r="M42" s="1" t="str">
        <f t="shared" si="40"/>
        <v/>
      </c>
      <c r="N42" s="1" t="str">
        <f t="shared" si="41"/>
        <v/>
      </c>
      <c r="O42" s="1" t="str">
        <f t="shared" si="42"/>
        <v/>
      </c>
      <c r="P42" s="1" t="str">
        <f t="shared" si="43"/>
        <v/>
      </c>
      <c r="Q42" s="1" t="str">
        <f t="shared" si="44"/>
        <v/>
      </c>
      <c r="R42" s="1" t="str">
        <f t="shared" si="45"/>
        <v/>
      </c>
      <c r="S42" s="1" t="str">
        <f t="shared" si="46"/>
        <v/>
      </c>
      <c r="T42" s="1" t="str">
        <f t="shared" si="47"/>
        <v/>
      </c>
      <c r="U42" s="1" t="str">
        <f t="shared" si="48"/>
        <v/>
      </c>
      <c r="V42" s="1" t="str">
        <f t="shared" si="49"/>
        <v/>
      </c>
      <c r="W42" s="1" t="str">
        <f t="shared" si="50"/>
        <v/>
      </c>
      <c r="X42" s="1" t="str">
        <f t="shared" si="51"/>
        <v/>
      </c>
      <c r="Y42" s="1" t="str">
        <f t="shared" si="52"/>
        <v/>
      </c>
      <c r="Z42" s="1" t="str">
        <f t="shared" si="53"/>
        <v/>
      </c>
      <c r="AA42" s="1" t="str">
        <f t="shared" si="54"/>
        <v/>
      </c>
      <c r="AB42" s="1" t="str">
        <f t="shared" si="55"/>
        <v/>
      </c>
      <c r="AC42" s="1" t="str">
        <f t="shared" si="56"/>
        <v/>
      </c>
      <c r="AD42" s="1" t="str">
        <f t="shared" si="57"/>
        <v/>
      </c>
      <c r="AE42" s="1" t="str">
        <f t="shared" si="58"/>
        <v/>
      </c>
      <c r="AF42" s="1" t="str">
        <f t="shared" si="59"/>
        <v/>
      </c>
    </row>
    <row r="43" spans="1:32" hidden="1" x14ac:dyDescent="0.25">
      <c r="G43" s="1" t="str">
        <f t="shared" si="34"/>
        <v/>
      </c>
      <c r="H43" s="1" t="str">
        <f t="shared" si="35"/>
        <v/>
      </c>
      <c r="I43" s="1" t="str">
        <f t="shared" si="36"/>
        <v/>
      </c>
      <c r="J43" s="1" t="str">
        <f t="shared" si="37"/>
        <v/>
      </c>
      <c r="K43" s="1" t="str">
        <f t="shared" si="38"/>
        <v/>
      </c>
      <c r="L43" s="1" t="str">
        <f t="shared" si="39"/>
        <v/>
      </c>
      <c r="M43" s="1" t="str">
        <f t="shared" si="40"/>
        <v/>
      </c>
      <c r="N43" s="1" t="str">
        <f t="shared" si="41"/>
        <v/>
      </c>
      <c r="O43" s="1" t="str">
        <f t="shared" si="42"/>
        <v/>
      </c>
      <c r="P43" s="1" t="str">
        <f t="shared" si="43"/>
        <v/>
      </c>
      <c r="Q43" s="1" t="str">
        <f t="shared" si="44"/>
        <v/>
      </c>
      <c r="R43" s="1" t="str">
        <f t="shared" si="45"/>
        <v/>
      </c>
      <c r="S43" s="1" t="str">
        <f t="shared" si="46"/>
        <v/>
      </c>
      <c r="T43" s="1" t="str">
        <f t="shared" si="47"/>
        <v/>
      </c>
      <c r="U43" s="1" t="str">
        <f t="shared" si="48"/>
        <v/>
      </c>
      <c r="V43" s="1" t="str">
        <f t="shared" si="49"/>
        <v/>
      </c>
      <c r="W43" s="1" t="str">
        <f t="shared" si="50"/>
        <v/>
      </c>
      <c r="X43" s="1" t="str">
        <f t="shared" si="51"/>
        <v/>
      </c>
      <c r="Y43" s="1" t="str">
        <f t="shared" si="52"/>
        <v/>
      </c>
      <c r="Z43" s="1" t="str">
        <f t="shared" si="53"/>
        <v/>
      </c>
      <c r="AA43" s="1" t="str">
        <f t="shared" si="54"/>
        <v/>
      </c>
      <c r="AB43" s="1" t="str">
        <f t="shared" si="55"/>
        <v/>
      </c>
      <c r="AC43" s="1" t="str">
        <f t="shared" si="56"/>
        <v/>
      </c>
      <c r="AD43" s="1" t="str">
        <f t="shared" si="57"/>
        <v/>
      </c>
      <c r="AE43" s="1" t="str">
        <f t="shared" si="58"/>
        <v/>
      </c>
      <c r="AF43" s="1" t="str">
        <f t="shared" si="59"/>
        <v/>
      </c>
    </row>
    <row r="44" spans="1:32" hidden="1" x14ac:dyDescent="0.25">
      <c r="G44" s="1" t="str">
        <f t="shared" si="34"/>
        <v/>
      </c>
      <c r="H44" s="1" t="str">
        <f t="shared" si="35"/>
        <v/>
      </c>
      <c r="I44" s="1" t="str">
        <f t="shared" si="36"/>
        <v/>
      </c>
      <c r="J44" s="1" t="str">
        <f t="shared" si="37"/>
        <v/>
      </c>
      <c r="K44" s="1" t="str">
        <f t="shared" si="38"/>
        <v/>
      </c>
      <c r="L44" s="1" t="str">
        <f t="shared" si="39"/>
        <v/>
      </c>
      <c r="M44" s="1" t="str">
        <f t="shared" si="40"/>
        <v/>
      </c>
      <c r="N44" s="1" t="str">
        <f t="shared" si="41"/>
        <v/>
      </c>
      <c r="O44" s="1" t="str">
        <f t="shared" si="42"/>
        <v/>
      </c>
      <c r="P44" s="1" t="str">
        <f t="shared" si="43"/>
        <v/>
      </c>
      <c r="Q44" s="1" t="str">
        <f t="shared" si="44"/>
        <v/>
      </c>
      <c r="R44" s="1" t="str">
        <f t="shared" si="45"/>
        <v/>
      </c>
      <c r="S44" s="1" t="str">
        <f t="shared" si="46"/>
        <v/>
      </c>
      <c r="T44" s="1" t="str">
        <f t="shared" si="47"/>
        <v/>
      </c>
      <c r="U44" s="1" t="str">
        <f t="shared" si="48"/>
        <v/>
      </c>
      <c r="V44" s="1" t="str">
        <f t="shared" si="49"/>
        <v/>
      </c>
      <c r="W44" s="1" t="str">
        <f t="shared" si="50"/>
        <v/>
      </c>
      <c r="X44" s="1" t="str">
        <f t="shared" si="51"/>
        <v/>
      </c>
      <c r="Y44" s="1" t="str">
        <f t="shared" si="52"/>
        <v/>
      </c>
      <c r="Z44" s="1" t="str">
        <f t="shared" si="53"/>
        <v/>
      </c>
      <c r="AA44" s="1" t="str">
        <f t="shared" si="54"/>
        <v/>
      </c>
      <c r="AB44" s="1" t="str">
        <f t="shared" si="55"/>
        <v/>
      </c>
      <c r="AC44" s="1" t="str">
        <f t="shared" si="56"/>
        <v/>
      </c>
      <c r="AD44" s="1" t="str">
        <f t="shared" si="57"/>
        <v/>
      </c>
      <c r="AE44" s="1" t="str">
        <f t="shared" si="58"/>
        <v/>
      </c>
      <c r="AF44" s="1" t="str">
        <f t="shared" si="59"/>
        <v/>
      </c>
    </row>
    <row r="45" spans="1:32" hidden="1" x14ac:dyDescent="0.25">
      <c r="G45" s="1" t="str">
        <f t="shared" si="34"/>
        <v/>
      </c>
      <c r="H45" s="1" t="str">
        <f t="shared" si="35"/>
        <v/>
      </c>
      <c r="I45" s="1" t="str">
        <f t="shared" si="36"/>
        <v/>
      </c>
      <c r="J45" s="1" t="str">
        <f t="shared" si="37"/>
        <v/>
      </c>
      <c r="K45" s="1" t="str">
        <f t="shared" si="38"/>
        <v/>
      </c>
      <c r="L45" s="1" t="str">
        <f t="shared" si="39"/>
        <v/>
      </c>
      <c r="M45" s="1" t="str">
        <f t="shared" si="40"/>
        <v/>
      </c>
      <c r="N45" s="1" t="str">
        <f t="shared" si="41"/>
        <v/>
      </c>
      <c r="O45" s="1" t="str">
        <f t="shared" si="42"/>
        <v/>
      </c>
      <c r="P45" s="1" t="str">
        <f t="shared" si="43"/>
        <v/>
      </c>
      <c r="Q45" s="1" t="str">
        <f t="shared" si="44"/>
        <v/>
      </c>
      <c r="R45" s="1" t="str">
        <f t="shared" si="45"/>
        <v/>
      </c>
      <c r="S45" s="1" t="str">
        <f t="shared" si="46"/>
        <v/>
      </c>
      <c r="T45" s="1" t="str">
        <f t="shared" si="47"/>
        <v/>
      </c>
      <c r="U45" s="1" t="str">
        <f t="shared" si="48"/>
        <v/>
      </c>
      <c r="V45" s="1" t="str">
        <f t="shared" si="49"/>
        <v/>
      </c>
      <c r="W45" s="1" t="str">
        <f t="shared" si="50"/>
        <v/>
      </c>
      <c r="X45" s="1" t="str">
        <f t="shared" si="51"/>
        <v/>
      </c>
      <c r="Y45" s="1" t="str">
        <f t="shared" si="52"/>
        <v/>
      </c>
      <c r="Z45" s="1" t="str">
        <f t="shared" si="53"/>
        <v/>
      </c>
      <c r="AA45" s="1" t="str">
        <f t="shared" si="54"/>
        <v/>
      </c>
      <c r="AB45" s="1" t="str">
        <f t="shared" si="55"/>
        <v/>
      </c>
      <c r="AC45" s="1" t="str">
        <f t="shared" si="56"/>
        <v/>
      </c>
      <c r="AD45" s="1" t="str">
        <f t="shared" si="57"/>
        <v/>
      </c>
      <c r="AE45" s="1" t="str">
        <f t="shared" si="58"/>
        <v/>
      </c>
      <c r="AF45" s="1" t="str">
        <f t="shared" si="59"/>
        <v/>
      </c>
    </row>
    <row r="46" spans="1:32" hidden="1" x14ac:dyDescent="0.25">
      <c r="G46" s="1" t="str">
        <f t="shared" si="34"/>
        <v/>
      </c>
      <c r="H46" s="1" t="str">
        <f t="shared" si="35"/>
        <v/>
      </c>
      <c r="I46" s="1" t="str">
        <f t="shared" si="36"/>
        <v/>
      </c>
      <c r="J46" s="1" t="str">
        <f t="shared" si="37"/>
        <v/>
      </c>
      <c r="K46" s="1" t="str">
        <f t="shared" si="38"/>
        <v/>
      </c>
      <c r="L46" s="1" t="str">
        <f t="shared" si="39"/>
        <v/>
      </c>
      <c r="M46" s="1" t="str">
        <f t="shared" si="40"/>
        <v/>
      </c>
      <c r="N46" s="1" t="str">
        <f t="shared" si="41"/>
        <v/>
      </c>
      <c r="O46" s="1" t="str">
        <f t="shared" si="42"/>
        <v/>
      </c>
      <c r="P46" s="1" t="str">
        <f t="shared" si="43"/>
        <v/>
      </c>
      <c r="Q46" s="1" t="str">
        <f t="shared" si="44"/>
        <v/>
      </c>
      <c r="R46" s="1" t="str">
        <f t="shared" si="45"/>
        <v/>
      </c>
      <c r="S46" s="1" t="str">
        <f t="shared" si="46"/>
        <v/>
      </c>
      <c r="T46" s="1" t="str">
        <f t="shared" si="47"/>
        <v/>
      </c>
      <c r="U46" s="1" t="str">
        <f t="shared" si="48"/>
        <v/>
      </c>
      <c r="V46" s="1" t="str">
        <f t="shared" si="49"/>
        <v/>
      </c>
      <c r="W46" s="1" t="str">
        <f t="shared" si="50"/>
        <v/>
      </c>
      <c r="X46" s="1" t="str">
        <f t="shared" si="51"/>
        <v/>
      </c>
      <c r="Y46" s="1" t="str">
        <f t="shared" si="52"/>
        <v/>
      </c>
      <c r="Z46" s="1" t="str">
        <f t="shared" si="53"/>
        <v/>
      </c>
      <c r="AA46" s="1" t="str">
        <f t="shared" si="54"/>
        <v/>
      </c>
      <c r="AB46" s="1" t="str">
        <f t="shared" si="55"/>
        <v/>
      </c>
      <c r="AC46" s="1" t="str">
        <f t="shared" si="56"/>
        <v/>
      </c>
      <c r="AD46" s="1" t="str">
        <f t="shared" si="57"/>
        <v/>
      </c>
      <c r="AE46" s="1" t="str">
        <f t="shared" si="58"/>
        <v/>
      </c>
      <c r="AF46" s="1" t="str">
        <f t="shared" si="59"/>
        <v/>
      </c>
    </row>
    <row r="47" spans="1:32" hidden="1" x14ac:dyDescent="0.25">
      <c r="G47" s="1" t="str">
        <f t="shared" si="34"/>
        <v/>
      </c>
      <c r="H47" s="1" t="str">
        <f t="shared" si="35"/>
        <v/>
      </c>
      <c r="I47" s="1" t="str">
        <f t="shared" si="36"/>
        <v/>
      </c>
      <c r="J47" s="1" t="str">
        <f t="shared" si="37"/>
        <v/>
      </c>
      <c r="K47" s="1" t="str">
        <f t="shared" si="38"/>
        <v/>
      </c>
      <c r="L47" s="1" t="str">
        <f t="shared" si="39"/>
        <v/>
      </c>
      <c r="M47" s="1" t="str">
        <f t="shared" si="40"/>
        <v/>
      </c>
      <c r="N47" s="1" t="str">
        <f t="shared" si="41"/>
        <v/>
      </c>
      <c r="O47" s="1" t="str">
        <f t="shared" si="42"/>
        <v/>
      </c>
      <c r="P47" s="1" t="str">
        <f t="shared" si="43"/>
        <v/>
      </c>
      <c r="Q47" s="1" t="str">
        <f t="shared" si="44"/>
        <v/>
      </c>
      <c r="R47" s="1" t="str">
        <f t="shared" si="45"/>
        <v/>
      </c>
      <c r="S47" s="1" t="str">
        <f t="shared" si="46"/>
        <v/>
      </c>
      <c r="T47" s="1" t="str">
        <f t="shared" si="47"/>
        <v/>
      </c>
      <c r="U47" s="1" t="str">
        <f t="shared" si="48"/>
        <v/>
      </c>
      <c r="V47" s="1" t="str">
        <f t="shared" si="49"/>
        <v/>
      </c>
      <c r="W47" s="1" t="str">
        <f t="shared" si="50"/>
        <v/>
      </c>
      <c r="X47" s="1" t="str">
        <f t="shared" si="51"/>
        <v/>
      </c>
      <c r="Y47" s="1" t="str">
        <f t="shared" si="52"/>
        <v/>
      </c>
      <c r="Z47" s="1" t="str">
        <f t="shared" si="53"/>
        <v/>
      </c>
      <c r="AA47" s="1" t="str">
        <f t="shared" si="54"/>
        <v/>
      </c>
      <c r="AB47" s="1" t="str">
        <f t="shared" si="55"/>
        <v/>
      </c>
      <c r="AC47" s="1" t="str">
        <f t="shared" si="56"/>
        <v/>
      </c>
      <c r="AD47" s="1" t="str">
        <f t="shared" si="57"/>
        <v/>
      </c>
      <c r="AE47" s="1" t="str">
        <f t="shared" si="58"/>
        <v/>
      </c>
      <c r="AF47" s="1" t="str">
        <f t="shared" si="59"/>
        <v/>
      </c>
    </row>
    <row r="48" spans="1:32" hidden="1" x14ac:dyDescent="0.25">
      <c r="G48" s="1" t="str">
        <f t="shared" si="34"/>
        <v/>
      </c>
      <c r="H48" s="1" t="str">
        <f t="shared" si="35"/>
        <v/>
      </c>
      <c r="I48" s="1" t="str">
        <f t="shared" si="36"/>
        <v/>
      </c>
      <c r="J48" s="1" t="str">
        <f t="shared" si="37"/>
        <v/>
      </c>
      <c r="K48" s="1" t="str">
        <f t="shared" si="38"/>
        <v/>
      </c>
      <c r="L48" s="1" t="str">
        <f t="shared" si="39"/>
        <v/>
      </c>
      <c r="M48" s="1" t="str">
        <f t="shared" si="40"/>
        <v/>
      </c>
      <c r="N48" s="1" t="str">
        <f t="shared" si="41"/>
        <v/>
      </c>
      <c r="O48" s="1" t="str">
        <f t="shared" si="42"/>
        <v/>
      </c>
      <c r="P48" s="1" t="str">
        <f t="shared" si="43"/>
        <v/>
      </c>
      <c r="Q48" s="1" t="str">
        <f t="shared" si="44"/>
        <v/>
      </c>
      <c r="R48" s="1" t="str">
        <f t="shared" si="45"/>
        <v/>
      </c>
      <c r="S48" s="1" t="str">
        <f t="shared" si="46"/>
        <v/>
      </c>
      <c r="T48" s="1" t="str">
        <f t="shared" si="47"/>
        <v/>
      </c>
      <c r="U48" s="1" t="str">
        <f t="shared" si="48"/>
        <v/>
      </c>
      <c r="V48" s="1" t="str">
        <f t="shared" si="49"/>
        <v/>
      </c>
      <c r="W48" s="1" t="str">
        <f t="shared" si="50"/>
        <v/>
      </c>
      <c r="X48" s="1" t="str">
        <f t="shared" si="51"/>
        <v/>
      </c>
      <c r="Y48" s="1" t="str">
        <f t="shared" si="52"/>
        <v/>
      </c>
      <c r="Z48" s="1" t="str">
        <f t="shared" si="53"/>
        <v/>
      </c>
      <c r="AA48" s="1" t="str">
        <f t="shared" si="54"/>
        <v/>
      </c>
      <c r="AB48" s="1" t="str">
        <f t="shared" si="55"/>
        <v/>
      </c>
      <c r="AC48" s="1" t="str">
        <f t="shared" si="56"/>
        <v/>
      </c>
      <c r="AD48" s="1" t="str">
        <f t="shared" si="57"/>
        <v/>
      </c>
      <c r="AE48" s="1" t="str">
        <f t="shared" si="58"/>
        <v/>
      </c>
      <c r="AF48" s="1" t="str">
        <f t="shared" si="59"/>
        <v/>
      </c>
    </row>
    <row r="49" spans="4:32" hidden="1" x14ac:dyDescent="0.25">
      <c r="G49" s="1" t="str">
        <f t="shared" si="34"/>
        <v/>
      </c>
      <c r="H49" s="1" t="str">
        <f t="shared" si="35"/>
        <v/>
      </c>
      <c r="I49" s="1" t="str">
        <f t="shared" si="36"/>
        <v/>
      </c>
      <c r="J49" s="1" t="str">
        <f t="shared" si="37"/>
        <v/>
      </c>
      <c r="K49" s="1" t="str">
        <f t="shared" si="38"/>
        <v/>
      </c>
      <c r="L49" s="1" t="str">
        <f t="shared" si="39"/>
        <v/>
      </c>
      <c r="M49" s="1" t="str">
        <f t="shared" si="40"/>
        <v/>
      </c>
      <c r="N49" s="1" t="str">
        <f t="shared" si="41"/>
        <v/>
      </c>
      <c r="O49" s="1" t="str">
        <f t="shared" si="42"/>
        <v/>
      </c>
      <c r="P49" s="1" t="str">
        <f t="shared" si="43"/>
        <v/>
      </c>
      <c r="Q49" s="1" t="str">
        <f t="shared" si="44"/>
        <v/>
      </c>
      <c r="R49" s="1" t="str">
        <f t="shared" si="45"/>
        <v/>
      </c>
      <c r="S49" s="1" t="str">
        <f t="shared" si="46"/>
        <v/>
      </c>
      <c r="T49" s="1" t="str">
        <f t="shared" si="47"/>
        <v/>
      </c>
      <c r="U49" s="1" t="str">
        <f t="shared" si="48"/>
        <v/>
      </c>
      <c r="V49" s="1" t="str">
        <f t="shared" si="49"/>
        <v/>
      </c>
      <c r="W49" s="1" t="str">
        <f t="shared" si="50"/>
        <v/>
      </c>
      <c r="X49" s="1" t="str">
        <f t="shared" si="51"/>
        <v/>
      </c>
      <c r="Y49" s="1" t="str">
        <f t="shared" si="52"/>
        <v/>
      </c>
      <c r="Z49" s="1" t="str">
        <f t="shared" si="53"/>
        <v/>
      </c>
      <c r="AA49" s="1" t="str">
        <f t="shared" si="54"/>
        <v/>
      </c>
      <c r="AB49" s="1" t="str">
        <f t="shared" si="55"/>
        <v/>
      </c>
      <c r="AC49" s="1" t="str">
        <f t="shared" si="56"/>
        <v/>
      </c>
      <c r="AD49" s="1" t="str">
        <f t="shared" si="57"/>
        <v/>
      </c>
      <c r="AE49" s="1" t="str">
        <f t="shared" si="58"/>
        <v/>
      </c>
      <c r="AF49" s="1" t="str">
        <f t="shared" si="59"/>
        <v/>
      </c>
    </row>
    <row r="50" spans="4:32" hidden="1" x14ac:dyDescent="0.25">
      <c r="G50" s="1" t="str">
        <f t="shared" si="34"/>
        <v/>
      </c>
      <c r="H50" s="1" t="str">
        <f t="shared" si="35"/>
        <v/>
      </c>
      <c r="I50" s="1" t="str">
        <f t="shared" si="36"/>
        <v/>
      </c>
      <c r="J50" s="1" t="str">
        <f t="shared" si="37"/>
        <v/>
      </c>
      <c r="K50" s="1" t="str">
        <f t="shared" si="38"/>
        <v/>
      </c>
      <c r="L50" s="1" t="str">
        <f t="shared" si="39"/>
        <v/>
      </c>
      <c r="M50" s="1" t="str">
        <f t="shared" si="40"/>
        <v/>
      </c>
      <c r="N50" s="1" t="str">
        <f t="shared" si="41"/>
        <v/>
      </c>
      <c r="O50" s="1" t="str">
        <f t="shared" si="42"/>
        <v/>
      </c>
      <c r="P50" s="1" t="str">
        <f t="shared" si="43"/>
        <v/>
      </c>
      <c r="Q50" s="1" t="str">
        <f t="shared" si="44"/>
        <v/>
      </c>
      <c r="R50" s="1" t="str">
        <f t="shared" si="45"/>
        <v/>
      </c>
      <c r="S50" s="1" t="str">
        <f t="shared" si="46"/>
        <v/>
      </c>
      <c r="T50" s="1" t="str">
        <f t="shared" si="47"/>
        <v/>
      </c>
      <c r="U50" s="1" t="str">
        <f t="shared" si="48"/>
        <v/>
      </c>
      <c r="V50" s="1" t="str">
        <f t="shared" si="49"/>
        <v/>
      </c>
      <c r="W50" s="1" t="str">
        <f t="shared" si="50"/>
        <v/>
      </c>
      <c r="X50" s="1" t="str">
        <f t="shared" si="51"/>
        <v/>
      </c>
      <c r="Y50" s="1" t="str">
        <f t="shared" si="52"/>
        <v/>
      </c>
      <c r="Z50" s="1" t="str">
        <f t="shared" si="53"/>
        <v/>
      </c>
      <c r="AA50" s="1" t="str">
        <f t="shared" si="54"/>
        <v/>
      </c>
      <c r="AB50" s="1" t="str">
        <f t="shared" si="55"/>
        <v/>
      </c>
      <c r="AC50" s="1" t="str">
        <f t="shared" si="56"/>
        <v/>
      </c>
      <c r="AD50" s="1" t="str">
        <f t="shared" si="57"/>
        <v/>
      </c>
      <c r="AE50" s="1" t="str">
        <f t="shared" si="58"/>
        <v/>
      </c>
      <c r="AF50" s="1" t="str">
        <f t="shared" si="59"/>
        <v/>
      </c>
    </row>
    <row r="51" spans="4:32" hidden="1" x14ac:dyDescent="0.25">
      <c r="G51" s="1" t="str">
        <f t="shared" si="34"/>
        <v/>
      </c>
      <c r="H51" s="1" t="str">
        <f t="shared" si="35"/>
        <v/>
      </c>
      <c r="I51" s="1" t="str">
        <f t="shared" si="36"/>
        <v/>
      </c>
      <c r="J51" s="1" t="str">
        <f t="shared" si="37"/>
        <v/>
      </c>
      <c r="K51" s="1" t="str">
        <f t="shared" si="38"/>
        <v/>
      </c>
      <c r="L51" s="1" t="str">
        <f t="shared" si="39"/>
        <v/>
      </c>
      <c r="M51" s="1" t="str">
        <f t="shared" si="40"/>
        <v/>
      </c>
      <c r="N51" s="1" t="str">
        <f t="shared" si="41"/>
        <v/>
      </c>
      <c r="O51" s="1" t="str">
        <f t="shared" si="42"/>
        <v/>
      </c>
      <c r="P51" s="1" t="str">
        <f t="shared" si="43"/>
        <v/>
      </c>
      <c r="Q51" s="1" t="str">
        <f t="shared" si="44"/>
        <v/>
      </c>
      <c r="R51" s="1" t="str">
        <f t="shared" si="45"/>
        <v/>
      </c>
      <c r="S51" s="1" t="str">
        <f t="shared" si="46"/>
        <v/>
      </c>
      <c r="T51" s="1" t="str">
        <f t="shared" si="47"/>
        <v/>
      </c>
      <c r="U51" s="1" t="str">
        <f t="shared" si="48"/>
        <v/>
      </c>
      <c r="V51" s="1" t="str">
        <f t="shared" si="49"/>
        <v/>
      </c>
      <c r="W51" s="1" t="str">
        <f t="shared" si="50"/>
        <v/>
      </c>
      <c r="X51" s="1" t="str">
        <f t="shared" si="51"/>
        <v/>
      </c>
      <c r="Y51" s="1" t="str">
        <f t="shared" si="52"/>
        <v/>
      </c>
      <c r="Z51" s="1" t="str">
        <f t="shared" si="53"/>
        <v/>
      </c>
      <c r="AA51" s="1" t="str">
        <f t="shared" si="54"/>
        <v/>
      </c>
      <c r="AB51" s="1" t="str">
        <f t="shared" si="55"/>
        <v/>
      </c>
      <c r="AC51" s="1" t="str">
        <f t="shared" si="56"/>
        <v/>
      </c>
      <c r="AD51" s="1" t="str">
        <f t="shared" si="57"/>
        <v/>
      </c>
      <c r="AE51" s="1" t="str">
        <f t="shared" si="58"/>
        <v/>
      </c>
      <c r="AF51" s="1" t="str">
        <f t="shared" si="59"/>
        <v/>
      </c>
    </row>
    <row r="52" spans="4:32" hidden="1" x14ac:dyDescent="0.25">
      <c r="G52" s="1" t="str">
        <f t="shared" si="34"/>
        <v/>
      </c>
      <c r="H52" s="1" t="str">
        <f t="shared" si="35"/>
        <v/>
      </c>
      <c r="I52" s="1" t="str">
        <f t="shared" si="36"/>
        <v/>
      </c>
      <c r="J52" s="1" t="str">
        <f t="shared" si="37"/>
        <v/>
      </c>
      <c r="K52" s="1" t="str">
        <f t="shared" si="38"/>
        <v/>
      </c>
      <c r="L52" s="1" t="str">
        <f t="shared" si="39"/>
        <v/>
      </c>
      <c r="M52" s="1" t="str">
        <f t="shared" si="40"/>
        <v/>
      </c>
      <c r="N52" s="1" t="str">
        <f t="shared" si="41"/>
        <v/>
      </c>
      <c r="O52" s="1" t="str">
        <f t="shared" si="42"/>
        <v/>
      </c>
      <c r="P52" s="1" t="str">
        <f t="shared" si="43"/>
        <v/>
      </c>
      <c r="Q52" s="1" t="str">
        <f t="shared" si="44"/>
        <v/>
      </c>
      <c r="R52" s="1" t="str">
        <f t="shared" si="45"/>
        <v/>
      </c>
      <c r="S52" s="1" t="str">
        <f t="shared" si="46"/>
        <v/>
      </c>
      <c r="T52" s="1" t="str">
        <f t="shared" si="47"/>
        <v/>
      </c>
      <c r="U52" s="1" t="str">
        <f t="shared" si="48"/>
        <v/>
      </c>
      <c r="V52" s="1" t="str">
        <f t="shared" si="49"/>
        <v/>
      </c>
      <c r="W52" s="1" t="str">
        <f t="shared" si="50"/>
        <v/>
      </c>
      <c r="X52" s="1" t="str">
        <f t="shared" si="51"/>
        <v/>
      </c>
      <c r="Y52" s="1" t="str">
        <f t="shared" si="52"/>
        <v/>
      </c>
      <c r="Z52" s="1" t="str">
        <f t="shared" si="53"/>
        <v/>
      </c>
      <c r="AA52" s="1" t="str">
        <f t="shared" si="54"/>
        <v/>
      </c>
      <c r="AB52" s="1" t="str">
        <f t="shared" si="55"/>
        <v/>
      </c>
      <c r="AC52" s="1" t="str">
        <f t="shared" si="56"/>
        <v/>
      </c>
      <c r="AD52" s="1" t="str">
        <f t="shared" si="57"/>
        <v/>
      </c>
      <c r="AE52" s="1" t="str">
        <f t="shared" si="58"/>
        <v/>
      </c>
      <c r="AF52" s="1" t="str">
        <f t="shared" si="59"/>
        <v/>
      </c>
    </row>
    <row r="53" spans="4:32" ht="15" hidden="1" customHeight="1" x14ac:dyDescent="0.25">
      <c r="G53" s="1" t="str">
        <f t="shared" si="34"/>
        <v/>
      </c>
      <c r="H53" s="1" t="str">
        <f t="shared" si="35"/>
        <v/>
      </c>
      <c r="I53" s="1" t="str">
        <f t="shared" si="36"/>
        <v/>
      </c>
      <c r="J53" s="1" t="str">
        <f t="shared" si="37"/>
        <v/>
      </c>
      <c r="K53" s="1" t="str">
        <f t="shared" si="38"/>
        <v/>
      </c>
      <c r="L53" s="1" t="str">
        <f t="shared" si="39"/>
        <v/>
      </c>
      <c r="M53" s="1" t="str">
        <f t="shared" si="40"/>
        <v/>
      </c>
      <c r="N53" s="1" t="str">
        <f t="shared" si="41"/>
        <v/>
      </c>
      <c r="O53" s="1" t="str">
        <f t="shared" si="42"/>
        <v/>
      </c>
      <c r="P53" s="1" t="str">
        <f t="shared" si="43"/>
        <v/>
      </c>
      <c r="Q53" s="1" t="str">
        <f t="shared" si="44"/>
        <v/>
      </c>
      <c r="R53" s="1" t="str">
        <f t="shared" si="45"/>
        <v/>
      </c>
      <c r="S53" s="1" t="str">
        <f t="shared" si="46"/>
        <v/>
      </c>
      <c r="T53" s="1" t="str">
        <f t="shared" si="47"/>
        <v/>
      </c>
      <c r="U53" s="1" t="str">
        <f t="shared" si="48"/>
        <v/>
      </c>
      <c r="V53" s="1" t="str">
        <f t="shared" si="49"/>
        <v/>
      </c>
      <c r="W53" s="1" t="str">
        <f t="shared" si="50"/>
        <v/>
      </c>
      <c r="X53" s="1" t="str">
        <f t="shared" si="51"/>
        <v/>
      </c>
      <c r="Y53" s="1" t="str">
        <f t="shared" si="52"/>
        <v/>
      </c>
      <c r="Z53" s="1" t="str">
        <f t="shared" si="53"/>
        <v/>
      </c>
      <c r="AA53" s="1" t="str">
        <f t="shared" si="54"/>
        <v/>
      </c>
      <c r="AB53" s="1" t="str">
        <f t="shared" si="55"/>
        <v/>
      </c>
      <c r="AC53" s="1" t="str">
        <f t="shared" si="56"/>
        <v/>
      </c>
      <c r="AD53" s="1" t="str">
        <f t="shared" si="57"/>
        <v/>
      </c>
      <c r="AE53" s="1" t="str">
        <f t="shared" si="58"/>
        <v/>
      </c>
      <c r="AF53" s="1" t="str">
        <f t="shared" si="59"/>
        <v/>
      </c>
    </row>
    <row r="54" spans="4:32" ht="15" hidden="1" customHeight="1" x14ac:dyDescent="0.25">
      <c r="G54" s="1" t="str">
        <f t="shared" si="34"/>
        <v/>
      </c>
      <c r="H54" s="1" t="str">
        <f t="shared" si="35"/>
        <v/>
      </c>
      <c r="I54" s="1" t="str">
        <f t="shared" si="36"/>
        <v/>
      </c>
      <c r="J54" s="1" t="str">
        <f t="shared" si="37"/>
        <v/>
      </c>
      <c r="K54" s="1" t="str">
        <f t="shared" si="38"/>
        <v/>
      </c>
      <c r="L54" s="1" t="str">
        <f t="shared" si="39"/>
        <v/>
      </c>
      <c r="M54" s="1" t="str">
        <f t="shared" si="40"/>
        <v/>
      </c>
      <c r="N54" s="1" t="str">
        <f t="shared" si="41"/>
        <v/>
      </c>
      <c r="O54" s="1" t="str">
        <f t="shared" si="42"/>
        <v/>
      </c>
      <c r="P54" s="1" t="str">
        <f t="shared" si="43"/>
        <v/>
      </c>
      <c r="Q54" s="1" t="str">
        <f t="shared" si="44"/>
        <v/>
      </c>
      <c r="R54" s="1" t="str">
        <f t="shared" si="45"/>
        <v/>
      </c>
      <c r="S54" s="1" t="str">
        <f t="shared" si="46"/>
        <v/>
      </c>
      <c r="T54" s="1" t="str">
        <f t="shared" si="47"/>
        <v/>
      </c>
      <c r="U54" s="1" t="str">
        <f t="shared" si="48"/>
        <v/>
      </c>
      <c r="V54" s="1" t="str">
        <f t="shared" si="49"/>
        <v/>
      </c>
      <c r="W54" s="1" t="str">
        <f t="shared" si="50"/>
        <v/>
      </c>
      <c r="X54" s="1" t="str">
        <f t="shared" si="51"/>
        <v/>
      </c>
      <c r="Y54" s="1" t="str">
        <f t="shared" si="52"/>
        <v/>
      </c>
      <c r="Z54" s="1" t="str">
        <f t="shared" si="53"/>
        <v/>
      </c>
      <c r="AA54" s="1" t="str">
        <f t="shared" si="54"/>
        <v/>
      </c>
      <c r="AB54" s="1" t="str">
        <f t="shared" si="55"/>
        <v/>
      </c>
      <c r="AC54" s="1" t="str">
        <f t="shared" si="56"/>
        <v/>
      </c>
      <c r="AD54" s="1" t="str">
        <f t="shared" si="57"/>
        <v/>
      </c>
      <c r="AE54" s="1" t="str">
        <f t="shared" si="58"/>
        <v/>
      </c>
      <c r="AF54" s="1" t="str">
        <f t="shared" si="59"/>
        <v/>
      </c>
    </row>
    <row r="55" spans="4:32" ht="15" hidden="1" customHeight="1" x14ac:dyDescent="0.25">
      <c r="G55" s="1" t="str">
        <f t="shared" si="34"/>
        <v/>
      </c>
      <c r="H55" s="1" t="str">
        <f t="shared" si="35"/>
        <v/>
      </c>
      <c r="I55" s="1" t="str">
        <f t="shared" si="36"/>
        <v/>
      </c>
      <c r="J55" s="1" t="str">
        <f t="shared" si="37"/>
        <v/>
      </c>
      <c r="K55" s="1" t="str">
        <f t="shared" si="38"/>
        <v/>
      </c>
      <c r="L55" s="1" t="str">
        <f t="shared" si="39"/>
        <v/>
      </c>
      <c r="M55" s="1" t="str">
        <f t="shared" si="40"/>
        <v/>
      </c>
      <c r="N55" s="1" t="str">
        <f t="shared" si="41"/>
        <v/>
      </c>
      <c r="O55" s="1" t="str">
        <f t="shared" si="42"/>
        <v/>
      </c>
      <c r="P55" s="1" t="str">
        <f t="shared" si="43"/>
        <v/>
      </c>
      <c r="Q55" s="1" t="str">
        <f t="shared" si="44"/>
        <v/>
      </c>
      <c r="R55" s="1" t="str">
        <f t="shared" si="45"/>
        <v/>
      </c>
      <c r="S55" s="1" t="str">
        <f t="shared" si="46"/>
        <v/>
      </c>
      <c r="T55" s="1" t="str">
        <f t="shared" si="47"/>
        <v/>
      </c>
      <c r="U55" s="1" t="str">
        <f t="shared" si="48"/>
        <v/>
      </c>
      <c r="V55" s="1" t="str">
        <f t="shared" si="49"/>
        <v/>
      </c>
      <c r="W55" s="1" t="str">
        <f t="shared" si="50"/>
        <v/>
      </c>
      <c r="X55" s="1" t="str">
        <f t="shared" si="51"/>
        <v/>
      </c>
      <c r="Y55" s="1" t="str">
        <f t="shared" si="52"/>
        <v/>
      </c>
      <c r="Z55" s="1" t="str">
        <f t="shared" si="53"/>
        <v/>
      </c>
      <c r="AA55" s="1" t="str">
        <f t="shared" si="54"/>
        <v/>
      </c>
      <c r="AB55" s="1" t="str">
        <f t="shared" si="55"/>
        <v/>
      </c>
      <c r="AC55" s="1" t="str">
        <f t="shared" si="56"/>
        <v/>
      </c>
      <c r="AD55" s="1" t="str">
        <f t="shared" si="57"/>
        <v/>
      </c>
      <c r="AE55" s="1" t="str">
        <f t="shared" si="58"/>
        <v/>
      </c>
      <c r="AF55" s="1" t="str">
        <f t="shared" si="59"/>
        <v/>
      </c>
    </row>
    <row r="58" spans="4:32" ht="15" hidden="1" customHeight="1" x14ac:dyDescent="0.25">
      <c r="D58" t="s">
        <v>181</v>
      </c>
      <c r="G58" t="e" cm="1">
        <f t="array" aca="1" ref="G58" ca="1">LINEST(OFFSET(B4,0,0,COUNT(K4:K23),1),OFFSET(A4,0,0,COUNT(K4:K23),1),1,1)</f>
        <v>#REF!</v>
      </c>
    </row>
  </sheetData>
  <mergeCells count="1">
    <mergeCell ref="A28:O33"/>
  </mergeCells>
  <conditionalFormatting sqref="J4:AH4">
    <cfRule type="expression" dxfId="7" priority="1">
      <formula>J$3&lt;&gt;""</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8ACA2-E9FC-46D3-968E-7071605C94CC}">
  <sheetPr codeName="Hoja4">
    <tabColor rgb="FF92D050"/>
  </sheetPr>
  <dimension ref="A1:AA28"/>
  <sheetViews>
    <sheetView zoomScaleNormal="100" workbookViewId="0">
      <selection activeCell="AA1" sqref="AA1:AA16"/>
    </sheetView>
  </sheetViews>
  <sheetFormatPr baseColWidth="10" defaultColWidth="0" defaultRowHeight="15" zeroHeight="1" x14ac:dyDescent="0.25"/>
  <cols>
    <col min="1" max="1" width="2.28515625" customWidth="1"/>
    <col min="2" max="2" width="5.42578125" customWidth="1"/>
    <col min="3" max="26" width="5.28515625" customWidth="1"/>
    <col min="27" max="27" width="41.140625" customWidth="1"/>
    <col min="28" max="16384" width="11.42578125" hidden="1"/>
  </cols>
  <sheetData>
    <row r="1" spans="1:27" x14ac:dyDescent="0.25">
      <c r="C1" t="s">
        <v>29</v>
      </c>
      <c r="F1" s="25">
        <f ca="1">MAX(0,MDETERM(OFFSET(C5,0,0,COUNT(C5:Z5),COUNT(C5:Z5))))</f>
        <v>0.88148148148148142</v>
      </c>
      <c r="G1" s="25"/>
      <c r="K1" t="s">
        <v>30</v>
      </c>
      <c r="O1" s="25">
        <f ca="1">1-F1</f>
        <v>0.11851851851851858</v>
      </c>
      <c r="P1" s="25"/>
      <c r="AA1" s="20" t="s">
        <v>128</v>
      </c>
    </row>
    <row r="2" spans="1:27" x14ac:dyDescent="0.25">
      <c r="C2" t="s">
        <v>120</v>
      </c>
      <c r="AA2" s="21"/>
    </row>
    <row r="3" spans="1:27" x14ac:dyDescent="0.25">
      <c r="C3" s="3" t="str">
        <f>IF(C4="","",ADDRESS(2,COLUMN(),,,"EXP_MATRIX")&amp;":"&amp;ADDRESS(71,COLUMN()))</f>
        <v>EXP_MATRIX!$C$2:$C$71</v>
      </c>
      <c r="D3" s="3" t="str">
        <f t="shared" ref="D3:Z3" si="0">IF(D4="","",ADDRESS(2,COLUMN(),,,"EXP_MATRIX")&amp;":"&amp;ADDRESS(71,COLUMN()))</f>
        <v>EXP_MATRIX!$D$2:$D$71</v>
      </c>
      <c r="E3" s="3" t="str">
        <f t="shared" si="0"/>
        <v>EXP_MATRIX!$E$2:$E$71</v>
      </c>
      <c r="F3" s="3" t="str">
        <f t="shared" si="0"/>
        <v>EXP_MATRIX!$F$2:$F$71</v>
      </c>
      <c r="G3" s="3" t="str">
        <f t="shared" si="0"/>
        <v>EXP_MATRIX!$G$2:$G$71</v>
      </c>
      <c r="H3" s="3" t="str">
        <f t="shared" si="0"/>
        <v>EXP_MATRIX!$H$2:$H$71</v>
      </c>
      <c r="I3" s="3" t="str">
        <f t="shared" si="0"/>
        <v>EXP_MATRIX!$I$2:$I$71</v>
      </c>
      <c r="J3" s="3" t="str">
        <f t="shared" si="0"/>
        <v>EXP_MATRIX!$J$2:$J$71</v>
      </c>
      <c r="K3" s="3" t="str">
        <f t="shared" si="0"/>
        <v>EXP_MATRIX!$K$2:$K$71</v>
      </c>
      <c r="L3" s="3" t="str">
        <f t="shared" si="0"/>
        <v/>
      </c>
      <c r="M3" s="3" t="str">
        <f t="shared" si="0"/>
        <v/>
      </c>
      <c r="N3" s="3" t="str">
        <f t="shared" si="0"/>
        <v/>
      </c>
      <c r="O3" s="3" t="str">
        <f t="shared" si="0"/>
        <v/>
      </c>
      <c r="P3" s="3" t="str">
        <f t="shared" si="0"/>
        <v/>
      </c>
      <c r="Q3" s="3" t="str">
        <f t="shared" si="0"/>
        <v/>
      </c>
      <c r="R3" s="3" t="str">
        <f t="shared" si="0"/>
        <v/>
      </c>
      <c r="S3" s="3" t="str">
        <f t="shared" si="0"/>
        <v/>
      </c>
      <c r="T3" s="3" t="str">
        <f t="shared" si="0"/>
        <v/>
      </c>
      <c r="U3" s="3" t="str">
        <f t="shared" si="0"/>
        <v/>
      </c>
      <c r="V3" s="3" t="str">
        <f t="shared" si="0"/>
        <v/>
      </c>
      <c r="W3" s="3" t="str">
        <f t="shared" si="0"/>
        <v/>
      </c>
      <c r="X3" s="3" t="str">
        <f t="shared" si="0"/>
        <v/>
      </c>
      <c r="Y3" s="3" t="str">
        <f t="shared" si="0"/>
        <v/>
      </c>
      <c r="Z3" s="3" t="str">
        <f t="shared" si="0"/>
        <v/>
      </c>
      <c r="AA3" s="21"/>
    </row>
    <row r="4" spans="1:27" x14ac:dyDescent="0.25">
      <c r="C4" t="str">
        <f>DESIGN_FEATURES!A19</f>
        <v>A</v>
      </c>
      <c r="D4" t="str">
        <f>DESIGN_FEATURES!B19</f>
        <v>B</v>
      </c>
      <c r="E4" t="str">
        <f>DESIGN_FEATURES!C19</f>
        <v>C</v>
      </c>
      <c r="F4" t="str">
        <f>DESIGN_FEATURES!D19</f>
        <v>D</v>
      </c>
      <c r="G4" t="str">
        <f>DESIGN_FEATURES!E19</f>
        <v>E</v>
      </c>
      <c r="H4" t="str">
        <f>DESIGN_FEATURES!F19</f>
        <v>F</v>
      </c>
      <c r="I4" t="str">
        <f>DESIGN_FEATURES!G19</f>
        <v>G</v>
      </c>
      <c r="J4" t="str">
        <f>DESIGN_FEATURES!H19</f>
        <v>H</v>
      </c>
      <c r="K4" t="str">
        <f>DESIGN_FEATURES!I19</f>
        <v>J</v>
      </c>
      <c r="L4" t="str">
        <f>DESIGN_FEATURES!J19</f>
        <v/>
      </c>
      <c r="M4" t="str">
        <f>DESIGN_FEATURES!K19</f>
        <v/>
      </c>
      <c r="N4" t="str">
        <f>DESIGN_FEATURES!L19</f>
        <v/>
      </c>
      <c r="O4" t="str">
        <f>DESIGN_FEATURES!M19</f>
        <v/>
      </c>
      <c r="P4" t="str">
        <f>DESIGN_FEATURES!N19</f>
        <v/>
      </c>
      <c r="Q4" t="str">
        <f>DESIGN_FEATURES!O19</f>
        <v/>
      </c>
      <c r="R4" t="str">
        <f>DESIGN_FEATURES!P19</f>
        <v/>
      </c>
      <c r="S4" t="str">
        <f>DESIGN_FEATURES!Q19</f>
        <v/>
      </c>
      <c r="T4" t="str">
        <f>DESIGN_FEATURES!R19</f>
        <v/>
      </c>
      <c r="U4" t="str">
        <f>DESIGN_FEATURES!S19</f>
        <v/>
      </c>
      <c r="V4" t="str">
        <f>DESIGN_FEATURES!T19</f>
        <v/>
      </c>
      <c r="W4" t="str">
        <f>DESIGN_FEATURES!U19</f>
        <v/>
      </c>
      <c r="X4" t="str">
        <f>DESIGN_FEATURES!V19</f>
        <v/>
      </c>
      <c r="Y4" t="str">
        <f>DESIGN_FEATURES!W19</f>
        <v/>
      </c>
      <c r="Z4" t="str">
        <f>DESIGN_FEATURES!X19</f>
        <v/>
      </c>
      <c r="AA4" s="21"/>
    </row>
    <row r="5" spans="1:27" x14ac:dyDescent="0.25">
      <c r="A5" s="3" t="str">
        <f>IF(B5="","",ADDRESS(2,ROW()-2,,,"EXP_MATRIX")&amp;":"&amp;ADDRESS(71,ROW()-2))</f>
        <v>EXP_MATRIX!$C$2:$C$71</v>
      </c>
      <c r="B5" t="str" cm="1">
        <f t="array" ref="B5:B28">TRANSPOSE(C4:Z4)</f>
        <v>A</v>
      </c>
      <c r="C5" s="1">
        <f t="shared" ref="C5:Z15" ca="1" si="1">IFERROR(CORREL(INDIRECT($A5),INDIRECT(C$3)),IF(AND(C$4&lt;&gt;"",$B5&lt;&gt;""),99,""))</f>
        <v>1</v>
      </c>
      <c r="D5" s="1">
        <f t="shared" ca="1" si="1"/>
        <v>0</v>
      </c>
      <c r="E5" s="1">
        <f t="shared" ca="1" si="1"/>
        <v>0</v>
      </c>
      <c r="F5" s="1">
        <f t="shared" ca="1" si="1"/>
        <v>0</v>
      </c>
      <c r="G5" s="1">
        <f t="shared" ca="1" si="1"/>
        <v>0</v>
      </c>
      <c r="H5" s="1">
        <f t="shared" ca="1" si="1"/>
        <v>0</v>
      </c>
      <c r="I5" s="1">
        <f t="shared" ca="1" si="1"/>
        <v>0</v>
      </c>
      <c r="J5" s="1">
        <f t="shared" ca="1" si="1"/>
        <v>0</v>
      </c>
      <c r="K5" s="1">
        <f t="shared" ca="1" si="1"/>
        <v>-8.6066296582387042E-2</v>
      </c>
      <c r="L5" s="1" t="str">
        <f t="shared" ca="1" si="1"/>
        <v/>
      </c>
      <c r="M5" s="1" t="str">
        <f t="shared" ca="1" si="1"/>
        <v/>
      </c>
      <c r="N5" s="1" t="str">
        <f t="shared" ca="1" si="1"/>
        <v/>
      </c>
      <c r="O5" s="1" t="str">
        <f t="shared" ca="1" si="1"/>
        <v/>
      </c>
      <c r="P5" s="1" t="str">
        <f t="shared" ca="1" si="1"/>
        <v/>
      </c>
      <c r="Q5" s="1" t="str">
        <f t="shared" ca="1" si="1"/>
        <v/>
      </c>
      <c r="R5" s="1" t="str">
        <f t="shared" ca="1" si="1"/>
        <v/>
      </c>
      <c r="S5" s="1" t="str">
        <f t="shared" ca="1" si="1"/>
        <v/>
      </c>
      <c r="T5" s="1" t="str">
        <f t="shared" ca="1" si="1"/>
        <v/>
      </c>
      <c r="U5" s="1" t="str">
        <f t="shared" ca="1" si="1"/>
        <v/>
      </c>
      <c r="V5" s="1" t="str">
        <f t="shared" ca="1" si="1"/>
        <v/>
      </c>
      <c r="W5" s="1" t="str">
        <f t="shared" ca="1" si="1"/>
        <v/>
      </c>
      <c r="X5" s="1" t="str">
        <f t="shared" ca="1" si="1"/>
        <v/>
      </c>
      <c r="Y5" s="1" t="str">
        <f t="shared" ca="1" si="1"/>
        <v/>
      </c>
      <c r="Z5" s="1" t="str">
        <f t="shared" ca="1" si="1"/>
        <v/>
      </c>
      <c r="AA5" s="21"/>
    </row>
    <row r="6" spans="1:27" x14ac:dyDescent="0.25">
      <c r="A6" s="3" t="str">
        <f t="shared" ref="A6:A28" si="2">IF(B6="","",ADDRESS(2,ROW()-2,,,"EXP_MATRIX")&amp;":"&amp;ADDRESS(71,ROW()-2))</f>
        <v>EXP_MATRIX!$D$2:$D$71</v>
      </c>
      <c r="B6" t="str">
        <v>B</v>
      </c>
      <c r="C6" s="1">
        <f t="shared" ca="1" si="1"/>
        <v>0</v>
      </c>
      <c r="D6" s="1">
        <f t="shared" ca="1" si="1"/>
        <v>1</v>
      </c>
      <c r="E6" s="1">
        <f t="shared" ca="1" si="1"/>
        <v>0</v>
      </c>
      <c r="F6" s="1">
        <f t="shared" ca="1" si="1"/>
        <v>0</v>
      </c>
      <c r="G6" s="1">
        <f t="shared" ca="1" si="1"/>
        <v>0</v>
      </c>
      <c r="H6" s="1">
        <f t="shared" ca="1" si="1"/>
        <v>0</v>
      </c>
      <c r="I6" s="1">
        <f t="shared" ca="1" si="1"/>
        <v>0</v>
      </c>
      <c r="J6" s="1">
        <f t="shared" ca="1" si="1"/>
        <v>0</v>
      </c>
      <c r="K6" s="1">
        <f t="shared" ca="1" si="1"/>
        <v>8.6066296582387042E-2</v>
      </c>
      <c r="L6" s="1" t="str">
        <f t="shared" ca="1" si="1"/>
        <v/>
      </c>
      <c r="M6" s="1" t="str">
        <f t="shared" ca="1" si="1"/>
        <v/>
      </c>
      <c r="N6" s="1" t="str">
        <f t="shared" ca="1" si="1"/>
        <v/>
      </c>
      <c r="O6" s="1" t="str">
        <f t="shared" ca="1" si="1"/>
        <v/>
      </c>
      <c r="P6" s="1" t="str">
        <f t="shared" ca="1" si="1"/>
        <v/>
      </c>
      <c r="Q6" s="1" t="str">
        <f t="shared" ca="1" si="1"/>
        <v/>
      </c>
      <c r="R6" s="1" t="str">
        <f t="shared" ca="1" si="1"/>
        <v/>
      </c>
      <c r="S6" s="1" t="str">
        <f t="shared" ca="1" si="1"/>
        <v/>
      </c>
      <c r="T6" s="1" t="str">
        <f t="shared" ca="1" si="1"/>
        <v/>
      </c>
      <c r="U6" s="1" t="str">
        <f t="shared" ca="1" si="1"/>
        <v/>
      </c>
      <c r="V6" s="1" t="str">
        <f t="shared" ca="1" si="1"/>
        <v/>
      </c>
      <c r="W6" s="1" t="str">
        <f t="shared" ca="1" si="1"/>
        <v/>
      </c>
      <c r="X6" s="1" t="str">
        <f t="shared" ca="1" si="1"/>
        <v/>
      </c>
      <c r="Y6" s="1" t="str">
        <f t="shared" ca="1" si="1"/>
        <v/>
      </c>
      <c r="Z6" s="1" t="str">
        <f t="shared" ca="1" si="1"/>
        <v/>
      </c>
      <c r="AA6" s="21"/>
    </row>
    <row r="7" spans="1:27" x14ac:dyDescent="0.25">
      <c r="A7" s="3" t="str">
        <f t="shared" si="2"/>
        <v>EXP_MATRIX!$E$2:$E$71</v>
      </c>
      <c r="B7" t="str">
        <v>C</v>
      </c>
      <c r="C7" s="1">
        <f t="shared" ca="1" si="1"/>
        <v>0</v>
      </c>
      <c r="D7" s="1">
        <f t="shared" ca="1" si="1"/>
        <v>0</v>
      </c>
      <c r="E7" s="1">
        <f t="shared" ca="1" si="1"/>
        <v>1</v>
      </c>
      <c r="F7" s="1">
        <f t="shared" ca="1" si="1"/>
        <v>0</v>
      </c>
      <c r="G7" s="1">
        <f t="shared" ca="1" si="1"/>
        <v>0</v>
      </c>
      <c r="H7" s="1">
        <f t="shared" ca="1" si="1"/>
        <v>0</v>
      </c>
      <c r="I7" s="1">
        <f t="shared" ca="1" si="1"/>
        <v>0</v>
      </c>
      <c r="J7" s="1">
        <f t="shared" ca="1" si="1"/>
        <v>0</v>
      </c>
      <c r="K7" s="1">
        <f t="shared" ca="1" si="1"/>
        <v>-8.6066296582387042E-2</v>
      </c>
      <c r="L7" s="1" t="str">
        <f t="shared" ca="1" si="1"/>
        <v/>
      </c>
      <c r="M7" s="1" t="str">
        <f t="shared" ca="1" si="1"/>
        <v/>
      </c>
      <c r="N7" s="1" t="str">
        <f t="shared" ca="1" si="1"/>
        <v/>
      </c>
      <c r="O7" s="1" t="str">
        <f t="shared" ca="1" si="1"/>
        <v/>
      </c>
      <c r="P7" s="1" t="str">
        <f t="shared" ca="1" si="1"/>
        <v/>
      </c>
      <c r="Q7" s="1" t="str">
        <f t="shared" ca="1" si="1"/>
        <v/>
      </c>
      <c r="R7" s="1" t="str">
        <f t="shared" ca="1" si="1"/>
        <v/>
      </c>
      <c r="S7" s="1" t="str">
        <f t="shared" ca="1" si="1"/>
        <v/>
      </c>
      <c r="T7" s="1" t="str">
        <f t="shared" ca="1" si="1"/>
        <v/>
      </c>
      <c r="U7" s="1" t="str">
        <f t="shared" ca="1" si="1"/>
        <v/>
      </c>
      <c r="V7" s="1" t="str">
        <f t="shared" ca="1" si="1"/>
        <v/>
      </c>
      <c r="W7" s="1" t="str">
        <f t="shared" ca="1" si="1"/>
        <v/>
      </c>
      <c r="X7" s="1" t="str">
        <f t="shared" ca="1" si="1"/>
        <v/>
      </c>
      <c r="Y7" s="1" t="str">
        <f t="shared" ca="1" si="1"/>
        <v/>
      </c>
      <c r="Z7" s="1" t="str">
        <f t="shared" ca="1" si="1"/>
        <v/>
      </c>
      <c r="AA7" s="21"/>
    </row>
    <row r="8" spans="1:27" x14ac:dyDescent="0.25">
      <c r="A8" s="3" t="str">
        <f t="shared" si="2"/>
        <v>EXP_MATRIX!$F$2:$F$71</v>
      </c>
      <c r="B8" t="str">
        <v>D</v>
      </c>
      <c r="C8" s="1">
        <f t="shared" ca="1" si="1"/>
        <v>0</v>
      </c>
      <c r="D8" s="1">
        <f t="shared" ca="1" si="1"/>
        <v>0</v>
      </c>
      <c r="E8" s="1">
        <f t="shared" ca="1" si="1"/>
        <v>0</v>
      </c>
      <c r="F8" s="1">
        <f t="shared" ca="1" si="1"/>
        <v>1</v>
      </c>
      <c r="G8" s="1">
        <f t="shared" ca="1" si="1"/>
        <v>0</v>
      </c>
      <c r="H8" s="1">
        <f t="shared" ca="1" si="1"/>
        <v>0</v>
      </c>
      <c r="I8" s="1">
        <f t="shared" ca="1" si="1"/>
        <v>0</v>
      </c>
      <c r="J8" s="1">
        <f t="shared" ca="1" si="1"/>
        <v>0</v>
      </c>
      <c r="K8" s="1">
        <f t="shared" ca="1" si="1"/>
        <v>0.25819888974716115</v>
      </c>
      <c r="L8" s="1" t="str">
        <f t="shared" ca="1" si="1"/>
        <v/>
      </c>
      <c r="M8" s="1" t="str">
        <f t="shared" ca="1" si="1"/>
        <v/>
      </c>
      <c r="N8" s="1" t="str">
        <f t="shared" ca="1" si="1"/>
        <v/>
      </c>
      <c r="O8" s="1" t="str">
        <f t="shared" ca="1" si="1"/>
        <v/>
      </c>
      <c r="P8" s="1" t="str">
        <f t="shared" ca="1" si="1"/>
        <v/>
      </c>
      <c r="Q8" s="1" t="str">
        <f t="shared" ca="1" si="1"/>
        <v/>
      </c>
      <c r="R8" s="1" t="str">
        <f t="shared" ca="1" si="1"/>
        <v/>
      </c>
      <c r="S8" s="1" t="str">
        <f t="shared" ca="1" si="1"/>
        <v/>
      </c>
      <c r="T8" s="1" t="str">
        <f t="shared" ca="1" si="1"/>
        <v/>
      </c>
      <c r="U8" s="1" t="str">
        <f t="shared" ca="1" si="1"/>
        <v/>
      </c>
      <c r="V8" s="1" t="str">
        <f t="shared" ca="1" si="1"/>
        <v/>
      </c>
      <c r="W8" s="1" t="str">
        <f t="shared" ca="1" si="1"/>
        <v/>
      </c>
      <c r="X8" s="1" t="str">
        <f t="shared" ca="1" si="1"/>
        <v/>
      </c>
      <c r="Y8" s="1" t="str">
        <f t="shared" ca="1" si="1"/>
        <v/>
      </c>
      <c r="Z8" s="1" t="str">
        <f t="shared" ca="1" si="1"/>
        <v/>
      </c>
      <c r="AA8" s="21"/>
    </row>
    <row r="9" spans="1:27" x14ac:dyDescent="0.25">
      <c r="A9" s="3" t="str">
        <f t="shared" si="2"/>
        <v>EXP_MATRIX!$G$2:$G$71</v>
      </c>
      <c r="B9" t="str">
        <v>E</v>
      </c>
      <c r="C9" s="1">
        <f t="shared" ca="1" si="1"/>
        <v>0</v>
      </c>
      <c r="D9" s="1">
        <f t="shared" ca="1" si="1"/>
        <v>0</v>
      </c>
      <c r="E9" s="1">
        <f t="shared" ca="1" si="1"/>
        <v>0</v>
      </c>
      <c r="F9" s="1">
        <f t="shared" ca="1" si="1"/>
        <v>0</v>
      </c>
      <c r="G9" s="1">
        <f t="shared" ca="1" si="1"/>
        <v>1</v>
      </c>
      <c r="H9" s="1">
        <f t="shared" ca="1" si="1"/>
        <v>0</v>
      </c>
      <c r="I9" s="1">
        <f t="shared" ca="1" si="1"/>
        <v>0</v>
      </c>
      <c r="J9" s="1">
        <f t="shared" ca="1" si="1"/>
        <v>0</v>
      </c>
      <c r="K9" s="1">
        <f t="shared" ca="1" si="1"/>
        <v>-8.6066296582387042E-2</v>
      </c>
      <c r="L9" s="1" t="str">
        <f t="shared" ca="1" si="1"/>
        <v/>
      </c>
      <c r="M9" s="1" t="str">
        <f t="shared" ca="1" si="1"/>
        <v/>
      </c>
      <c r="N9" s="1" t="str">
        <f t="shared" ca="1" si="1"/>
        <v/>
      </c>
      <c r="O9" s="1" t="str">
        <f t="shared" ca="1" si="1"/>
        <v/>
      </c>
      <c r="P9" s="1" t="str">
        <f t="shared" ca="1" si="1"/>
        <v/>
      </c>
      <c r="Q9" s="1" t="str">
        <f t="shared" ca="1" si="1"/>
        <v/>
      </c>
      <c r="R9" s="1" t="str">
        <f t="shared" ca="1" si="1"/>
        <v/>
      </c>
      <c r="S9" s="1" t="str">
        <f t="shared" ca="1" si="1"/>
        <v/>
      </c>
      <c r="T9" s="1" t="str">
        <f t="shared" ca="1" si="1"/>
        <v/>
      </c>
      <c r="U9" s="1" t="str">
        <f t="shared" ca="1" si="1"/>
        <v/>
      </c>
      <c r="V9" s="1" t="str">
        <f t="shared" ca="1" si="1"/>
        <v/>
      </c>
      <c r="W9" s="1" t="str">
        <f t="shared" ca="1" si="1"/>
        <v/>
      </c>
      <c r="X9" s="1" t="str">
        <f t="shared" ca="1" si="1"/>
        <v/>
      </c>
      <c r="Y9" s="1" t="str">
        <f t="shared" ca="1" si="1"/>
        <v/>
      </c>
      <c r="Z9" s="1" t="str">
        <f t="shared" ca="1" si="1"/>
        <v/>
      </c>
      <c r="AA9" s="21"/>
    </row>
    <row r="10" spans="1:27" x14ac:dyDescent="0.25">
      <c r="A10" s="3" t="str">
        <f t="shared" si="2"/>
        <v>EXP_MATRIX!$H$2:$H$71</v>
      </c>
      <c r="B10" t="str">
        <v>F</v>
      </c>
      <c r="C10" s="1">
        <f t="shared" ca="1" si="1"/>
        <v>0</v>
      </c>
      <c r="D10" s="1">
        <f t="shared" ca="1" si="1"/>
        <v>0</v>
      </c>
      <c r="E10" s="1">
        <f t="shared" ca="1" si="1"/>
        <v>0</v>
      </c>
      <c r="F10" s="1">
        <f t="shared" ca="1" si="1"/>
        <v>0</v>
      </c>
      <c r="G10" s="1">
        <f t="shared" ca="1" si="1"/>
        <v>0</v>
      </c>
      <c r="H10" s="1">
        <f t="shared" ca="1" si="1"/>
        <v>1</v>
      </c>
      <c r="I10" s="1">
        <f t="shared" ca="1" si="1"/>
        <v>0</v>
      </c>
      <c r="J10" s="1">
        <f t="shared" ca="1" si="1"/>
        <v>0</v>
      </c>
      <c r="K10" s="1">
        <f t="shared" ca="1" si="1"/>
        <v>8.6066296582387042E-2</v>
      </c>
      <c r="L10" s="1" t="str">
        <f t="shared" ca="1" si="1"/>
        <v/>
      </c>
      <c r="M10" s="1" t="str">
        <f t="shared" ca="1" si="1"/>
        <v/>
      </c>
      <c r="N10" s="1" t="str">
        <f t="shared" ca="1" si="1"/>
        <v/>
      </c>
      <c r="O10" s="1" t="str">
        <f t="shared" ca="1" si="1"/>
        <v/>
      </c>
      <c r="P10" s="1" t="str">
        <f t="shared" ca="1" si="1"/>
        <v/>
      </c>
      <c r="Q10" s="1" t="str">
        <f t="shared" ca="1" si="1"/>
        <v/>
      </c>
      <c r="R10" s="1" t="str">
        <f t="shared" ca="1" si="1"/>
        <v/>
      </c>
      <c r="S10" s="1" t="str">
        <f t="shared" ca="1" si="1"/>
        <v/>
      </c>
      <c r="T10" s="1" t="str">
        <f t="shared" ca="1" si="1"/>
        <v/>
      </c>
      <c r="U10" s="1" t="str">
        <f t="shared" ca="1" si="1"/>
        <v/>
      </c>
      <c r="V10" s="1" t="str">
        <f t="shared" ca="1" si="1"/>
        <v/>
      </c>
      <c r="W10" s="1" t="str">
        <f t="shared" ca="1" si="1"/>
        <v/>
      </c>
      <c r="X10" s="1" t="str">
        <f t="shared" ca="1" si="1"/>
        <v/>
      </c>
      <c r="Y10" s="1" t="str">
        <f t="shared" ca="1" si="1"/>
        <v/>
      </c>
      <c r="Z10" s="1" t="str">
        <f t="shared" ca="1" si="1"/>
        <v/>
      </c>
      <c r="AA10" s="21"/>
    </row>
    <row r="11" spans="1:27" x14ac:dyDescent="0.25">
      <c r="A11" s="3" t="str">
        <f t="shared" si="2"/>
        <v>EXP_MATRIX!$I$2:$I$71</v>
      </c>
      <c r="B11" t="str">
        <v>G</v>
      </c>
      <c r="C11" s="1">
        <f t="shared" ca="1" si="1"/>
        <v>0</v>
      </c>
      <c r="D11" s="1">
        <f t="shared" ca="1" si="1"/>
        <v>0</v>
      </c>
      <c r="E11" s="1">
        <f t="shared" ca="1" si="1"/>
        <v>0</v>
      </c>
      <c r="F11" s="1">
        <f t="shared" ca="1" si="1"/>
        <v>0</v>
      </c>
      <c r="G11" s="1">
        <f t="shared" ca="1" si="1"/>
        <v>0</v>
      </c>
      <c r="H11" s="1">
        <f t="shared" ca="1" si="1"/>
        <v>0</v>
      </c>
      <c r="I11" s="1">
        <f t="shared" ca="1" si="1"/>
        <v>1</v>
      </c>
      <c r="J11" s="1">
        <f t="shared" ca="1" si="1"/>
        <v>0</v>
      </c>
      <c r="K11" s="1">
        <f t="shared" ca="1" si="1"/>
        <v>8.6066296582387042E-2</v>
      </c>
      <c r="L11" s="1" t="str">
        <f t="shared" ca="1" si="1"/>
        <v/>
      </c>
      <c r="M11" s="1" t="str">
        <f t="shared" ca="1" si="1"/>
        <v/>
      </c>
      <c r="N11" s="1" t="str">
        <f t="shared" ca="1" si="1"/>
        <v/>
      </c>
      <c r="O11" s="1" t="str">
        <f t="shared" ca="1" si="1"/>
        <v/>
      </c>
      <c r="P11" s="1" t="str">
        <f t="shared" ca="1" si="1"/>
        <v/>
      </c>
      <c r="Q11" s="1" t="str">
        <f t="shared" ca="1" si="1"/>
        <v/>
      </c>
      <c r="R11" s="1" t="str">
        <f t="shared" ca="1" si="1"/>
        <v/>
      </c>
      <c r="S11" s="1" t="str">
        <f t="shared" ca="1" si="1"/>
        <v/>
      </c>
      <c r="T11" s="1" t="str">
        <f t="shared" ca="1" si="1"/>
        <v/>
      </c>
      <c r="U11" s="1" t="str">
        <f t="shared" ca="1" si="1"/>
        <v/>
      </c>
      <c r="V11" s="1" t="str">
        <f t="shared" ca="1" si="1"/>
        <v/>
      </c>
      <c r="W11" s="1" t="str">
        <f t="shared" ca="1" si="1"/>
        <v/>
      </c>
      <c r="X11" s="1" t="str">
        <f t="shared" ca="1" si="1"/>
        <v/>
      </c>
      <c r="Y11" s="1" t="str">
        <f t="shared" ca="1" si="1"/>
        <v/>
      </c>
      <c r="Z11" s="1" t="str">
        <f t="shared" ca="1" si="1"/>
        <v/>
      </c>
      <c r="AA11" s="21"/>
    </row>
    <row r="12" spans="1:27" x14ac:dyDescent="0.25">
      <c r="A12" s="3" t="str">
        <f t="shared" si="2"/>
        <v>EXP_MATRIX!$J$2:$J$71</v>
      </c>
      <c r="B12" t="str">
        <v>H</v>
      </c>
      <c r="C12" s="1">
        <f t="shared" ca="1" si="1"/>
        <v>0</v>
      </c>
      <c r="D12" s="1">
        <f t="shared" ca="1" si="1"/>
        <v>0</v>
      </c>
      <c r="E12" s="1">
        <f t="shared" ca="1" si="1"/>
        <v>0</v>
      </c>
      <c r="F12" s="1">
        <f t="shared" ca="1" si="1"/>
        <v>0</v>
      </c>
      <c r="G12" s="1">
        <f t="shared" ca="1" si="1"/>
        <v>0</v>
      </c>
      <c r="H12" s="1">
        <f t="shared" ca="1" si="1"/>
        <v>0</v>
      </c>
      <c r="I12" s="1">
        <f t="shared" ca="1" si="1"/>
        <v>0</v>
      </c>
      <c r="J12" s="1">
        <f t="shared" ca="1" si="1"/>
        <v>1</v>
      </c>
      <c r="K12" s="1">
        <f t="shared" ca="1" si="1"/>
        <v>8.6066296582387042E-2</v>
      </c>
      <c r="L12" s="1" t="str">
        <f t="shared" ca="1" si="1"/>
        <v/>
      </c>
      <c r="M12" s="1" t="str">
        <f t="shared" ca="1" si="1"/>
        <v/>
      </c>
      <c r="N12" s="1" t="str">
        <f t="shared" ca="1" si="1"/>
        <v/>
      </c>
      <c r="O12" s="1" t="str">
        <f t="shared" ca="1" si="1"/>
        <v/>
      </c>
      <c r="P12" s="1" t="str">
        <f t="shared" ca="1" si="1"/>
        <v/>
      </c>
      <c r="Q12" s="1" t="str">
        <f t="shared" ca="1" si="1"/>
        <v/>
      </c>
      <c r="R12" s="1" t="str">
        <f t="shared" ca="1" si="1"/>
        <v/>
      </c>
      <c r="S12" s="1" t="str">
        <f t="shared" ca="1" si="1"/>
        <v/>
      </c>
      <c r="T12" s="1" t="str">
        <f t="shared" ca="1" si="1"/>
        <v/>
      </c>
      <c r="U12" s="1" t="str">
        <f t="shared" ca="1" si="1"/>
        <v/>
      </c>
      <c r="V12" s="1" t="str">
        <f t="shared" ca="1" si="1"/>
        <v/>
      </c>
      <c r="W12" s="1" t="str">
        <f t="shared" ca="1" si="1"/>
        <v/>
      </c>
      <c r="X12" s="1" t="str">
        <f t="shared" ca="1" si="1"/>
        <v/>
      </c>
      <c r="Y12" s="1" t="str">
        <f t="shared" ca="1" si="1"/>
        <v/>
      </c>
      <c r="Z12" s="1" t="str">
        <f t="shared" ca="1" si="1"/>
        <v/>
      </c>
      <c r="AA12" s="21"/>
    </row>
    <row r="13" spans="1:27" x14ac:dyDescent="0.25">
      <c r="A13" s="3" t="str">
        <f t="shared" si="2"/>
        <v>EXP_MATRIX!$K$2:$K$71</v>
      </c>
      <c r="B13" t="str">
        <v>J</v>
      </c>
      <c r="C13" s="1">
        <f t="shared" ca="1" si="1"/>
        <v>-8.6066296582387042E-2</v>
      </c>
      <c r="D13" s="1">
        <f t="shared" ca="1" si="1"/>
        <v>8.6066296582387042E-2</v>
      </c>
      <c r="E13" s="1">
        <f t="shared" ca="1" si="1"/>
        <v>-8.6066296582387042E-2</v>
      </c>
      <c r="F13" s="1">
        <f t="shared" ca="1" si="1"/>
        <v>0.25819888974716115</v>
      </c>
      <c r="G13" s="1">
        <f t="shared" ca="1" si="1"/>
        <v>-8.6066296582387042E-2</v>
      </c>
      <c r="H13" s="1">
        <f t="shared" ca="1" si="1"/>
        <v>8.6066296582387042E-2</v>
      </c>
      <c r="I13" s="1">
        <f t="shared" ca="1" si="1"/>
        <v>8.6066296582387042E-2</v>
      </c>
      <c r="J13" s="1">
        <f t="shared" ca="1" si="1"/>
        <v>8.6066296582387042E-2</v>
      </c>
      <c r="K13" s="1">
        <f t="shared" ca="1" si="1"/>
        <v>1</v>
      </c>
      <c r="L13" s="1" t="str">
        <f t="shared" ca="1" si="1"/>
        <v/>
      </c>
      <c r="M13" s="1" t="str">
        <f t="shared" ca="1" si="1"/>
        <v/>
      </c>
      <c r="N13" s="1" t="str">
        <f t="shared" ca="1" si="1"/>
        <v/>
      </c>
      <c r="O13" s="1" t="str">
        <f t="shared" ca="1" si="1"/>
        <v/>
      </c>
      <c r="P13" s="1" t="str">
        <f t="shared" ca="1" si="1"/>
        <v/>
      </c>
      <c r="Q13" s="1" t="str">
        <f t="shared" ca="1" si="1"/>
        <v/>
      </c>
      <c r="R13" s="1" t="str">
        <f t="shared" ca="1" si="1"/>
        <v/>
      </c>
      <c r="S13" s="1" t="str">
        <f t="shared" ca="1" si="1"/>
        <v/>
      </c>
      <c r="T13" s="1" t="str">
        <f t="shared" ca="1" si="1"/>
        <v/>
      </c>
      <c r="U13" s="1" t="str">
        <f t="shared" ca="1" si="1"/>
        <v/>
      </c>
      <c r="V13" s="1" t="str">
        <f t="shared" ca="1" si="1"/>
        <v/>
      </c>
      <c r="W13" s="1" t="str">
        <f t="shared" ca="1" si="1"/>
        <v/>
      </c>
      <c r="X13" s="1" t="str">
        <f t="shared" ca="1" si="1"/>
        <v/>
      </c>
      <c r="Y13" s="1" t="str">
        <f t="shared" ca="1" si="1"/>
        <v/>
      </c>
      <c r="Z13" s="1" t="str">
        <f t="shared" ca="1" si="1"/>
        <v/>
      </c>
      <c r="AA13" s="21"/>
    </row>
    <row r="14" spans="1:27" x14ac:dyDescent="0.25">
      <c r="A14" s="3" t="str">
        <f t="shared" si="2"/>
        <v/>
      </c>
      <c r="B14" t="str">
        <v/>
      </c>
      <c r="C14" s="1" t="str">
        <f t="shared" ca="1" si="1"/>
        <v/>
      </c>
      <c r="D14" s="1" t="str">
        <f t="shared" ca="1" si="1"/>
        <v/>
      </c>
      <c r="E14" s="1" t="str">
        <f t="shared" ca="1" si="1"/>
        <v/>
      </c>
      <c r="F14" s="1" t="str">
        <f t="shared" ca="1" si="1"/>
        <v/>
      </c>
      <c r="G14" s="1" t="str">
        <f t="shared" ca="1" si="1"/>
        <v/>
      </c>
      <c r="H14" s="1" t="str">
        <f t="shared" ca="1" si="1"/>
        <v/>
      </c>
      <c r="I14" s="1" t="str">
        <f t="shared" ca="1" si="1"/>
        <v/>
      </c>
      <c r="J14" s="1" t="str">
        <f t="shared" ca="1" si="1"/>
        <v/>
      </c>
      <c r="K14" s="1" t="str">
        <f t="shared" ca="1" si="1"/>
        <v/>
      </c>
      <c r="L14" s="1" t="str">
        <f t="shared" ca="1" si="1"/>
        <v/>
      </c>
      <c r="M14" s="1" t="str">
        <f t="shared" ca="1" si="1"/>
        <v/>
      </c>
      <c r="N14" s="1" t="str">
        <f t="shared" ca="1" si="1"/>
        <v/>
      </c>
      <c r="O14" s="1" t="str">
        <f t="shared" ca="1" si="1"/>
        <v/>
      </c>
      <c r="P14" s="1" t="str">
        <f t="shared" ca="1" si="1"/>
        <v/>
      </c>
      <c r="Q14" s="1" t="str">
        <f t="shared" ca="1" si="1"/>
        <v/>
      </c>
      <c r="R14" s="1" t="str">
        <f t="shared" ca="1" si="1"/>
        <v/>
      </c>
      <c r="S14" s="1" t="str">
        <f t="shared" ca="1" si="1"/>
        <v/>
      </c>
      <c r="T14" s="1" t="str">
        <f t="shared" ca="1" si="1"/>
        <v/>
      </c>
      <c r="U14" s="1" t="str">
        <f t="shared" ca="1" si="1"/>
        <v/>
      </c>
      <c r="V14" s="1" t="str">
        <f t="shared" ca="1" si="1"/>
        <v/>
      </c>
      <c r="W14" s="1" t="str">
        <f t="shared" ca="1" si="1"/>
        <v/>
      </c>
      <c r="X14" s="1" t="str">
        <f t="shared" ca="1" si="1"/>
        <v/>
      </c>
      <c r="Y14" s="1" t="str">
        <f t="shared" ca="1" si="1"/>
        <v/>
      </c>
      <c r="Z14" s="1" t="str">
        <f t="shared" ca="1" si="1"/>
        <v/>
      </c>
      <c r="AA14" s="21"/>
    </row>
    <row r="15" spans="1:27" x14ac:dyDescent="0.25">
      <c r="A15" s="3" t="str">
        <f t="shared" si="2"/>
        <v/>
      </c>
      <c r="B15" t="str">
        <v/>
      </c>
      <c r="C15" s="1" t="str">
        <f t="shared" ca="1" si="1"/>
        <v/>
      </c>
      <c r="D15" s="1" t="str">
        <f t="shared" ca="1" si="1"/>
        <v/>
      </c>
      <c r="E15" s="1" t="str">
        <f t="shared" ca="1" si="1"/>
        <v/>
      </c>
      <c r="F15" s="1" t="str">
        <f t="shared" ca="1" si="1"/>
        <v/>
      </c>
      <c r="G15" s="1" t="str">
        <f t="shared" ca="1" si="1"/>
        <v/>
      </c>
      <c r="H15" s="1" t="str">
        <f t="shared" ca="1" si="1"/>
        <v/>
      </c>
      <c r="I15" s="1" t="str">
        <f t="shared" ca="1" si="1"/>
        <v/>
      </c>
      <c r="J15" s="1" t="str">
        <f t="shared" ca="1" si="1"/>
        <v/>
      </c>
      <c r="K15" s="1" t="str">
        <f t="shared" ca="1" si="1"/>
        <v/>
      </c>
      <c r="L15" s="1" t="str">
        <f t="shared" ca="1" si="1"/>
        <v/>
      </c>
      <c r="M15" s="1" t="str">
        <f t="shared" ca="1" si="1"/>
        <v/>
      </c>
      <c r="N15" s="1" t="str">
        <f t="shared" ca="1" si="1"/>
        <v/>
      </c>
      <c r="O15" s="1" t="str">
        <f t="shared" ca="1" si="1"/>
        <v/>
      </c>
      <c r="P15" s="1" t="str">
        <f t="shared" ca="1" si="1"/>
        <v/>
      </c>
      <c r="Q15" s="1" t="str">
        <f t="shared" ca="1" si="1"/>
        <v/>
      </c>
      <c r="R15" s="1" t="str">
        <f t="shared" ref="R15:Z28" ca="1" si="3">IFERROR(CORREL(INDIRECT($A15),INDIRECT(R$3)),IF(AND(R$4&lt;&gt;"",$B15&lt;&gt;""),99,""))</f>
        <v/>
      </c>
      <c r="S15" s="1" t="str">
        <f t="shared" ca="1" si="3"/>
        <v/>
      </c>
      <c r="T15" s="1" t="str">
        <f t="shared" ca="1" si="3"/>
        <v/>
      </c>
      <c r="U15" s="1" t="str">
        <f t="shared" ca="1" si="3"/>
        <v/>
      </c>
      <c r="V15" s="1" t="str">
        <f t="shared" ca="1" si="3"/>
        <v/>
      </c>
      <c r="W15" s="1" t="str">
        <f t="shared" ca="1" si="3"/>
        <v/>
      </c>
      <c r="X15" s="1" t="str">
        <f t="shared" ca="1" si="3"/>
        <v/>
      </c>
      <c r="Y15" s="1" t="str">
        <f t="shared" ca="1" si="3"/>
        <v/>
      </c>
      <c r="Z15" s="1" t="str">
        <f t="shared" ca="1" si="3"/>
        <v/>
      </c>
      <c r="AA15" s="21"/>
    </row>
    <row r="16" spans="1:27" x14ac:dyDescent="0.25">
      <c r="A16" s="3" t="str">
        <f t="shared" si="2"/>
        <v/>
      </c>
      <c r="B16" t="str">
        <v/>
      </c>
      <c r="C16" s="1" t="str">
        <f t="shared" ref="C16:R28" ca="1" si="4">IFERROR(CORREL(INDIRECT($A16),INDIRECT(C$3)),IF(AND(C$4&lt;&gt;"",$B16&lt;&gt;""),99,""))</f>
        <v/>
      </c>
      <c r="D16" s="1" t="str">
        <f t="shared" ca="1" si="4"/>
        <v/>
      </c>
      <c r="E16" s="1" t="str">
        <f t="shared" ca="1" si="4"/>
        <v/>
      </c>
      <c r="F16" s="1" t="str">
        <f t="shared" ca="1" si="4"/>
        <v/>
      </c>
      <c r="G16" s="1" t="str">
        <f t="shared" ca="1" si="4"/>
        <v/>
      </c>
      <c r="H16" s="1" t="str">
        <f t="shared" ca="1" si="4"/>
        <v/>
      </c>
      <c r="I16" s="1" t="str">
        <f t="shared" ca="1" si="4"/>
        <v/>
      </c>
      <c r="J16" s="1" t="str">
        <f t="shared" ca="1" si="4"/>
        <v/>
      </c>
      <c r="K16" s="1" t="str">
        <f t="shared" ca="1" si="4"/>
        <v/>
      </c>
      <c r="L16" s="1" t="str">
        <f t="shared" ca="1" si="4"/>
        <v/>
      </c>
      <c r="M16" s="1" t="str">
        <f t="shared" ca="1" si="4"/>
        <v/>
      </c>
      <c r="N16" s="1" t="str">
        <f t="shared" ca="1" si="4"/>
        <v/>
      </c>
      <c r="O16" s="1" t="str">
        <f t="shared" ca="1" si="4"/>
        <v/>
      </c>
      <c r="P16" s="1" t="str">
        <f t="shared" ca="1" si="4"/>
        <v/>
      </c>
      <c r="Q16" s="1" t="str">
        <f t="shared" ca="1" si="4"/>
        <v/>
      </c>
      <c r="R16" s="1" t="str">
        <f t="shared" ca="1" si="4"/>
        <v/>
      </c>
      <c r="S16" s="1" t="str">
        <f t="shared" ca="1" si="3"/>
        <v/>
      </c>
      <c r="T16" s="1" t="str">
        <f t="shared" ca="1" si="3"/>
        <v/>
      </c>
      <c r="U16" s="1" t="str">
        <f t="shared" ca="1" si="3"/>
        <v/>
      </c>
      <c r="V16" s="1" t="str">
        <f t="shared" ca="1" si="3"/>
        <v/>
      </c>
      <c r="W16" s="1" t="str">
        <f t="shared" ca="1" si="3"/>
        <v/>
      </c>
      <c r="X16" s="1" t="str">
        <f t="shared" ca="1" si="3"/>
        <v/>
      </c>
      <c r="Y16" s="1" t="str">
        <f t="shared" ca="1" si="3"/>
        <v/>
      </c>
      <c r="Z16" s="1" t="str">
        <f t="shared" ca="1" si="3"/>
        <v/>
      </c>
      <c r="AA16" s="21"/>
    </row>
    <row r="17" spans="1:26" x14ac:dyDescent="0.25">
      <c r="A17" s="3" t="str">
        <f t="shared" si="2"/>
        <v/>
      </c>
      <c r="B17" t="str">
        <v/>
      </c>
      <c r="C17" s="1" t="str">
        <f t="shared" ca="1" si="4"/>
        <v/>
      </c>
      <c r="D17" s="1" t="str">
        <f t="shared" ca="1" si="4"/>
        <v/>
      </c>
      <c r="E17" s="1" t="str">
        <f t="shared" ca="1" si="4"/>
        <v/>
      </c>
      <c r="F17" s="1" t="str">
        <f t="shared" ca="1" si="4"/>
        <v/>
      </c>
      <c r="G17" s="1" t="str">
        <f t="shared" ca="1" si="4"/>
        <v/>
      </c>
      <c r="H17" s="1" t="str">
        <f t="shared" ca="1" si="4"/>
        <v/>
      </c>
      <c r="I17" s="1" t="str">
        <f t="shared" ca="1" si="4"/>
        <v/>
      </c>
      <c r="J17" s="1" t="str">
        <f t="shared" ca="1" si="4"/>
        <v/>
      </c>
      <c r="K17" s="1" t="str">
        <f t="shared" ca="1" si="4"/>
        <v/>
      </c>
      <c r="L17" s="1" t="str">
        <f t="shared" ca="1" si="4"/>
        <v/>
      </c>
      <c r="M17" s="1" t="str">
        <f t="shared" ca="1" si="4"/>
        <v/>
      </c>
      <c r="N17" s="1" t="str">
        <f t="shared" ca="1" si="4"/>
        <v/>
      </c>
      <c r="O17" s="1" t="str">
        <f t="shared" ca="1" si="4"/>
        <v/>
      </c>
      <c r="P17" s="1" t="str">
        <f t="shared" ca="1" si="4"/>
        <v/>
      </c>
      <c r="Q17" s="1" t="str">
        <f t="shared" ca="1" si="4"/>
        <v/>
      </c>
      <c r="R17" s="1" t="str">
        <f t="shared" ca="1" si="4"/>
        <v/>
      </c>
      <c r="S17" s="1" t="str">
        <f t="shared" ca="1" si="3"/>
        <v/>
      </c>
      <c r="T17" s="1" t="str">
        <f t="shared" ca="1" si="3"/>
        <v/>
      </c>
      <c r="U17" s="1" t="str">
        <f t="shared" ca="1" si="3"/>
        <v/>
      </c>
      <c r="V17" s="1" t="str">
        <f t="shared" ca="1" si="3"/>
        <v/>
      </c>
      <c r="W17" s="1" t="str">
        <f t="shared" ca="1" si="3"/>
        <v/>
      </c>
      <c r="X17" s="1" t="str">
        <f t="shared" ca="1" si="3"/>
        <v/>
      </c>
      <c r="Y17" s="1" t="str">
        <f t="shared" ca="1" si="3"/>
        <v/>
      </c>
      <c r="Z17" s="1" t="str">
        <f t="shared" ca="1" si="3"/>
        <v/>
      </c>
    </row>
    <row r="18" spans="1:26" x14ac:dyDescent="0.25">
      <c r="A18" s="3" t="str">
        <f t="shared" si="2"/>
        <v/>
      </c>
      <c r="B18" t="str">
        <v/>
      </c>
      <c r="C18" s="1" t="str">
        <f t="shared" ca="1" si="4"/>
        <v/>
      </c>
      <c r="D18" s="1" t="str">
        <f t="shared" ca="1" si="4"/>
        <v/>
      </c>
      <c r="E18" s="1" t="str">
        <f t="shared" ca="1" si="4"/>
        <v/>
      </c>
      <c r="F18" s="1" t="str">
        <f t="shared" ca="1" si="4"/>
        <v/>
      </c>
      <c r="G18" s="1" t="str">
        <f t="shared" ca="1" si="4"/>
        <v/>
      </c>
      <c r="H18" s="1" t="str">
        <f t="shared" ca="1" si="4"/>
        <v/>
      </c>
      <c r="I18" s="1" t="str">
        <f t="shared" ca="1" si="4"/>
        <v/>
      </c>
      <c r="J18" s="1" t="str">
        <f t="shared" ca="1" si="4"/>
        <v/>
      </c>
      <c r="K18" s="1" t="str">
        <f t="shared" ca="1" si="4"/>
        <v/>
      </c>
      <c r="L18" s="1" t="str">
        <f t="shared" ca="1" si="4"/>
        <v/>
      </c>
      <c r="M18" s="1" t="str">
        <f t="shared" ca="1" si="4"/>
        <v/>
      </c>
      <c r="N18" s="1" t="str">
        <f t="shared" ca="1" si="4"/>
        <v/>
      </c>
      <c r="O18" s="1" t="str">
        <f t="shared" ca="1" si="4"/>
        <v/>
      </c>
      <c r="P18" s="1" t="str">
        <f t="shared" ca="1" si="4"/>
        <v/>
      </c>
      <c r="Q18" s="1" t="str">
        <f t="shared" ca="1" si="4"/>
        <v/>
      </c>
      <c r="R18" s="1" t="str">
        <f t="shared" ca="1" si="4"/>
        <v/>
      </c>
      <c r="S18" s="1" t="str">
        <f t="shared" ca="1" si="3"/>
        <v/>
      </c>
      <c r="T18" s="1" t="str">
        <f t="shared" ca="1" si="3"/>
        <v/>
      </c>
      <c r="U18" s="1" t="str">
        <f t="shared" ca="1" si="3"/>
        <v/>
      </c>
      <c r="V18" s="1" t="str">
        <f t="shared" ca="1" si="3"/>
        <v/>
      </c>
      <c r="W18" s="1" t="str">
        <f t="shared" ca="1" si="3"/>
        <v/>
      </c>
      <c r="X18" s="1" t="str">
        <f t="shared" ca="1" si="3"/>
        <v/>
      </c>
      <c r="Y18" s="1" t="str">
        <f t="shared" ca="1" si="3"/>
        <v/>
      </c>
      <c r="Z18" s="1" t="str">
        <f t="shared" ca="1" si="3"/>
        <v/>
      </c>
    </row>
    <row r="19" spans="1:26" x14ac:dyDescent="0.25">
      <c r="A19" s="3" t="str">
        <f t="shared" si="2"/>
        <v/>
      </c>
      <c r="B19" t="str">
        <v/>
      </c>
      <c r="C19" s="1" t="str">
        <f t="shared" ca="1" si="4"/>
        <v/>
      </c>
      <c r="D19" s="1" t="str">
        <f t="shared" ca="1" si="4"/>
        <v/>
      </c>
      <c r="E19" s="1" t="str">
        <f t="shared" ca="1" si="4"/>
        <v/>
      </c>
      <c r="F19" s="1" t="str">
        <f t="shared" ca="1" si="4"/>
        <v/>
      </c>
      <c r="G19" s="1" t="str">
        <f t="shared" ca="1" si="4"/>
        <v/>
      </c>
      <c r="H19" s="1" t="str">
        <f t="shared" ca="1" si="4"/>
        <v/>
      </c>
      <c r="I19" s="1" t="str">
        <f t="shared" ca="1" si="4"/>
        <v/>
      </c>
      <c r="J19" s="1" t="str">
        <f t="shared" ca="1" si="4"/>
        <v/>
      </c>
      <c r="K19" s="1" t="str">
        <f t="shared" ca="1" si="4"/>
        <v/>
      </c>
      <c r="L19" s="1" t="str">
        <f t="shared" ca="1" si="4"/>
        <v/>
      </c>
      <c r="M19" s="1" t="str">
        <f t="shared" ca="1" si="4"/>
        <v/>
      </c>
      <c r="N19" s="1" t="str">
        <f t="shared" ca="1" si="4"/>
        <v/>
      </c>
      <c r="O19" s="1" t="str">
        <f t="shared" ca="1" si="4"/>
        <v/>
      </c>
      <c r="P19" s="1" t="str">
        <f t="shared" ca="1" si="4"/>
        <v/>
      </c>
      <c r="Q19" s="1" t="str">
        <f t="shared" ca="1" si="4"/>
        <v/>
      </c>
      <c r="R19" s="1" t="str">
        <f t="shared" ca="1" si="4"/>
        <v/>
      </c>
      <c r="S19" s="1" t="str">
        <f t="shared" ca="1" si="3"/>
        <v/>
      </c>
      <c r="T19" s="1" t="str">
        <f t="shared" ca="1" si="3"/>
        <v/>
      </c>
      <c r="U19" s="1" t="str">
        <f t="shared" ca="1" si="3"/>
        <v/>
      </c>
      <c r="V19" s="1" t="str">
        <f t="shared" ca="1" si="3"/>
        <v/>
      </c>
      <c r="W19" s="1" t="str">
        <f t="shared" ca="1" si="3"/>
        <v/>
      </c>
      <c r="X19" s="1" t="str">
        <f t="shared" ca="1" si="3"/>
        <v/>
      </c>
      <c r="Y19" s="1" t="str">
        <f t="shared" ca="1" si="3"/>
        <v/>
      </c>
      <c r="Z19" s="1" t="str">
        <f t="shared" ca="1" si="3"/>
        <v/>
      </c>
    </row>
    <row r="20" spans="1:26" x14ac:dyDescent="0.25">
      <c r="A20" s="3" t="str">
        <f t="shared" si="2"/>
        <v/>
      </c>
      <c r="B20" t="str">
        <v/>
      </c>
      <c r="C20" s="1" t="str">
        <f t="shared" ca="1" si="4"/>
        <v/>
      </c>
      <c r="D20" s="1" t="str">
        <f t="shared" ca="1" si="4"/>
        <v/>
      </c>
      <c r="E20" s="1" t="str">
        <f t="shared" ca="1" si="4"/>
        <v/>
      </c>
      <c r="F20" s="1" t="str">
        <f t="shared" ca="1" si="4"/>
        <v/>
      </c>
      <c r="G20" s="1" t="str">
        <f t="shared" ca="1" si="4"/>
        <v/>
      </c>
      <c r="H20" s="1" t="str">
        <f t="shared" ca="1" si="4"/>
        <v/>
      </c>
      <c r="I20" s="1" t="str">
        <f t="shared" ca="1" si="4"/>
        <v/>
      </c>
      <c r="J20" s="1" t="str">
        <f t="shared" ca="1" si="4"/>
        <v/>
      </c>
      <c r="K20" s="1" t="str">
        <f t="shared" ca="1" si="4"/>
        <v/>
      </c>
      <c r="L20" s="1" t="str">
        <f t="shared" ca="1" si="4"/>
        <v/>
      </c>
      <c r="M20" s="1" t="str">
        <f t="shared" ca="1" si="4"/>
        <v/>
      </c>
      <c r="N20" s="1" t="str">
        <f t="shared" ca="1" si="4"/>
        <v/>
      </c>
      <c r="O20" s="1" t="str">
        <f t="shared" ca="1" si="4"/>
        <v/>
      </c>
      <c r="P20" s="1" t="str">
        <f t="shared" ca="1" si="4"/>
        <v/>
      </c>
      <c r="Q20" s="1" t="str">
        <f t="shared" ca="1" si="4"/>
        <v/>
      </c>
      <c r="R20" s="1" t="str">
        <f t="shared" ca="1" si="4"/>
        <v/>
      </c>
      <c r="S20" s="1" t="str">
        <f t="shared" ca="1" si="3"/>
        <v/>
      </c>
      <c r="T20" s="1" t="str">
        <f t="shared" ca="1" si="3"/>
        <v/>
      </c>
      <c r="U20" s="1" t="str">
        <f t="shared" ca="1" si="3"/>
        <v/>
      </c>
      <c r="V20" s="1" t="str">
        <f t="shared" ca="1" si="3"/>
        <v/>
      </c>
      <c r="W20" s="1" t="str">
        <f t="shared" ca="1" si="3"/>
        <v/>
      </c>
      <c r="X20" s="1" t="str">
        <f t="shared" ca="1" si="3"/>
        <v/>
      </c>
      <c r="Y20" s="1" t="str">
        <f t="shared" ca="1" si="3"/>
        <v/>
      </c>
      <c r="Z20" s="1" t="str">
        <f t="shared" ca="1" si="3"/>
        <v/>
      </c>
    </row>
    <row r="21" spans="1:26" x14ac:dyDescent="0.25">
      <c r="A21" s="3" t="str">
        <f t="shared" si="2"/>
        <v/>
      </c>
      <c r="B21" t="str">
        <v/>
      </c>
      <c r="C21" s="1" t="str">
        <f t="shared" ca="1" si="4"/>
        <v/>
      </c>
      <c r="D21" s="1" t="str">
        <f t="shared" ca="1" si="4"/>
        <v/>
      </c>
      <c r="E21" s="1" t="str">
        <f t="shared" ca="1" si="4"/>
        <v/>
      </c>
      <c r="F21" s="1" t="str">
        <f t="shared" ca="1" si="4"/>
        <v/>
      </c>
      <c r="G21" s="1" t="str">
        <f t="shared" ca="1" si="4"/>
        <v/>
      </c>
      <c r="H21" s="1" t="str">
        <f t="shared" ca="1" si="4"/>
        <v/>
      </c>
      <c r="I21" s="1" t="str">
        <f t="shared" ca="1" si="4"/>
        <v/>
      </c>
      <c r="J21" s="1" t="str">
        <f t="shared" ca="1" si="4"/>
        <v/>
      </c>
      <c r="K21" s="1" t="str">
        <f t="shared" ca="1" si="4"/>
        <v/>
      </c>
      <c r="L21" s="1" t="str">
        <f t="shared" ca="1" si="4"/>
        <v/>
      </c>
      <c r="M21" s="1" t="str">
        <f t="shared" ca="1" si="4"/>
        <v/>
      </c>
      <c r="N21" s="1" t="str">
        <f t="shared" ca="1" si="4"/>
        <v/>
      </c>
      <c r="O21" s="1" t="str">
        <f t="shared" ca="1" si="4"/>
        <v/>
      </c>
      <c r="P21" s="1" t="str">
        <f t="shared" ca="1" si="4"/>
        <v/>
      </c>
      <c r="Q21" s="1" t="str">
        <f t="shared" ca="1" si="4"/>
        <v/>
      </c>
      <c r="R21" s="1" t="str">
        <f t="shared" ca="1" si="4"/>
        <v/>
      </c>
      <c r="S21" s="1" t="str">
        <f t="shared" ca="1" si="3"/>
        <v/>
      </c>
      <c r="T21" s="1" t="str">
        <f t="shared" ca="1" si="3"/>
        <v/>
      </c>
      <c r="U21" s="1" t="str">
        <f t="shared" ca="1" si="3"/>
        <v/>
      </c>
      <c r="V21" s="1" t="str">
        <f t="shared" ca="1" si="3"/>
        <v/>
      </c>
      <c r="W21" s="1" t="str">
        <f t="shared" ca="1" si="3"/>
        <v/>
      </c>
      <c r="X21" s="1" t="str">
        <f t="shared" ca="1" si="3"/>
        <v/>
      </c>
      <c r="Y21" s="1" t="str">
        <f t="shared" ca="1" si="3"/>
        <v/>
      </c>
      <c r="Z21" s="1" t="str">
        <f t="shared" ca="1" si="3"/>
        <v/>
      </c>
    </row>
    <row r="22" spans="1:26" x14ac:dyDescent="0.25">
      <c r="A22" s="3" t="str">
        <f t="shared" si="2"/>
        <v/>
      </c>
      <c r="B22" t="str">
        <v/>
      </c>
      <c r="C22" s="1" t="str">
        <f t="shared" ca="1" si="4"/>
        <v/>
      </c>
      <c r="D22" s="1" t="str">
        <f t="shared" ca="1" si="4"/>
        <v/>
      </c>
      <c r="E22" s="1" t="str">
        <f t="shared" ca="1" si="4"/>
        <v/>
      </c>
      <c r="F22" s="1" t="str">
        <f t="shared" ca="1" si="4"/>
        <v/>
      </c>
      <c r="G22" s="1" t="str">
        <f t="shared" ca="1" si="4"/>
        <v/>
      </c>
      <c r="H22" s="1" t="str">
        <f t="shared" ca="1" si="4"/>
        <v/>
      </c>
      <c r="I22" s="1" t="str">
        <f t="shared" ca="1" si="4"/>
        <v/>
      </c>
      <c r="J22" s="1" t="str">
        <f t="shared" ca="1" si="4"/>
        <v/>
      </c>
      <c r="K22" s="1" t="str">
        <f t="shared" ca="1" si="4"/>
        <v/>
      </c>
      <c r="L22" s="1" t="str">
        <f t="shared" ca="1" si="4"/>
        <v/>
      </c>
      <c r="M22" s="1" t="str">
        <f t="shared" ca="1" si="4"/>
        <v/>
      </c>
      <c r="N22" s="1" t="str">
        <f t="shared" ca="1" si="4"/>
        <v/>
      </c>
      <c r="O22" s="1" t="str">
        <f t="shared" ca="1" si="4"/>
        <v/>
      </c>
      <c r="P22" s="1" t="str">
        <f t="shared" ca="1" si="4"/>
        <v/>
      </c>
      <c r="Q22" s="1" t="str">
        <f t="shared" ca="1" si="4"/>
        <v/>
      </c>
      <c r="R22" s="1" t="str">
        <f t="shared" ca="1" si="4"/>
        <v/>
      </c>
      <c r="S22" s="1" t="str">
        <f t="shared" ca="1" si="3"/>
        <v/>
      </c>
      <c r="T22" s="1" t="str">
        <f t="shared" ca="1" si="3"/>
        <v/>
      </c>
      <c r="U22" s="1" t="str">
        <f t="shared" ca="1" si="3"/>
        <v/>
      </c>
      <c r="V22" s="1" t="str">
        <f t="shared" ca="1" si="3"/>
        <v/>
      </c>
      <c r="W22" s="1" t="str">
        <f t="shared" ca="1" si="3"/>
        <v/>
      </c>
      <c r="X22" s="1" t="str">
        <f t="shared" ca="1" si="3"/>
        <v/>
      </c>
      <c r="Y22" s="1" t="str">
        <f t="shared" ca="1" si="3"/>
        <v/>
      </c>
      <c r="Z22" s="1" t="str">
        <f t="shared" ca="1" si="3"/>
        <v/>
      </c>
    </row>
    <row r="23" spans="1:26" x14ac:dyDescent="0.25">
      <c r="A23" s="3" t="str">
        <f t="shared" si="2"/>
        <v/>
      </c>
      <c r="B23" t="str">
        <v/>
      </c>
      <c r="C23" s="1" t="str">
        <f t="shared" ca="1" si="4"/>
        <v/>
      </c>
      <c r="D23" s="1" t="str">
        <f t="shared" ca="1" si="4"/>
        <v/>
      </c>
      <c r="E23" s="1" t="str">
        <f t="shared" ca="1" si="4"/>
        <v/>
      </c>
      <c r="F23" s="1" t="str">
        <f t="shared" ca="1" si="4"/>
        <v/>
      </c>
      <c r="G23" s="1" t="str">
        <f t="shared" ca="1" si="4"/>
        <v/>
      </c>
      <c r="H23" s="1" t="str">
        <f t="shared" ca="1" si="4"/>
        <v/>
      </c>
      <c r="I23" s="1" t="str">
        <f t="shared" ca="1" si="4"/>
        <v/>
      </c>
      <c r="J23" s="1" t="str">
        <f t="shared" ca="1" si="4"/>
        <v/>
      </c>
      <c r="K23" s="1" t="str">
        <f t="shared" ca="1" si="4"/>
        <v/>
      </c>
      <c r="L23" s="1" t="str">
        <f t="shared" ca="1" si="4"/>
        <v/>
      </c>
      <c r="M23" s="1" t="str">
        <f t="shared" ca="1" si="4"/>
        <v/>
      </c>
      <c r="N23" s="1" t="str">
        <f t="shared" ca="1" si="4"/>
        <v/>
      </c>
      <c r="O23" s="1" t="str">
        <f t="shared" ca="1" si="4"/>
        <v/>
      </c>
      <c r="P23" s="1" t="str">
        <f t="shared" ca="1" si="4"/>
        <v/>
      </c>
      <c r="Q23" s="1" t="str">
        <f t="shared" ca="1" si="4"/>
        <v/>
      </c>
      <c r="R23" s="1" t="str">
        <f t="shared" ca="1" si="4"/>
        <v/>
      </c>
      <c r="S23" s="1" t="str">
        <f t="shared" ca="1" si="3"/>
        <v/>
      </c>
      <c r="T23" s="1" t="str">
        <f t="shared" ca="1" si="3"/>
        <v/>
      </c>
      <c r="U23" s="1" t="str">
        <f t="shared" ca="1" si="3"/>
        <v/>
      </c>
      <c r="V23" s="1" t="str">
        <f t="shared" ca="1" si="3"/>
        <v/>
      </c>
      <c r="W23" s="1" t="str">
        <f t="shared" ca="1" si="3"/>
        <v/>
      </c>
      <c r="X23" s="1" t="str">
        <f t="shared" ca="1" si="3"/>
        <v/>
      </c>
      <c r="Y23" s="1" t="str">
        <f t="shared" ca="1" si="3"/>
        <v/>
      </c>
      <c r="Z23" s="1" t="str">
        <f t="shared" ca="1" si="3"/>
        <v/>
      </c>
    </row>
    <row r="24" spans="1:26" x14ac:dyDescent="0.25">
      <c r="A24" s="3" t="str">
        <f t="shared" si="2"/>
        <v/>
      </c>
      <c r="B24" t="str">
        <v/>
      </c>
      <c r="C24" s="1" t="str">
        <f t="shared" ca="1" si="4"/>
        <v/>
      </c>
      <c r="D24" s="1" t="str">
        <f t="shared" ca="1" si="4"/>
        <v/>
      </c>
      <c r="E24" s="1" t="str">
        <f t="shared" ca="1" si="4"/>
        <v/>
      </c>
      <c r="F24" s="1" t="str">
        <f t="shared" ca="1" si="4"/>
        <v/>
      </c>
      <c r="G24" s="1" t="str">
        <f t="shared" ca="1" si="4"/>
        <v/>
      </c>
      <c r="H24" s="1" t="str">
        <f t="shared" ca="1" si="4"/>
        <v/>
      </c>
      <c r="I24" s="1" t="str">
        <f t="shared" ca="1" si="4"/>
        <v/>
      </c>
      <c r="J24" s="1" t="str">
        <f t="shared" ca="1" si="4"/>
        <v/>
      </c>
      <c r="K24" s="1" t="str">
        <f t="shared" ca="1" si="4"/>
        <v/>
      </c>
      <c r="L24" s="1" t="str">
        <f t="shared" ca="1" si="4"/>
        <v/>
      </c>
      <c r="M24" s="1" t="str">
        <f t="shared" ca="1" si="4"/>
        <v/>
      </c>
      <c r="N24" s="1" t="str">
        <f t="shared" ca="1" si="4"/>
        <v/>
      </c>
      <c r="O24" s="1" t="str">
        <f t="shared" ca="1" si="4"/>
        <v/>
      </c>
      <c r="P24" s="1" t="str">
        <f t="shared" ca="1" si="4"/>
        <v/>
      </c>
      <c r="Q24" s="1" t="str">
        <f t="shared" ca="1" si="4"/>
        <v/>
      </c>
      <c r="R24" s="1" t="str">
        <f t="shared" ca="1" si="4"/>
        <v/>
      </c>
      <c r="S24" s="1" t="str">
        <f t="shared" ca="1" si="3"/>
        <v/>
      </c>
      <c r="T24" s="1" t="str">
        <f t="shared" ca="1" si="3"/>
        <v/>
      </c>
      <c r="U24" s="1" t="str">
        <f t="shared" ca="1" si="3"/>
        <v/>
      </c>
      <c r="V24" s="1" t="str">
        <f t="shared" ca="1" si="3"/>
        <v/>
      </c>
      <c r="W24" s="1" t="str">
        <f t="shared" ca="1" si="3"/>
        <v/>
      </c>
      <c r="X24" s="1" t="str">
        <f t="shared" ca="1" si="3"/>
        <v/>
      </c>
      <c r="Y24" s="1" t="str">
        <f t="shared" ca="1" si="3"/>
        <v/>
      </c>
      <c r="Z24" s="1" t="str">
        <f t="shared" ca="1" si="3"/>
        <v/>
      </c>
    </row>
    <row r="25" spans="1:26" x14ac:dyDescent="0.25">
      <c r="A25" s="3" t="str">
        <f t="shared" si="2"/>
        <v/>
      </c>
      <c r="B25" t="str">
        <v/>
      </c>
      <c r="C25" s="1" t="str">
        <f t="shared" ca="1" si="4"/>
        <v/>
      </c>
      <c r="D25" s="1" t="str">
        <f t="shared" ca="1" si="4"/>
        <v/>
      </c>
      <c r="E25" s="1" t="str">
        <f t="shared" ca="1" si="4"/>
        <v/>
      </c>
      <c r="F25" s="1" t="str">
        <f t="shared" ca="1" si="4"/>
        <v/>
      </c>
      <c r="G25" s="1" t="str">
        <f t="shared" ca="1" si="4"/>
        <v/>
      </c>
      <c r="H25" s="1" t="str">
        <f t="shared" ca="1" si="4"/>
        <v/>
      </c>
      <c r="I25" s="1" t="str">
        <f t="shared" ca="1" si="4"/>
        <v/>
      </c>
      <c r="J25" s="1" t="str">
        <f t="shared" ca="1" si="4"/>
        <v/>
      </c>
      <c r="K25" s="1" t="str">
        <f t="shared" ca="1" si="4"/>
        <v/>
      </c>
      <c r="L25" s="1" t="str">
        <f t="shared" ca="1" si="4"/>
        <v/>
      </c>
      <c r="M25" s="1" t="str">
        <f t="shared" ca="1" si="4"/>
        <v/>
      </c>
      <c r="N25" s="1" t="str">
        <f t="shared" ca="1" si="4"/>
        <v/>
      </c>
      <c r="O25" s="1" t="str">
        <f t="shared" ca="1" si="4"/>
        <v/>
      </c>
      <c r="P25" s="1" t="str">
        <f t="shared" ca="1" si="4"/>
        <v/>
      </c>
      <c r="Q25" s="1" t="str">
        <f t="shared" ca="1" si="4"/>
        <v/>
      </c>
      <c r="R25" s="1" t="str">
        <f t="shared" ca="1" si="4"/>
        <v/>
      </c>
      <c r="S25" s="1" t="str">
        <f t="shared" ca="1" si="3"/>
        <v/>
      </c>
      <c r="T25" s="1" t="str">
        <f t="shared" ca="1" si="3"/>
        <v/>
      </c>
      <c r="U25" s="1" t="str">
        <f t="shared" ca="1" si="3"/>
        <v/>
      </c>
      <c r="V25" s="1" t="str">
        <f t="shared" ca="1" si="3"/>
        <v/>
      </c>
      <c r="W25" s="1" t="str">
        <f t="shared" ca="1" si="3"/>
        <v/>
      </c>
      <c r="X25" s="1" t="str">
        <f t="shared" ca="1" si="3"/>
        <v/>
      </c>
      <c r="Y25" s="1" t="str">
        <f t="shared" ca="1" si="3"/>
        <v/>
      </c>
      <c r="Z25" s="1" t="str">
        <f t="shared" ca="1" si="3"/>
        <v/>
      </c>
    </row>
    <row r="26" spans="1:26" x14ac:dyDescent="0.25">
      <c r="A26" s="3" t="str">
        <f t="shared" si="2"/>
        <v/>
      </c>
      <c r="B26" t="str">
        <v/>
      </c>
      <c r="C26" s="1" t="str">
        <f t="shared" ca="1" si="4"/>
        <v/>
      </c>
      <c r="D26" s="1" t="str">
        <f t="shared" ca="1" si="4"/>
        <v/>
      </c>
      <c r="E26" s="1" t="str">
        <f t="shared" ca="1" si="4"/>
        <v/>
      </c>
      <c r="F26" s="1" t="str">
        <f t="shared" ca="1" si="4"/>
        <v/>
      </c>
      <c r="G26" s="1" t="str">
        <f t="shared" ca="1" si="4"/>
        <v/>
      </c>
      <c r="H26" s="1" t="str">
        <f t="shared" ca="1" si="4"/>
        <v/>
      </c>
      <c r="I26" s="1" t="str">
        <f t="shared" ca="1" si="4"/>
        <v/>
      </c>
      <c r="J26" s="1" t="str">
        <f t="shared" ca="1" si="4"/>
        <v/>
      </c>
      <c r="K26" s="1" t="str">
        <f t="shared" ca="1" si="4"/>
        <v/>
      </c>
      <c r="L26" s="1" t="str">
        <f t="shared" ca="1" si="4"/>
        <v/>
      </c>
      <c r="M26" s="1" t="str">
        <f t="shared" ca="1" si="4"/>
        <v/>
      </c>
      <c r="N26" s="1" t="str">
        <f t="shared" ca="1" si="4"/>
        <v/>
      </c>
      <c r="O26" s="1" t="str">
        <f t="shared" ca="1" si="4"/>
        <v/>
      </c>
      <c r="P26" s="1" t="str">
        <f t="shared" ca="1" si="4"/>
        <v/>
      </c>
      <c r="Q26" s="1" t="str">
        <f t="shared" ca="1" si="4"/>
        <v/>
      </c>
      <c r="R26" s="1" t="str">
        <f t="shared" ca="1" si="4"/>
        <v/>
      </c>
      <c r="S26" s="1" t="str">
        <f t="shared" ca="1" si="3"/>
        <v/>
      </c>
      <c r="T26" s="1" t="str">
        <f t="shared" ca="1" si="3"/>
        <v/>
      </c>
      <c r="U26" s="1" t="str">
        <f t="shared" ca="1" si="3"/>
        <v/>
      </c>
      <c r="V26" s="1" t="str">
        <f t="shared" ca="1" si="3"/>
        <v/>
      </c>
      <c r="W26" s="1" t="str">
        <f t="shared" ca="1" si="3"/>
        <v/>
      </c>
      <c r="X26" s="1" t="str">
        <f t="shared" ca="1" si="3"/>
        <v/>
      </c>
      <c r="Y26" s="1" t="str">
        <f t="shared" ca="1" si="3"/>
        <v/>
      </c>
      <c r="Z26" s="1" t="str">
        <f t="shared" ca="1" si="3"/>
        <v/>
      </c>
    </row>
    <row r="27" spans="1:26" x14ac:dyDescent="0.25">
      <c r="A27" s="3" t="str">
        <f t="shared" si="2"/>
        <v/>
      </c>
      <c r="B27" t="str">
        <v/>
      </c>
      <c r="C27" s="1" t="str">
        <f t="shared" ca="1" si="4"/>
        <v/>
      </c>
      <c r="D27" s="1" t="str">
        <f t="shared" ca="1" si="4"/>
        <v/>
      </c>
      <c r="E27" s="1" t="str">
        <f t="shared" ca="1" si="4"/>
        <v/>
      </c>
      <c r="F27" s="1" t="str">
        <f t="shared" ca="1" si="4"/>
        <v/>
      </c>
      <c r="G27" s="1" t="str">
        <f t="shared" ca="1" si="4"/>
        <v/>
      </c>
      <c r="H27" s="1" t="str">
        <f t="shared" ca="1" si="4"/>
        <v/>
      </c>
      <c r="I27" s="1" t="str">
        <f t="shared" ca="1" si="4"/>
        <v/>
      </c>
      <c r="J27" s="1" t="str">
        <f t="shared" ca="1" si="4"/>
        <v/>
      </c>
      <c r="K27" s="1" t="str">
        <f t="shared" ca="1" si="4"/>
        <v/>
      </c>
      <c r="L27" s="1" t="str">
        <f t="shared" ca="1" si="4"/>
        <v/>
      </c>
      <c r="M27" s="1" t="str">
        <f t="shared" ca="1" si="4"/>
        <v/>
      </c>
      <c r="N27" s="1" t="str">
        <f t="shared" ca="1" si="4"/>
        <v/>
      </c>
      <c r="O27" s="1" t="str">
        <f t="shared" ca="1" si="4"/>
        <v/>
      </c>
      <c r="P27" s="1" t="str">
        <f t="shared" ca="1" si="4"/>
        <v/>
      </c>
      <c r="Q27" s="1" t="str">
        <f t="shared" ca="1" si="4"/>
        <v/>
      </c>
      <c r="R27" s="1" t="str">
        <f t="shared" ca="1" si="4"/>
        <v/>
      </c>
      <c r="S27" s="1" t="str">
        <f t="shared" ca="1" si="3"/>
        <v/>
      </c>
      <c r="T27" s="1" t="str">
        <f t="shared" ca="1" si="3"/>
        <v/>
      </c>
      <c r="U27" s="1" t="str">
        <f t="shared" ca="1" si="3"/>
        <v/>
      </c>
      <c r="V27" s="1" t="str">
        <f t="shared" ca="1" si="3"/>
        <v/>
      </c>
      <c r="W27" s="1" t="str">
        <f t="shared" ca="1" si="3"/>
        <v/>
      </c>
      <c r="X27" s="1" t="str">
        <f t="shared" ca="1" si="3"/>
        <v/>
      </c>
      <c r="Y27" s="1" t="str">
        <f t="shared" ca="1" si="3"/>
        <v/>
      </c>
      <c r="Z27" s="1" t="str">
        <f t="shared" ca="1" si="3"/>
        <v/>
      </c>
    </row>
    <row r="28" spans="1:26" x14ac:dyDescent="0.25">
      <c r="A28" s="3" t="str">
        <f t="shared" si="2"/>
        <v/>
      </c>
      <c r="B28" t="str">
        <v/>
      </c>
      <c r="C28" s="1" t="str">
        <f t="shared" ca="1" si="4"/>
        <v/>
      </c>
      <c r="D28" s="1" t="str">
        <f t="shared" ca="1" si="4"/>
        <v/>
      </c>
      <c r="E28" s="1" t="str">
        <f t="shared" ca="1" si="4"/>
        <v/>
      </c>
      <c r="F28" s="1" t="str">
        <f t="shared" ca="1" si="4"/>
        <v/>
      </c>
      <c r="G28" s="1" t="str">
        <f t="shared" ca="1" si="4"/>
        <v/>
      </c>
      <c r="H28" s="1" t="str">
        <f t="shared" ca="1" si="4"/>
        <v/>
      </c>
      <c r="I28" s="1" t="str">
        <f t="shared" ca="1" si="4"/>
        <v/>
      </c>
      <c r="J28" s="1" t="str">
        <f t="shared" ca="1" si="4"/>
        <v/>
      </c>
      <c r="K28" s="1" t="str">
        <f t="shared" ca="1" si="4"/>
        <v/>
      </c>
      <c r="L28" s="1" t="str">
        <f t="shared" ca="1" si="4"/>
        <v/>
      </c>
      <c r="M28" s="1" t="str">
        <f t="shared" ca="1" si="4"/>
        <v/>
      </c>
      <c r="N28" s="1" t="str">
        <f t="shared" ca="1" si="4"/>
        <v/>
      </c>
      <c r="O28" s="1" t="str">
        <f t="shared" ca="1" si="4"/>
        <v/>
      </c>
      <c r="P28" s="1" t="str">
        <f t="shared" ca="1" si="4"/>
        <v/>
      </c>
      <c r="Q28" s="1" t="str">
        <f t="shared" ca="1" si="4"/>
        <v/>
      </c>
      <c r="R28" s="1" t="str">
        <f t="shared" ca="1" si="4"/>
        <v/>
      </c>
      <c r="S28" s="1" t="str">
        <f t="shared" ca="1" si="3"/>
        <v/>
      </c>
      <c r="T28" s="1" t="str">
        <f t="shared" ca="1" si="3"/>
        <v/>
      </c>
      <c r="U28" s="1" t="str">
        <f t="shared" ca="1" si="3"/>
        <v/>
      </c>
      <c r="V28" s="1" t="str">
        <f t="shared" ca="1" si="3"/>
        <v/>
      </c>
      <c r="W28" s="1" t="str">
        <f t="shared" ca="1" si="3"/>
        <v/>
      </c>
      <c r="X28" s="1" t="str">
        <f t="shared" ca="1" si="3"/>
        <v/>
      </c>
      <c r="Y28" s="1" t="str">
        <f t="shared" ca="1" si="3"/>
        <v/>
      </c>
      <c r="Z28" s="1" t="str">
        <f t="shared" ca="1" si="3"/>
        <v/>
      </c>
    </row>
  </sheetData>
  <mergeCells count="3">
    <mergeCell ref="F1:G1"/>
    <mergeCell ref="O1:P1"/>
    <mergeCell ref="AA1:AA16"/>
  </mergeCells>
  <conditionalFormatting sqref="C5:Z28">
    <cfRule type="cellIs" dxfId="6" priority="1" operator="equal">
      <formula>99</formula>
    </cfRule>
    <cfRule type="cellIs" dxfId="5" priority="2" operator="notBetween">
      <formula>-0.7</formula>
      <formula>0.7</formula>
    </cfRule>
    <cfRule type="cellIs" dxfId="4" priority="3" operator="equal">
      <formula>""</formula>
    </cfRule>
    <cfRule type="colorScale" priority="4">
      <colorScale>
        <cfvo type="num" val="-1"/>
        <cfvo type="num" val="0"/>
        <cfvo type="num" val="1"/>
        <color rgb="FFFF0000"/>
        <color theme="0"/>
        <color theme="9" tint="-0.249977111117893"/>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32D53-4E73-4928-9BE5-33176B8A818D}">
  <sheetPr>
    <tabColor rgb="FF92D050"/>
  </sheetPr>
  <dimension ref="A1:X71"/>
  <sheetViews>
    <sheetView zoomScaleNormal="100" workbookViewId="0"/>
  </sheetViews>
  <sheetFormatPr baseColWidth="10" defaultColWidth="0" defaultRowHeight="15" zeroHeight="1" x14ac:dyDescent="0.25"/>
  <cols>
    <col min="1" max="2" width="11.42578125" customWidth="1"/>
    <col min="3" max="4" width="2.42578125" customWidth="1"/>
    <col min="5" max="6" width="11.42578125" customWidth="1"/>
    <col min="7" max="7" width="12.7109375" bestFit="1" customWidth="1"/>
    <col min="8" max="22" width="11.42578125" customWidth="1"/>
    <col min="23" max="24" width="0" hidden="1" customWidth="1"/>
    <col min="25" max="16384" width="11.42578125" hidden="1"/>
  </cols>
  <sheetData>
    <row r="1" spans="1:18" x14ac:dyDescent="0.25">
      <c r="A1" t="s">
        <v>15</v>
      </c>
      <c r="B1" t="s">
        <v>42</v>
      </c>
      <c r="F1" t="s">
        <v>43</v>
      </c>
      <c r="G1">
        <f>AVERAGE(A2:A71)</f>
        <v>5.9889290109375004</v>
      </c>
    </row>
    <row r="2" spans="1:18" x14ac:dyDescent="0.25">
      <c r="A2" s="1">
        <f>IF(EXP_MATRIX!B2="","",EXP_MATRIX!B2)</f>
        <v>4.2919815187500001</v>
      </c>
      <c r="B2" s="1">
        <f>IF(A2="",NA(),A2)</f>
        <v>4.2919815187500001</v>
      </c>
      <c r="C2">
        <v>1</v>
      </c>
      <c r="D2">
        <v>1</v>
      </c>
      <c r="F2" t="s">
        <v>44</v>
      </c>
      <c r="G2">
        <f>STDEV(A2:A71)</f>
        <v>1.5763148892066643</v>
      </c>
    </row>
    <row r="3" spans="1:18" x14ac:dyDescent="0.25">
      <c r="A3" s="1">
        <f>IF(EXP_MATRIX!B3="","",EXP_MATRIX!B3)</f>
        <v>4.00793976875</v>
      </c>
      <c r="B3" s="1">
        <f t="shared" ref="B3:B66" si="0">IF(A3="",NA(),A3)</f>
        <v>4.00793976875</v>
      </c>
      <c r="C3">
        <v>1</v>
      </c>
      <c r="D3">
        <f>IF(A3="",NA(),D2+1)</f>
        <v>2</v>
      </c>
      <c r="F3" t="s">
        <v>45</v>
      </c>
      <c r="G3">
        <f>VAR(A2:A71)</f>
        <v>2.4847686299346181</v>
      </c>
    </row>
    <row r="4" spans="1:18" x14ac:dyDescent="0.25">
      <c r="A4" s="1">
        <f>IF(EXP_MATRIX!B4="","",EXP_MATRIX!B4)</f>
        <v>5.1804760187500003</v>
      </c>
      <c r="B4" s="1">
        <f t="shared" si="0"/>
        <v>5.1804760187500003</v>
      </c>
      <c r="C4">
        <v>1</v>
      </c>
      <c r="D4">
        <f t="shared" ref="D4:D67" si="1">IF(A4="",NA(),D3+1)</f>
        <v>3</v>
      </c>
    </row>
    <row r="5" spans="1:18" x14ac:dyDescent="0.25">
      <c r="A5" s="1">
        <f>IF(EXP_MATRIX!B5="","",EXP_MATRIX!B5)</f>
        <v>4.6917005187500003</v>
      </c>
      <c r="B5" s="1">
        <f t="shared" si="0"/>
        <v>4.6917005187500003</v>
      </c>
      <c r="C5">
        <v>1</v>
      </c>
      <c r="D5">
        <f t="shared" si="1"/>
        <v>4</v>
      </c>
      <c r="F5" t="s">
        <v>46</v>
      </c>
      <c r="G5">
        <f>_xlfn.QUARTILE.INC($A$2:$A$71,ROW()-ROW($F$5))</f>
        <v>3.8313652687499999</v>
      </c>
    </row>
    <row r="6" spans="1:18" x14ac:dyDescent="0.25">
      <c r="A6" s="1">
        <f>IF(EXP_MATRIX!B6="","",EXP_MATRIX!B6)</f>
        <v>8.5331880187499998</v>
      </c>
      <c r="B6" s="1">
        <f t="shared" si="0"/>
        <v>8.5331880187499998</v>
      </c>
      <c r="C6">
        <v>1</v>
      </c>
      <c r="D6">
        <f t="shared" si="1"/>
        <v>5</v>
      </c>
      <c r="F6" t="s">
        <v>47</v>
      </c>
      <c r="G6">
        <f t="shared" ref="G6:G9" si="2">_xlfn.QUARTILE.INC($A$2:$A$71,ROW()-ROW($F$5))</f>
        <v>4.6520353937500003</v>
      </c>
    </row>
    <row r="7" spans="1:18" x14ac:dyDescent="0.25">
      <c r="A7" s="1">
        <f>IF(EXP_MATRIX!B7="","",EXP_MATRIX!B7)</f>
        <v>4.3121690187499997</v>
      </c>
      <c r="B7" s="1">
        <f t="shared" si="0"/>
        <v>4.3121690187499997</v>
      </c>
      <c r="C7">
        <v>1</v>
      </c>
      <c r="D7">
        <f t="shared" si="1"/>
        <v>6</v>
      </c>
      <c r="F7" t="s">
        <v>48</v>
      </c>
      <c r="G7">
        <f t="shared" si="2"/>
        <v>5.70814776875</v>
      </c>
    </row>
    <row r="8" spans="1:18" x14ac:dyDescent="0.25">
      <c r="A8" s="1">
        <f>IF(EXP_MATRIX!B8="","",EXP_MATRIX!B8)</f>
        <v>8.3170460187500002</v>
      </c>
      <c r="B8" s="1">
        <f t="shared" si="0"/>
        <v>8.3170460187500002</v>
      </c>
      <c r="C8">
        <v>1</v>
      </c>
      <c r="D8">
        <f t="shared" si="1"/>
        <v>7</v>
      </c>
      <c r="F8" t="s">
        <v>49</v>
      </c>
      <c r="G8">
        <f t="shared" si="2"/>
        <v>7.2428746437499996</v>
      </c>
    </row>
    <row r="9" spans="1:18" x14ac:dyDescent="0.25">
      <c r="A9" s="1">
        <f>IF(EXP_MATRIX!B9="","",EXP_MATRIX!B9)</f>
        <v>4.2429670187499999</v>
      </c>
      <c r="B9" s="1">
        <f t="shared" si="0"/>
        <v>4.2429670187499999</v>
      </c>
      <c r="C9">
        <v>1</v>
      </c>
      <c r="D9">
        <f t="shared" si="1"/>
        <v>8</v>
      </c>
      <c r="F9" t="s">
        <v>50</v>
      </c>
      <c r="G9">
        <f t="shared" si="2"/>
        <v>8.9268260187500008</v>
      </c>
    </row>
    <row r="10" spans="1:18" x14ac:dyDescent="0.25">
      <c r="A10" s="1">
        <f>IF(EXP_MATRIX!B10="","",EXP_MATRIX!B10)</f>
        <v>4.7379400187499998</v>
      </c>
      <c r="B10" s="1">
        <f t="shared" si="0"/>
        <v>4.7379400187499998</v>
      </c>
      <c r="C10">
        <v>1</v>
      </c>
      <c r="D10">
        <f t="shared" si="1"/>
        <v>9</v>
      </c>
    </row>
    <row r="11" spans="1:18" x14ac:dyDescent="0.25">
      <c r="A11" s="1">
        <f>IF(EXP_MATRIX!B11="","",EXP_MATRIX!B11)</f>
        <v>3.8313652687499999</v>
      </c>
      <c r="B11" s="1">
        <f t="shared" si="0"/>
        <v>3.8313652687499999</v>
      </c>
      <c r="C11">
        <v>1</v>
      </c>
      <c r="D11">
        <f t="shared" si="1"/>
        <v>10</v>
      </c>
      <c r="F11" t="s">
        <v>51</v>
      </c>
      <c r="G11">
        <f>COUNT(A2:A71)</f>
        <v>32</v>
      </c>
    </row>
    <row r="12" spans="1:18" x14ac:dyDescent="0.25">
      <c r="A12" s="1">
        <f>IF(EXP_MATRIX!B12="","",EXP_MATRIX!B12)</f>
        <v>5.4280640187499998</v>
      </c>
      <c r="B12" s="1">
        <f t="shared" si="0"/>
        <v>5.4280640187499998</v>
      </c>
      <c r="C12">
        <v>1</v>
      </c>
      <c r="D12">
        <f t="shared" si="1"/>
        <v>11</v>
      </c>
    </row>
    <row r="13" spans="1:18" x14ac:dyDescent="0.25">
      <c r="A13" s="1">
        <f>IF(EXP_MATRIX!B13="","",EXP_MATRIX!B13)</f>
        <v>4.8226030187499997</v>
      </c>
      <c r="B13" s="1">
        <f t="shared" si="0"/>
        <v>4.8226030187499997</v>
      </c>
      <c r="C13">
        <v>1</v>
      </c>
      <c r="D13">
        <f t="shared" si="1"/>
        <v>12</v>
      </c>
      <c r="F13" t="s">
        <v>52</v>
      </c>
      <c r="G13">
        <f>INT(G5/10^INT(LOG10(G5)))*10^INT(LOG10(G5))</f>
        <v>3</v>
      </c>
    </row>
    <row r="14" spans="1:18" x14ac:dyDescent="0.25">
      <c r="A14" s="1">
        <f>IF(EXP_MATRIX!B14="","",EXP_MATRIX!B14)</f>
        <v>7.74115001875</v>
      </c>
      <c r="B14" s="1">
        <f t="shared" si="0"/>
        <v>7.74115001875</v>
      </c>
      <c r="C14">
        <v>1</v>
      </c>
      <c r="D14">
        <f t="shared" si="1"/>
        <v>13</v>
      </c>
      <c r="F14" t="s">
        <v>53</v>
      </c>
      <c r="G14">
        <f>ROUNDUP(G9/10^INT(LOG10(G5)),0)*10^INT(LOG10(G5))</f>
        <v>9</v>
      </c>
      <c r="Q14" t="s">
        <v>57</v>
      </c>
    </row>
    <row r="15" spans="1:18" x14ac:dyDescent="0.25">
      <c r="A15" s="1">
        <f>IF(EXP_MATRIX!B15="","",EXP_MATRIX!B15)</f>
        <v>5.2487835187499998</v>
      </c>
      <c r="B15" s="1">
        <f t="shared" si="0"/>
        <v>5.2487835187499998</v>
      </c>
      <c r="C15">
        <v>1</v>
      </c>
      <c r="D15">
        <f t="shared" si="1"/>
        <v>14</v>
      </c>
      <c r="F15" t="s">
        <v>55</v>
      </c>
      <c r="G15">
        <f>G14-G13</f>
        <v>6</v>
      </c>
      <c r="Q15">
        <v>1</v>
      </c>
      <c r="R15">
        <f>G7</f>
        <v>5.70814776875</v>
      </c>
    </row>
    <row r="16" spans="1:18" x14ac:dyDescent="0.25">
      <c r="A16" s="1">
        <f>IF(EXP_MATRIX!B16="","",EXP_MATRIX!B16)</f>
        <v>7.0982790187499996</v>
      </c>
      <c r="B16" s="1">
        <f t="shared" si="0"/>
        <v>7.0982790187499996</v>
      </c>
      <c r="C16">
        <v>1</v>
      </c>
      <c r="D16">
        <f t="shared" si="1"/>
        <v>15</v>
      </c>
      <c r="F16" t="s">
        <v>56</v>
      </c>
      <c r="G16">
        <f>G15/10</f>
        <v>0.6</v>
      </c>
      <c r="Q16">
        <f>G11</f>
        <v>32</v>
      </c>
      <c r="R16">
        <f>R15</f>
        <v>5.70814776875</v>
      </c>
    </row>
    <row r="17" spans="1:21" x14ac:dyDescent="0.25">
      <c r="A17" s="1">
        <f>IF(EXP_MATRIX!B17="","",EXP_MATRIX!B17)</f>
        <v>5.84936901875</v>
      </c>
      <c r="B17" s="1">
        <f t="shared" si="0"/>
        <v>5.84936901875</v>
      </c>
      <c r="C17">
        <v>1</v>
      </c>
      <c r="D17">
        <f t="shared" si="1"/>
        <v>16</v>
      </c>
    </row>
    <row r="18" spans="1:21" x14ac:dyDescent="0.25">
      <c r="A18" s="1">
        <f>IF(EXP_MATRIX!B18="","",EXP_MATRIX!B18)</f>
        <v>4.5330400187500004</v>
      </c>
      <c r="B18" s="1">
        <f t="shared" si="0"/>
        <v>4.5330400187500004</v>
      </c>
      <c r="C18">
        <v>1</v>
      </c>
      <c r="D18">
        <f t="shared" si="1"/>
        <v>17</v>
      </c>
    </row>
    <row r="19" spans="1:21" x14ac:dyDescent="0.25">
      <c r="A19" s="1">
        <f>IF(EXP_MATRIX!B19="","",EXP_MATRIX!B19)</f>
        <v>5.7342475187500002</v>
      </c>
      <c r="B19" s="1">
        <f t="shared" si="0"/>
        <v>5.7342475187500002</v>
      </c>
      <c r="C19">
        <v>1</v>
      </c>
      <c r="D19">
        <f t="shared" si="1"/>
        <v>18</v>
      </c>
      <c r="F19" t="s">
        <v>54</v>
      </c>
    </row>
    <row r="20" spans="1:21" x14ac:dyDescent="0.25">
      <c r="A20" s="1">
        <f>IF(EXP_MATRIX!B20="","",EXP_MATRIX!B20)</f>
        <v>5.8781730187500001</v>
      </c>
      <c r="B20" s="1">
        <f t="shared" si="0"/>
        <v>5.8781730187500001</v>
      </c>
      <c r="C20">
        <v>1</v>
      </c>
      <c r="D20">
        <f t="shared" si="1"/>
        <v>19</v>
      </c>
      <c r="F20">
        <f>G13</f>
        <v>3</v>
      </c>
      <c r="G20" t="str">
        <f xml:space="preserve"> "&lt;=" &amp;F20</f>
        <v>&lt;=3</v>
      </c>
      <c r="H20" cm="1">
        <f t="array" ref="H20:H31">FREQUENCY($A$2:$A$71,F20:F30)</f>
        <v>0</v>
      </c>
    </row>
    <row r="21" spans="1:21" x14ac:dyDescent="0.25">
      <c r="A21" s="1">
        <f>IF(EXP_MATRIX!B21="","",EXP_MATRIX!B21)</f>
        <v>5.2625435187500003</v>
      </c>
      <c r="B21" s="1">
        <f t="shared" si="0"/>
        <v>5.2625435187500003</v>
      </c>
      <c r="C21">
        <v>1</v>
      </c>
      <c r="D21">
        <f t="shared" si="1"/>
        <v>20</v>
      </c>
      <c r="F21">
        <f>F20+$G$16</f>
        <v>3.6</v>
      </c>
      <c r="G21" t="str">
        <f>"("&amp;F20&amp;";"&amp;F21&amp;"]"</f>
        <v>(3;3,6]</v>
      </c>
      <c r="H21">
        <v>0</v>
      </c>
    </row>
    <row r="22" spans="1:21" x14ac:dyDescent="0.25">
      <c r="A22" s="1">
        <f>IF(EXP_MATRIX!B22="","",EXP_MATRIX!B22)</f>
        <v>6.6597015187500004</v>
      </c>
      <c r="B22" s="1">
        <f t="shared" si="0"/>
        <v>6.6597015187500004</v>
      </c>
      <c r="C22">
        <v>1</v>
      </c>
      <c r="D22">
        <f t="shared" si="1"/>
        <v>21</v>
      </c>
      <c r="F22">
        <f t="shared" ref="F22:F29" si="3">F21+$G$16</f>
        <v>4.2</v>
      </c>
      <c r="G22" t="str">
        <f t="shared" ref="G22:G30" si="4">"("&amp;F21&amp;";"&amp;F22&amp;"]"</f>
        <v>(3,6;4,2]</v>
      </c>
      <c r="H22">
        <v>3</v>
      </c>
    </row>
    <row r="23" spans="1:21" x14ac:dyDescent="0.25">
      <c r="A23" s="1">
        <f>IF(EXP_MATRIX!B23="","",EXP_MATRIX!B23)</f>
        <v>8.10153251875</v>
      </c>
      <c r="B23" s="1">
        <f t="shared" si="0"/>
        <v>8.10153251875</v>
      </c>
      <c r="C23">
        <v>1</v>
      </c>
      <c r="D23">
        <f t="shared" si="1"/>
        <v>22</v>
      </c>
      <c r="F23">
        <f t="shared" si="3"/>
        <v>4.8</v>
      </c>
      <c r="G23" t="str">
        <f t="shared" si="4"/>
        <v>(4,2;4,8]</v>
      </c>
      <c r="H23">
        <v>7</v>
      </c>
    </row>
    <row r="24" spans="1:21" x14ac:dyDescent="0.25">
      <c r="A24" s="1">
        <f>IF(EXP_MATRIX!B24="","",EXP_MATRIX!B24)</f>
        <v>8.9268260187500008</v>
      </c>
      <c r="B24" s="1">
        <f t="shared" si="0"/>
        <v>8.9268260187500008</v>
      </c>
      <c r="C24">
        <v>1</v>
      </c>
      <c r="D24">
        <f t="shared" si="1"/>
        <v>23</v>
      </c>
      <c r="F24">
        <f t="shared" si="3"/>
        <v>5.3999999999999995</v>
      </c>
      <c r="G24" t="str">
        <f t="shared" si="4"/>
        <v>(4,8;5,4]</v>
      </c>
      <c r="H24">
        <v>4</v>
      </c>
    </row>
    <row r="25" spans="1:21" x14ac:dyDescent="0.25">
      <c r="A25" s="1">
        <f>IF(EXP_MATRIX!B25="","",EXP_MATRIX!B25)</f>
        <v>7.0592920187499999</v>
      </c>
      <c r="B25" s="1">
        <f t="shared" si="0"/>
        <v>7.0592920187499999</v>
      </c>
      <c r="C25">
        <v>1</v>
      </c>
      <c r="D25">
        <f t="shared" si="1"/>
        <v>24</v>
      </c>
      <c r="F25">
        <f t="shared" si="3"/>
        <v>5.9999999999999991</v>
      </c>
      <c r="G25" t="str">
        <f t="shared" si="4"/>
        <v>(5,4;6]</v>
      </c>
      <c r="H25">
        <v>6</v>
      </c>
    </row>
    <row r="26" spans="1:21" x14ac:dyDescent="0.25">
      <c r="A26" s="1">
        <f>IF(EXP_MATRIX!B26="","",EXP_MATRIX!B26)</f>
        <v>4.4412020187500003</v>
      </c>
      <c r="B26" s="1">
        <f t="shared" si="0"/>
        <v>4.4412020187500003</v>
      </c>
      <c r="C26">
        <v>1</v>
      </c>
      <c r="D26">
        <f t="shared" si="1"/>
        <v>25</v>
      </c>
      <c r="F26">
        <f t="shared" si="3"/>
        <v>6.5999999999999988</v>
      </c>
      <c r="G26" t="str">
        <f t="shared" si="4"/>
        <v>(6;6,6]</v>
      </c>
      <c r="H26">
        <v>0</v>
      </c>
      <c r="J26" s="20" t="s">
        <v>124</v>
      </c>
      <c r="K26" s="20"/>
      <c r="L26" s="20"/>
      <c r="M26" s="20"/>
      <c r="N26" s="20"/>
      <c r="O26" s="20"/>
      <c r="P26" s="20"/>
      <c r="Q26" s="20"/>
      <c r="R26" s="20"/>
      <c r="S26" s="20"/>
      <c r="T26" s="20"/>
      <c r="U26" s="20"/>
    </row>
    <row r="27" spans="1:21" x14ac:dyDescent="0.25">
      <c r="A27" s="1">
        <f>IF(EXP_MATRIX!B27="","",EXP_MATRIX!B27)</f>
        <v>4.1802867687500003</v>
      </c>
      <c r="B27" s="1">
        <f t="shared" si="0"/>
        <v>4.1802867687500003</v>
      </c>
      <c r="C27">
        <v>1</v>
      </c>
      <c r="D27">
        <f t="shared" si="1"/>
        <v>26</v>
      </c>
      <c r="F27">
        <f t="shared" si="3"/>
        <v>7.1999999999999984</v>
      </c>
      <c r="G27" t="str">
        <f t="shared" si="4"/>
        <v>(6,6;7,2]</v>
      </c>
      <c r="H27">
        <v>3</v>
      </c>
      <c r="J27" s="20"/>
      <c r="K27" s="20"/>
      <c r="L27" s="20"/>
      <c r="M27" s="20"/>
      <c r="N27" s="20"/>
      <c r="O27" s="20"/>
      <c r="P27" s="20"/>
      <c r="Q27" s="20"/>
      <c r="R27" s="20"/>
      <c r="S27" s="20"/>
      <c r="T27" s="20"/>
      <c r="U27" s="20"/>
    </row>
    <row r="28" spans="1:21" x14ac:dyDescent="0.25">
      <c r="A28" s="1">
        <f>IF(EXP_MATRIX!B28="","",EXP_MATRIX!B28)</f>
        <v>5.6820480187499998</v>
      </c>
      <c r="B28" s="1">
        <f t="shared" si="0"/>
        <v>5.6820480187499998</v>
      </c>
      <c r="C28">
        <v>1</v>
      </c>
      <c r="D28">
        <f t="shared" si="1"/>
        <v>27</v>
      </c>
      <c r="F28">
        <f t="shared" si="3"/>
        <v>7.799999999999998</v>
      </c>
      <c r="G28" t="str">
        <f t="shared" si="4"/>
        <v>(7,2;7,8]</v>
      </c>
      <c r="H28">
        <v>3</v>
      </c>
      <c r="J28" s="20"/>
      <c r="K28" s="20"/>
      <c r="L28" s="20"/>
      <c r="M28" s="20"/>
      <c r="N28" s="20"/>
      <c r="O28" s="20"/>
      <c r="P28" s="20"/>
      <c r="Q28" s="20"/>
      <c r="R28" s="20"/>
      <c r="S28" s="20"/>
      <c r="T28" s="20"/>
      <c r="U28" s="20"/>
    </row>
    <row r="29" spans="1:21" x14ac:dyDescent="0.25">
      <c r="A29" s="1">
        <f>IF(EXP_MATRIX!B29="","",EXP_MATRIX!B29)</f>
        <v>5.7801725187499997</v>
      </c>
      <c r="B29" s="1">
        <f t="shared" si="0"/>
        <v>5.7801725187499997</v>
      </c>
      <c r="C29">
        <v>1</v>
      </c>
      <c r="D29">
        <f t="shared" si="1"/>
        <v>28</v>
      </c>
      <c r="F29">
        <f t="shared" si="3"/>
        <v>8.3999999999999986</v>
      </c>
      <c r="G29" t="str">
        <f t="shared" si="4"/>
        <v>(7,8;8,4]</v>
      </c>
      <c r="H29">
        <v>3</v>
      </c>
      <c r="J29" s="20"/>
      <c r="K29" s="20"/>
      <c r="L29" s="20"/>
      <c r="M29" s="20"/>
      <c r="N29" s="20"/>
      <c r="O29" s="20"/>
      <c r="P29" s="20"/>
      <c r="Q29" s="20"/>
      <c r="R29" s="20"/>
      <c r="S29" s="20"/>
      <c r="T29" s="20"/>
      <c r="U29" s="20"/>
    </row>
    <row r="30" spans="1:21" x14ac:dyDescent="0.25">
      <c r="A30" s="1">
        <f>IF(EXP_MATRIX!B30="","",EXP_MATRIX!B30)</f>
        <v>8.7397320187500007</v>
      </c>
      <c r="B30" s="1">
        <f t="shared" si="0"/>
        <v>8.7397320187500007</v>
      </c>
      <c r="C30">
        <v>1</v>
      </c>
      <c r="D30">
        <f t="shared" si="1"/>
        <v>29</v>
      </c>
      <c r="F30">
        <f>F29+$G$16</f>
        <v>8.9999999999999982</v>
      </c>
      <c r="G30" t="str">
        <f t="shared" si="4"/>
        <v>(8,4;9]</v>
      </c>
      <c r="H30">
        <v>3</v>
      </c>
      <c r="J30" s="20"/>
      <c r="K30" s="20"/>
      <c r="L30" s="20"/>
      <c r="M30" s="20"/>
      <c r="N30" s="20"/>
      <c r="O30" s="20"/>
      <c r="P30" s="20"/>
      <c r="Q30" s="20"/>
      <c r="R30" s="20"/>
      <c r="S30" s="20"/>
      <c r="T30" s="20"/>
      <c r="U30" s="20"/>
    </row>
    <row r="31" spans="1:21" x14ac:dyDescent="0.25">
      <c r="A31" s="1">
        <f>IF(EXP_MATRIX!B31="","",EXP_MATRIX!B31)</f>
        <v>7.8388045187499999</v>
      </c>
      <c r="B31" s="1">
        <f t="shared" si="0"/>
        <v>7.8388045187499999</v>
      </c>
      <c r="C31">
        <v>1</v>
      </c>
      <c r="D31">
        <f t="shared" si="1"/>
        <v>30</v>
      </c>
      <c r="G31" t="str">
        <f>"&gt;" &amp; F30</f>
        <v>&gt;9</v>
      </c>
      <c r="H31">
        <v>0</v>
      </c>
      <c r="J31" s="20"/>
      <c r="K31" s="20"/>
      <c r="L31" s="20"/>
      <c r="M31" s="20"/>
      <c r="N31" s="20"/>
      <c r="O31" s="20"/>
      <c r="P31" s="20"/>
      <c r="Q31" s="20"/>
      <c r="R31" s="20"/>
      <c r="S31" s="20"/>
      <c r="T31" s="20"/>
      <c r="U31" s="20"/>
    </row>
    <row r="32" spans="1:21" x14ac:dyDescent="0.25">
      <c r="A32" s="1">
        <f>IF(EXP_MATRIX!B32="","",EXP_MATRIX!B32)</f>
        <v>7.2539075187500002</v>
      </c>
      <c r="B32" s="1">
        <f t="shared" si="0"/>
        <v>7.2539075187500002</v>
      </c>
      <c r="C32">
        <v>1</v>
      </c>
      <c r="D32">
        <f t="shared" si="1"/>
        <v>31</v>
      </c>
    </row>
    <row r="33" spans="1:4" x14ac:dyDescent="0.25">
      <c r="A33" s="1">
        <f>IF(EXP_MATRIX!B33="","",EXP_MATRIX!B33)</f>
        <v>7.2391970187499997</v>
      </c>
      <c r="B33" s="1">
        <f t="shared" si="0"/>
        <v>7.2391970187499997</v>
      </c>
      <c r="C33">
        <v>1</v>
      </c>
      <c r="D33">
        <f t="shared" si="1"/>
        <v>32</v>
      </c>
    </row>
    <row r="34" spans="1:4" x14ac:dyDescent="0.25">
      <c r="A34" s="1" t="str">
        <f>IF(EXP_MATRIX!B34="","",EXP_MATRIX!B34)</f>
        <v/>
      </c>
      <c r="B34" s="1" t="e">
        <f t="shared" si="0"/>
        <v>#N/A</v>
      </c>
      <c r="C34">
        <v>1</v>
      </c>
      <c r="D34" t="e">
        <f t="shared" si="1"/>
        <v>#N/A</v>
      </c>
    </row>
    <row r="35" spans="1:4" x14ac:dyDescent="0.25">
      <c r="A35" s="1" t="str">
        <f>IF(EXP_MATRIX!B35="","",EXP_MATRIX!B35)</f>
        <v/>
      </c>
      <c r="B35" s="1" t="e">
        <f t="shared" si="0"/>
        <v>#N/A</v>
      </c>
      <c r="C35">
        <v>1</v>
      </c>
      <c r="D35" t="e">
        <f t="shared" si="1"/>
        <v>#N/A</v>
      </c>
    </row>
    <row r="36" spans="1:4" x14ac:dyDescent="0.25">
      <c r="A36" s="1" t="str">
        <f>IF(EXP_MATRIX!B36="","",EXP_MATRIX!B36)</f>
        <v/>
      </c>
      <c r="B36" s="1" t="e">
        <f t="shared" si="0"/>
        <v>#N/A</v>
      </c>
      <c r="C36">
        <v>1</v>
      </c>
      <c r="D36" t="e">
        <f t="shared" si="1"/>
        <v>#N/A</v>
      </c>
    </row>
    <row r="37" spans="1:4" x14ac:dyDescent="0.25">
      <c r="A37" s="1" t="str">
        <f>IF(EXP_MATRIX!B37="","",EXP_MATRIX!B37)</f>
        <v/>
      </c>
      <c r="B37" s="1" t="e">
        <f t="shared" si="0"/>
        <v>#N/A</v>
      </c>
      <c r="C37">
        <v>1</v>
      </c>
      <c r="D37" t="e">
        <f t="shared" si="1"/>
        <v>#N/A</v>
      </c>
    </row>
    <row r="38" spans="1:4" x14ac:dyDescent="0.25">
      <c r="A38" s="1" t="str">
        <f>IF(EXP_MATRIX!B38="","",EXP_MATRIX!B38)</f>
        <v/>
      </c>
      <c r="B38" s="1" t="e">
        <f t="shared" si="0"/>
        <v>#N/A</v>
      </c>
      <c r="C38">
        <v>1</v>
      </c>
      <c r="D38" t="e">
        <f t="shared" si="1"/>
        <v>#N/A</v>
      </c>
    </row>
    <row r="39" spans="1:4" x14ac:dyDescent="0.25">
      <c r="A39" s="1" t="str">
        <f>IF(EXP_MATRIX!B39="","",EXP_MATRIX!B39)</f>
        <v/>
      </c>
      <c r="B39" s="1" t="e">
        <f t="shared" si="0"/>
        <v>#N/A</v>
      </c>
      <c r="C39">
        <v>1</v>
      </c>
      <c r="D39" t="e">
        <f t="shared" si="1"/>
        <v>#N/A</v>
      </c>
    </row>
    <row r="40" spans="1:4" x14ac:dyDescent="0.25">
      <c r="A40" s="1" t="str">
        <f>IF(EXP_MATRIX!B40="","",EXP_MATRIX!B40)</f>
        <v/>
      </c>
      <c r="B40" s="1" t="e">
        <f t="shared" si="0"/>
        <v>#N/A</v>
      </c>
      <c r="C40">
        <v>1</v>
      </c>
      <c r="D40" t="e">
        <f t="shared" si="1"/>
        <v>#N/A</v>
      </c>
    </row>
    <row r="41" spans="1:4" x14ac:dyDescent="0.25">
      <c r="A41" s="1" t="str">
        <f>IF(EXP_MATRIX!B41="","",EXP_MATRIX!B41)</f>
        <v/>
      </c>
      <c r="B41" s="1" t="e">
        <f t="shared" si="0"/>
        <v>#N/A</v>
      </c>
      <c r="C41">
        <v>1</v>
      </c>
      <c r="D41" t="e">
        <f t="shared" si="1"/>
        <v>#N/A</v>
      </c>
    </row>
    <row r="42" spans="1:4" x14ac:dyDescent="0.25">
      <c r="A42" s="1" t="str">
        <f>IF(EXP_MATRIX!B42="","",EXP_MATRIX!B42)</f>
        <v/>
      </c>
      <c r="B42" s="1" t="e">
        <f t="shared" si="0"/>
        <v>#N/A</v>
      </c>
      <c r="C42">
        <v>1</v>
      </c>
      <c r="D42" t="e">
        <f t="shared" si="1"/>
        <v>#N/A</v>
      </c>
    </row>
    <row r="43" spans="1:4" x14ac:dyDescent="0.25">
      <c r="A43" s="1" t="str">
        <f>IF(EXP_MATRIX!B43="","",EXP_MATRIX!B43)</f>
        <v/>
      </c>
      <c r="B43" s="1" t="e">
        <f t="shared" si="0"/>
        <v>#N/A</v>
      </c>
      <c r="C43">
        <v>1</v>
      </c>
      <c r="D43" t="e">
        <f t="shared" si="1"/>
        <v>#N/A</v>
      </c>
    </row>
    <row r="44" spans="1:4" x14ac:dyDescent="0.25">
      <c r="A44" s="1" t="str">
        <f>IF(EXP_MATRIX!B44="","",EXP_MATRIX!B44)</f>
        <v/>
      </c>
      <c r="B44" s="1" t="e">
        <f t="shared" si="0"/>
        <v>#N/A</v>
      </c>
      <c r="C44">
        <v>1</v>
      </c>
      <c r="D44" t="e">
        <f t="shared" si="1"/>
        <v>#N/A</v>
      </c>
    </row>
    <row r="45" spans="1:4" x14ac:dyDescent="0.25">
      <c r="A45" s="1" t="str">
        <f>IF(EXP_MATRIX!B45="","",EXP_MATRIX!B45)</f>
        <v/>
      </c>
      <c r="B45" s="1" t="e">
        <f t="shared" si="0"/>
        <v>#N/A</v>
      </c>
      <c r="C45">
        <v>1</v>
      </c>
      <c r="D45" t="e">
        <f t="shared" si="1"/>
        <v>#N/A</v>
      </c>
    </row>
    <row r="46" spans="1:4" x14ac:dyDescent="0.25">
      <c r="A46" s="1" t="str">
        <f>IF(EXP_MATRIX!B46="","",EXP_MATRIX!B46)</f>
        <v/>
      </c>
      <c r="B46" s="1" t="e">
        <f t="shared" si="0"/>
        <v>#N/A</v>
      </c>
      <c r="C46">
        <v>1</v>
      </c>
      <c r="D46" t="e">
        <f t="shared" si="1"/>
        <v>#N/A</v>
      </c>
    </row>
    <row r="47" spans="1:4" x14ac:dyDescent="0.25">
      <c r="A47" s="1" t="str">
        <f>IF(EXP_MATRIX!B47="","",EXP_MATRIX!B47)</f>
        <v/>
      </c>
      <c r="B47" s="1" t="e">
        <f t="shared" si="0"/>
        <v>#N/A</v>
      </c>
      <c r="C47">
        <v>1</v>
      </c>
      <c r="D47" t="e">
        <f t="shared" si="1"/>
        <v>#N/A</v>
      </c>
    </row>
    <row r="48" spans="1:4" x14ac:dyDescent="0.25">
      <c r="A48" s="1" t="str">
        <f>IF(EXP_MATRIX!B48="","",EXP_MATRIX!B48)</f>
        <v/>
      </c>
      <c r="B48" s="1" t="e">
        <f t="shared" si="0"/>
        <v>#N/A</v>
      </c>
      <c r="C48">
        <v>1</v>
      </c>
      <c r="D48" t="e">
        <f t="shared" si="1"/>
        <v>#N/A</v>
      </c>
    </row>
    <row r="49" spans="1:4" x14ac:dyDescent="0.25">
      <c r="A49" s="1" t="str">
        <f>IF(EXP_MATRIX!B49="","",EXP_MATRIX!B49)</f>
        <v/>
      </c>
      <c r="B49" s="1" t="e">
        <f t="shared" si="0"/>
        <v>#N/A</v>
      </c>
      <c r="C49">
        <v>1</v>
      </c>
      <c r="D49" t="e">
        <f t="shared" si="1"/>
        <v>#N/A</v>
      </c>
    </row>
    <row r="50" spans="1:4" x14ac:dyDescent="0.25">
      <c r="A50" s="1" t="str">
        <f>IF(EXP_MATRIX!B50="","",EXP_MATRIX!B50)</f>
        <v/>
      </c>
      <c r="B50" s="1" t="e">
        <f t="shared" si="0"/>
        <v>#N/A</v>
      </c>
      <c r="C50">
        <v>1</v>
      </c>
      <c r="D50" t="e">
        <f t="shared" si="1"/>
        <v>#N/A</v>
      </c>
    </row>
    <row r="51" spans="1:4" x14ac:dyDescent="0.25">
      <c r="A51" s="1" t="str">
        <f>IF(EXP_MATRIX!B51="","",EXP_MATRIX!B51)</f>
        <v/>
      </c>
      <c r="B51" s="1" t="e">
        <f t="shared" si="0"/>
        <v>#N/A</v>
      </c>
      <c r="C51">
        <v>1</v>
      </c>
      <c r="D51" t="e">
        <f t="shared" si="1"/>
        <v>#N/A</v>
      </c>
    </row>
    <row r="52" spans="1:4" x14ac:dyDescent="0.25">
      <c r="A52" s="1" t="str">
        <f>IF(EXP_MATRIX!B52="","",EXP_MATRIX!B52)</f>
        <v/>
      </c>
      <c r="B52" s="1" t="e">
        <f t="shared" si="0"/>
        <v>#N/A</v>
      </c>
      <c r="C52">
        <v>1</v>
      </c>
      <c r="D52" t="e">
        <f t="shared" si="1"/>
        <v>#N/A</v>
      </c>
    </row>
    <row r="53" spans="1:4" x14ac:dyDescent="0.25">
      <c r="A53" s="1" t="str">
        <f>IF(EXP_MATRIX!B53="","",EXP_MATRIX!B53)</f>
        <v/>
      </c>
      <c r="B53" s="1" t="e">
        <f t="shared" si="0"/>
        <v>#N/A</v>
      </c>
      <c r="C53">
        <v>1</v>
      </c>
      <c r="D53" t="e">
        <f t="shared" si="1"/>
        <v>#N/A</v>
      </c>
    </row>
    <row r="54" spans="1:4" x14ac:dyDescent="0.25">
      <c r="A54" s="1" t="str">
        <f>IF(EXP_MATRIX!B54="","",EXP_MATRIX!B54)</f>
        <v/>
      </c>
      <c r="B54" s="1" t="e">
        <f t="shared" si="0"/>
        <v>#N/A</v>
      </c>
      <c r="C54">
        <v>1</v>
      </c>
      <c r="D54" t="e">
        <f t="shared" si="1"/>
        <v>#N/A</v>
      </c>
    </row>
    <row r="55" spans="1:4" x14ac:dyDescent="0.25">
      <c r="A55" s="1" t="str">
        <f>IF(EXP_MATRIX!B55="","",EXP_MATRIX!B55)</f>
        <v/>
      </c>
      <c r="B55" s="1" t="e">
        <f t="shared" si="0"/>
        <v>#N/A</v>
      </c>
      <c r="C55">
        <v>1</v>
      </c>
      <c r="D55" t="e">
        <f t="shared" si="1"/>
        <v>#N/A</v>
      </c>
    </row>
    <row r="56" spans="1:4" x14ac:dyDescent="0.25">
      <c r="A56" s="1" t="str">
        <f>IF(EXP_MATRIX!B56="","",EXP_MATRIX!B56)</f>
        <v/>
      </c>
      <c r="B56" s="1" t="e">
        <f t="shared" si="0"/>
        <v>#N/A</v>
      </c>
      <c r="C56">
        <v>1</v>
      </c>
      <c r="D56" t="e">
        <f t="shared" si="1"/>
        <v>#N/A</v>
      </c>
    </row>
    <row r="57" spans="1:4" x14ac:dyDescent="0.25">
      <c r="A57" s="1" t="str">
        <f>IF(EXP_MATRIX!B57="","",EXP_MATRIX!B57)</f>
        <v/>
      </c>
      <c r="B57" s="1" t="e">
        <f t="shared" si="0"/>
        <v>#N/A</v>
      </c>
      <c r="C57">
        <v>1</v>
      </c>
      <c r="D57" t="e">
        <f t="shared" si="1"/>
        <v>#N/A</v>
      </c>
    </row>
    <row r="58" spans="1:4" x14ac:dyDescent="0.25">
      <c r="A58" s="1" t="str">
        <f>IF(EXP_MATRIX!B58="","",EXP_MATRIX!B58)</f>
        <v/>
      </c>
      <c r="B58" s="1" t="e">
        <f t="shared" si="0"/>
        <v>#N/A</v>
      </c>
      <c r="C58">
        <v>1</v>
      </c>
      <c r="D58" t="e">
        <f t="shared" si="1"/>
        <v>#N/A</v>
      </c>
    </row>
    <row r="59" spans="1:4" x14ac:dyDescent="0.25">
      <c r="A59" s="1" t="str">
        <f>IF(EXP_MATRIX!B59="","",EXP_MATRIX!B59)</f>
        <v/>
      </c>
      <c r="B59" s="1" t="e">
        <f t="shared" si="0"/>
        <v>#N/A</v>
      </c>
      <c r="C59">
        <v>1</v>
      </c>
      <c r="D59" t="e">
        <f t="shared" si="1"/>
        <v>#N/A</v>
      </c>
    </row>
    <row r="60" spans="1:4" x14ac:dyDescent="0.25">
      <c r="A60" s="1" t="str">
        <f>IF(EXP_MATRIX!B60="","",EXP_MATRIX!B60)</f>
        <v/>
      </c>
      <c r="B60" s="1" t="e">
        <f t="shared" si="0"/>
        <v>#N/A</v>
      </c>
      <c r="C60">
        <v>1</v>
      </c>
      <c r="D60" t="e">
        <f t="shared" si="1"/>
        <v>#N/A</v>
      </c>
    </row>
    <row r="61" spans="1:4" x14ac:dyDescent="0.25">
      <c r="A61" s="1" t="str">
        <f>IF(EXP_MATRIX!B61="","",EXP_MATRIX!B61)</f>
        <v/>
      </c>
      <c r="B61" s="1" t="e">
        <f t="shared" si="0"/>
        <v>#N/A</v>
      </c>
      <c r="C61">
        <v>1</v>
      </c>
      <c r="D61" t="e">
        <f t="shared" si="1"/>
        <v>#N/A</v>
      </c>
    </row>
    <row r="62" spans="1:4" x14ac:dyDescent="0.25">
      <c r="A62" s="1" t="str">
        <f>IF(EXP_MATRIX!B62="","",EXP_MATRIX!B62)</f>
        <v/>
      </c>
      <c r="B62" s="1" t="e">
        <f t="shared" si="0"/>
        <v>#N/A</v>
      </c>
      <c r="C62">
        <v>1</v>
      </c>
      <c r="D62" t="e">
        <f t="shared" si="1"/>
        <v>#N/A</v>
      </c>
    </row>
    <row r="63" spans="1:4" x14ac:dyDescent="0.25">
      <c r="A63" s="1" t="str">
        <f>IF(EXP_MATRIX!B63="","",EXP_MATRIX!B63)</f>
        <v/>
      </c>
      <c r="B63" s="1" t="e">
        <f t="shared" si="0"/>
        <v>#N/A</v>
      </c>
      <c r="C63">
        <v>1</v>
      </c>
      <c r="D63" t="e">
        <f t="shared" si="1"/>
        <v>#N/A</v>
      </c>
    </row>
    <row r="64" spans="1:4" x14ac:dyDescent="0.25">
      <c r="A64" s="1" t="str">
        <f>IF(EXP_MATRIX!B64="","",EXP_MATRIX!B64)</f>
        <v/>
      </c>
      <c r="B64" s="1" t="e">
        <f t="shared" si="0"/>
        <v>#N/A</v>
      </c>
      <c r="C64">
        <v>1</v>
      </c>
      <c r="D64" t="e">
        <f t="shared" si="1"/>
        <v>#N/A</v>
      </c>
    </row>
    <row r="65" spans="1:4" x14ac:dyDescent="0.25">
      <c r="A65" s="1" t="str">
        <f>IF(EXP_MATRIX!B65="","",EXP_MATRIX!B65)</f>
        <v/>
      </c>
      <c r="B65" s="1" t="e">
        <f t="shared" si="0"/>
        <v>#N/A</v>
      </c>
      <c r="C65">
        <v>1</v>
      </c>
      <c r="D65" t="e">
        <f t="shared" si="1"/>
        <v>#N/A</v>
      </c>
    </row>
    <row r="66" spans="1:4" x14ac:dyDescent="0.25">
      <c r="A66" s="1" t="str">
        <f>IF(EXP_MATRIX!B66="","",EXP_MATRIX!B66)</f>
        <v/>
      </c>
      <c r="B66" s="1" t="e">
        <f t="shared" si="0"/>
        <v>#N/A</v>
      </c>
      <c r="C66">
        <v>1</v>
      </c>
      <c r="D66" t="e">
        <f t="shared" si="1"/>
        <v>#N/A</v>
      </c>
    </row>
    <row r="67" spans="1:4" x14ac:dyDescent="0.25">
      <c r="A67" s="1" t="str">
        <f>IF(EXP_MATRIX!B67="","",EXP_MATRIX!B67)</f>
        <v/>
      </c>
      <c r="B67" s="1" t="e">
        <f t="shared" ref="B67:B71" si="5">IF(A67="",NA(),A67)</f>
        <v>#N/A</v>
      </c>
      <c r="C67">
        <v>1</v>
      </c>
      <c r="D67" t="e">
        <f t="shared" si="1"/>
        <v>#N/A</v>
      </c>
    </row>
    <row r="68" spans="1:4" x14ac:dyDescent="0.25">
      <c r="A68" s="1" t="str">
        <f>IF(EXP_MATRIX!B68="","",EXP_MATRIX!B68)</f>
        <v/>
      </c>
      <c r="B68" s="1" t="e">
        <f t="shared" si="5"/>
        <v>#N/A</v>
      </c>
      <c r="C68">
        <v>1</v>
      </c>
      <c r="D68" t="e">
        <f t="shared" ref="D68:D71" si="6">IF(A68="",NA(),D67+1)</f>
        <v>#N/A</v>
      </c>
    </row>
    <row r="69" spans="1:4" x14ac:dyDescent="0.25">
      <c r="A69" s="1" t="str">
        <f>IF(EXP_MATRIX!B69="","",EXP_MATRIX!B69)</f>
        <v/>
      </c>
      <c r="B69" s="1" t="e">
        <f t="shared" si="5"/>
        <v>#N/A</v>
      </c>
      <c r="C69">
        <v>1</v>
      </c>
      <c r="D69" t="e">
        <f t="shared" si="6"/>
        <v>#N/A</v>
      </c>
    </row>
    <row r="70" spans="1:4" x14ac:dyDescent="0.25">
      <c r="A70" s="1" t="str">
        <f>IF(EXP_MATRIX!B70="","",EXP_MATRIX!B70)</f>
        <v/>
      </c>
      <c r="B70" s="1" t="e">
        <f t="shared" si="5"/>
        <v>#N/A</v>
      </c>
      <c r="C70">
        <v>1</v>
      </c>
      <c r="D70" t="e">
        <f t="shared" si="6"/>
        <v>#N/A</v>
      </c>
    </row>
    <row r="71" spans="1:4" x14ac:dyDescent="0.25">
      <c r="A71" s="1" t="str">
        <f>IF(EXP_MATRIX!B71="","",EXP_MATRIX!B71)</f>
        <v/>
      </c>
      <c r="B71" s="1" t="e">
        <f t="shared" si="5"/>
        <v>#N/A</v>
      </c>
      <c r="C71">
        <v>1</v>
      </c>
      <c r="D71" t="e">
        <f t="shared" si="6"/>
        <v>#N/A</v>
      </c>
    </row>
  </sheetData>
  <mergeCells count="1">
    <mergeCell ref="J26:U3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D42C8-245F-42F8-834D-C4C6519C4651}">
  <sheetPr codeName="Hoja8">
    <tabColor rgb="FF92D050"/>
  </sheetPr>
  <dimension ref="A1:AB29"/>
  <sheetViews>
    <sheetView zoomScaleNormal="100" workbookViewId="0"/>
  </sheetViews>
  <sheetFormatPr baseColWidth="10" defaultColWidth="0" defaultRowHeight="15" zeroHeight="1" x14ac:dyDescent="0.25"/>
  <cols>
    <col min="1" max="1" width="2.28515625" customWidth="1"/>
    <col min="2" max="2" width="5.42578125" customWidth="1"/>
    <col min="3" max="27" width="5.28515625" customWidth="1"/>
    <col min="28" max="28" width="41.140625" customWidth="1"/>
    <col min="29" max="16384" width="11.42578125" hidden="1"/>
  </cols>
  <sheetData>
    <row r="1" spans="1:28" x14ac:dyDescent="0.25">
      <c r="C1" t="s">
        <v>29</v>
      </c>
      <c r="F1" s="25">
        <f ca="1">MAX(0,MDETERM(OFFSET(C5,0,0,COUNT(C5:AA5),COUNT(C5:AA5))))</f>
        <v>1</v>
      </c>
      <c r="G1" s="25"/>
      <c r="K1" t="s">
        <v>30</v>
      </c>
      <c r="O1" s="25">
        <f ca="1">1-F1</f>
        <v>0</v>
      </c>
      <c r="P1" s="25"/>
      <c r="AB1" s="20" t="s">
        <v>171</v>
      </c>
    </row>
    <row r="2" spans="1:28" x14ac:dyDescent="0.25">
      <c r="C2" t="s">
        <v>120</v>
      </c>
      <c r="AB2" s="21"/>
    </row>
    <row r="3" spans="1:28" x14ac:dyDescent="0.25">
      <c r="C3" s="3" t="str">
        <f>IF(C4="","",ADDRESS(2,COLUMN(),,,"MODEL_MATRIX")&amp;":"&amp;ADDRESS(71,COLUMN()))</f>
        <v>MODEL_MATRIX!$C$2:$C$71</v>
      </c>
      <c r="D3" s="3" t="str">
        <f t="shared" ref="D3:AA3" si="0">IF(D4="","",ADDRESS(2,COLUMN(),,,"MODEL_MATRIX")&amp;":"&amp;ADDRESS(71,COLUMN()))</f>
        <v>MODEL_MATRIX!$D$2:$D$71</v>
      </c>
      <c r="E3" s="3" t="str">
        <f t="shared" si="0"/>
        <v>MODEL_MATRIX!$E$2:$E$71</v>
      </c>
      <c r="F3" s="3" t="str">
        <f t="shared" si="0"/>
        <v>MODEL_MATRIX!$F$2:$F$71</v>
      </c>
      <c r="G3" s="3" t="str">
        <f t="shared" si="0"/>
        <v>MODEL_MATRIX!$G$2:$G$71</v>
      </c>
      <c r="H3" s="3" t="str">
        <f t="shared" si="0"/>
        <v/>
      </c>
      <c r="I3" s="3" t="str">
        <f t="shared" si="0"/>
        <v/>
      </c>
      <c r="J3" s="3" t="str">
        <f t="shared" si="0"/>
        <v/>
      </c>
      <c r="K3" s="3" t="str">
        <f t="shared" si="0"/>
        <v/>
      </c>
      <c r="L3" s="3" t="str">
        <f t="shared" si="0"/>
        <v/>
      </c>
      <c r="M3" s="3" t="str">
        <f t="shared" si="0"/>
        <v/>
      </c>
      <c r="N3" s="3" t="str">
        <f t="shared" si="0"/>
        <v/>
      </c>
      <c r="O3" s="3" t="str">
        <f t="shared" si="0"/>
        <v/>
      </c>
      <c r="P3" s="3" t="str">
        <f t="shared" si="0"/>
        <v/>
      </c>
      <c r="Q3" s="3" t="str">
        <f t="shared" si="0"/>
        <v/>
      </c>
      <c r="R3" s="3" t="str">
        <f t="shared" si="0"/>
        <v/>
      </c>
      <c r="S3" s="3" t="str">
        <f t="shared" si="0"/>
        <v/>
      </c>
      <c r="T3" s="3" t="str">
        <f t="shared" si="0"/>
        <v/>
      </c>
      <c r="U3" s="3" t="str">
        <f t="shared" si="0"/>
        <v/>
      </c>
      <c r="V3" s="3" t="str">
        <f t="shared" si="0"/>
        <v/>
      </c>
      <c r="W3" s="3" t="str">
        <f t="shared" si="0"/>
        <v/>
      </c>
      <c r="X3" s="3" t="str">
        <f t="shared" si="0"/>
        <v/>
      </c>
      <c r="Y3" s="3" t="str">
        <f t="shared" si="0"/>
        <v/>
      </c>
      <c r="Z3" s="3" t="str">
        <f t="shared" si="0"/>
        <v/>
      </c>
      <c r="AA3" s="3" t="str">
        <f t="shared" si="0"/>
        <v/>
      </c>
      <c r="AB3" s="21"/>
    </row>
    <row r="4" spans="1:28" x14ac:dyDescent="0.25">
      <c r="C4" t="str">
        <f>IF(MODEL_MATRIX!C1="","",MODEL_MATRIX!C1)</f>
        <v>A</v>
      </c>
      <c r="D4" t="str">
        <f>IF(MODEL_MATRIX!D1="","",MODEL_MATRIX!D1)</f>
        <v>C</v>
      </c>
      <c r="E4" t="str">
        <f>IF(MODEL_MATRIX!E1="","",MODEL_MATRIX!E1)</f>
        <v>E</v>
      </c>
      <c r="F4" t="str">
        <f>IF(MODEL_MATRIX!F1="","",MODEL_MATRIX!F1)</f>
        <v>AC</v>
      </c>
      <c r="G4" t="str">
        <f>IF(MODEL_MATRIX!G1="","",MODEL_MATRIX!G1)</f>
        <v>AE</v>
      </c>
      <c r="H4" t="str">
        <f>IF(MODEL_MATRIX!H1="","",MODEL_MATRIX!H1)</f>
        <v/>
      </c>
      <c r="I4" t="str">
        <f>IF(MODEL_MATRIX!I1="","",MODEL_MATRIX!I1)</f>
        <v/>
      </c>
      <c r="J4" t="str">
        <f>IF(MODEL_MATRIX!J1="","",MODEL_MATRIX!J1)</f>
        <v/>
      </c>
      <c r="K4" t="str">
        <f>IF(MODEL_MATRIX!K1="","",MODEL_MATRIX!K1)</f>
        <v/>
      </c>
      <c r="L4" t="str">
        <f>IF(MODEL_MATRIX!L1="","",MODEL_MATRIX!L1)</f>
        <v/>
      </c>
      <c r="M4" t="str">
        <f>IF(MODEL_MATRIX!M1="","",MODEL_MATRIX!M1)</f>
        <v/>
      </c>
      <c r="N4" t="str">
        <f>IF(MODEL_MATRIX!N1="","",MODEL_MATRIX!N1)</f>
        <v/>
      </c>
      <c r="O4" t="str">
        <f>IF(MODEL_MATRIX!O1="","",MODEL_MATRIX!O1)</f>
        <v/>
      </c>
      <c r="P4" t="str">
        <f>IF(MODEL_MATRIX!P1="","",MODEL_MATRIX!P1)</f>
        <v/>
      </c>
      <c r="Q4" t="str">
        <f>IF(MODEL_MATRIX!Q1="","",MODEL_MATRIX!Q1)</f>
        <v/>
      </c>
      <c r="R4" t="str">
        <f>IF(MODEL_MATRIX!R1="","",MODEL_MATRIX!R1)</f>
        <v/>
      </c>
      <c r="S4" t="str">
        <f>IF(MODEL_MATRIX!S1="","",MODEL_MATRIX!S1)</f>
        <v/>
      </c>
      <c r="T4" t="str">
        <f>IF(MODEL_MATRIX!T1="","",MODEL_MATRIX!T1)</f>
        <v/>
      </c>
      <c r="U4" t="str">
        <f>IF(MODEL_MATRIX!U1="","",MODEL_MATRIX!U1)</f>
        <v/>
      </c>
      <c r="V4" t="str">
        <f>IF(MODEL_MATRIX!V1="","",MODEL_MATRIX!V1)</f>
        <v/>
      </c>
      <c r="W4" t="str">
        <f>IF(MODEL_MATRIX!W1="","",MODEL_MATRIX!W1)</f>
        <v/>
      </c>
      <c r="X4" t="str">
        <f>IF(MODEL_MATRIX!X1="","",MODEL_MATRIX!X1)</f>
        <v/>
      </c>
      <c r="Y4" t="str">
        <f>IF(MODEL_MATRIX!Y1="","",MODEL_MATRIX!Y1)</f>
        <v/>
      </c>
      <c r="Z4" t="str">
        <f>IF(MODEL_MATRIX!Z1="","",MODEL_MATRIX!Z1)</f>
        <v/>
      </c>
      <c r="AA4" t="str">
        <f>IF(MODEL_MATRIX!AA1="","",MODEL_MATRIX!AA1)</f>
        <v/>
      </c>
      <c r="AB4" s="21"/>
    </row>
    <row r="5" spans="1:28" x14ac:dyDescent="0.25">
      <c r="A5" s="3" t="str">
        <f>IF(B5="","",ADDRESS(2,ROW()-2,,,"MODEL_MATRIX")&amp;":"&amp;ADDRESS(71,ROW()-2))</f>
        <v>MODEL_MATRIX!$C$2:$C$71</v>
      </c>
      <c r="B5" t="str" cm="1">
        <f t="array" ref="B5:B29">TRANSPOSE(C4:AA4)</f>
        <v>A</v>
      </c>
      <c r="C5" s="1">
        <f t="shared" ref="C5:AA14" ca="1" si="1">IFERROR(CORREL(INDIRECT($A5),INDIRECT(C$3)),IF(AND(C$4&lt;&gt;"",$B5&lt;&gt;""),99,""))</f>
        <v>1</v>
      </c>
      <c r="D5" s="1">
        <f t="shared" ca="1" si="1"/>
        <v>0</v>
      </c>
      <c r="E5" s="1">
        <f t="shared" ca="1" si="1"/>
        <v>0</v>
      </c>
      <c r="F5" s="1">
        <f t="shared" ca="1" si="1"/>
        <v>0</v>
      </c>
      <c r="G5" s="1">
        <f t="shared" ca="1" si="1"/>
        <v>0</v>
      </c>
      <c r="H5" s="1" t="str">
        <f t="shared" ca="1" si="1"/>
        <v/>
      </c>
      <c r="I5" s="1" t="str">
        <f t="shared" ca="1" si="1"/>
        <v/>
      </c>
      <c r="J5" s="1" t="str">
        <f t="shared" ca="1" si="1"/>
        <v/>
      </c>
      <c r="K5" s="1" t="str">
        <f t="shared" ca="1" si="1"/>
        <v/>
      </c>
      <c r="L5" s="1" t="str">
        <f t="shared" ca="1" si="1"/>
        <v/>
      </c>
      <c r="M5" s="1" t="str">
        <f t="shared" ca="1" si="1"/>
        <v/>
      </c>
      <c r="N5" s="1" t="str">
        <f t="shared" ca="1" si="1"/>
        <v/>
      </c>
      <c r="O5" s="1" t="str">
        <f t="shared" ca="1" si="1"/>
        <v/>
      </c>
      <c r="P5" s="1" t="str">
        <f t="shared" ca="1" si="1"/>
        <v/>
      </c>
      <c r="Q5" s="1" t="str">
        <f t="shared" ca="1" si="1"/>
        <v/>
      </c>
      <c r="R5" s="1" t="str">
        <f t="shared" ca="1" si="1"/>
        <v/>
      </c>
      <c r="S5" s="1" t="str">
        <f t="shared" ca="1" si="1"/>
        <v/>
      </c>
      <c r="T5" s="1" t="str">
        <f t="shared" ca="1" si="1"/>
        <v/>
      </c>
      <c r="U5" s="1" t="str">
        <f t="shared" ca="1" si="1"/>
        <v/>
      </c>
      <c r="V5" s="1" t="str">
        <f t="shared" ca="1" si="1"/>
        <v/>
      </c>
      <c r="W5" s="1" t="str">
        <f t="shared" ca="1" si="1"/>
        <v/>
      </c>
      <c r="X5" s="1" t="str">
        <f t="shared" ca="1" si="1"/>
        <v/>
      </c>
      <c r="Y5" s="1" t="str">
        <f t="shared" ca="1" si="1"/>
        <v/>
      </c>
      <c r="Z5" s="1" t="str">
        <f t="shared" ca="1" si="1"/>
        <v/>
      </c>
      <c r="AA5" s="1" t="str">
        <f t="shared" ca="1" si="1"/>
        <v/>
      </c>
      <c r="AB5" s="21"/>
    </row>
    <row r="6" spans="1:28" x14ac:dyDescent="0.25">
      <c r="A6" s="3" t="str">
        <f t="shared" ref="A6:A29" si="2">IF(B6="","",ADDRESS(2,ROW()-2,,,"MODEL_MATRIX")&amp;":"&amp;ADDRESS(71,ROW()-2))</f>
        <v>MODEL_MATRIX!$D$2:$D$71</v>
      </c>
      <c r="B6" t="str">
        <v>C</v>
      </c>
      <c r="C6" s="1">
        <f t="shared" ca="1" si="1"/>
        <v>0</v>
      </c>
      <c r="D6" s="1">
        <f t="shared" ca="1" si="1"/>
        <v>1</v>
      </c>
      <c r="E6" s="1">
        <f t="shared" ca="1" si="1"/>
        <v>0</v>
      </c>
      <c r="F6" s="1">
        <f t="shared" ca="1" si="1"/>
        <v>0</v>
      </c>
      <c r="G6" s="1">
        <f t="shared" ca="1" si="1"/>
        <v>0</v>
      </c>
      <c r="H6" s="1" t="str">
        <f t="shared" ca="1" si="1"/>
        <v/>
      </c>
      <c r="I6" s="1" t="str">
        <f t="shared" ca="1" si="1"/>
        <v/>
      </c>
      <c r="J6" s="1" t="str">
        <f t="shared" ca="1" si="1"/>
        <v/>
      </c>
      <c r="K6" s="1" t="str">
        <f t="shared" ca="1" si="1"/>
        <v/>
      </c>
      <c r="L6" s="1" t="str">
        <f t="shared" ca="1" si="1"/>
        <v/>
      </c>
      <c r="M6" s="1" t="str">
        <f t="shared" ca="1" si="1"/>
        <v/>
      </c>
      <c r="N6" s="1" t="str">
        <f t="shared" ca="1" si="1"/>
        <v/>
      </c>
      <c r="O6" s="1" t="str">
        <f t="shared" ca="1" si="1"/>
        <v/>
      </c>
      <c r="P6" s="1" t="str">
        <f t="shared" ca="1" si="1"/>
        <v/>
      </c>
      <c r="Q6" s="1" t="str">
        <f t="shared" ca="1" si="1"/>
        <v/>
      </c>
      <c r="R6" s="1" t="str">
        <f t="shared" ca="1" si="1"/>
        <v/>
      </c>
      <c r="S6" s="1" t="str">
        <f t="shared" ca="1" si="1"/>
        <v/>
      </c>
      <c r="T6" s="1" t="str">
        <f t="shared" ca="1" si="1"/>
        <v/>
      </c>
      <c r="U6" s="1" t="str">
        <f t="shared" ca="1" si="1"/>
        <v/>
      </c>
      <c r="V6" s="1" t="str">
        <f t="shared" ca="1" si="1"/>
        <v/>
      </c>
      <c r="W6" s="1" t="str">
        <f t="shared" ca="1" si="1"/>
        <v/>
      </c>
      <c r="X6" s="1" t="str">
        <f t="shared" ca="1" si="1"/>
        <v/>
      </c>
      <c r="Y6" s="1" t="str">
        <f t="shared" ca="1" si="1"/>
        <v/>
      </c>
      <c r="Z6" s="1" t="str">
        <f t="shared" ca="1" si="1"/>
        <v/>
      </c>
      <c r="AA6" s="1" t="str">
        <f t="shared" ca="1" si="1"/>
        <v/>
      </c>
      <c r="AB6" s="21"/>
    </row>
    <row r="7" spans="1:28" x14ac:dyDescent="0.25">
      <c r="A7" s="3" t="str">
        <f t="shared" si="2"/>
        <v>MODEL_MATRIX!$E$2:$E$71</v>
      </c>
      <c r="B7" t="str">
        <v>E</v>
      </c>
      <c r="C7" s="1">
        <f t="shared" ca="1" si="1"/>
        <v>0</v>
      </c>
      <c r="D7" s="1">
        <f t="shared" ca="1" si="1"/>
        <v>0</v>
      </c>
      <c r="E7" s="1">
        <f t="shared" ca="1" si="1"/>
        <v>1</v>
      </c>
      <c r="F7" s="1">
        <f t="shared" ca="1" si="1"/>
        <v>0</v>
      </c>
      <c r="G7" s="1">
        <f t="shared" ca="1" si="1"/>
        <v>0</v>
      </c>
      <c r="H7" s="1" t="str">
        <f t="shared" ca="1" si="1"/>
        <v/>
      </c>
      <c r="I7" s="1" t="str">
        <f t="shared" ca="1" si="1"/>
        <v/>
      </c>
      <c r="J7" s="1" t="str">
        <f t="shared" ca="1" si="1"/>
        <v/>
      </c>
      <c r="K7" s="1" t="str">
        <f t="shared" ca="1" si="1"/>
        <v/>
      </c>
      <c r="L7" s="1" t="str">
        <f t="shared" ca="1" si="1"/>
        <v/>
      </c>
      <c r="M7" s="1" t="str">
        <f t="shared" ca="1" si="1"/>
        <v/>
      </c>
      <c r="N7" s="1" t="str">
        <f t="shared" ca="1" si="1"/>
        <v/>
      </c>
      <c r="O7" s="1" t="str">
        <f t="shared" ca="1" si="1"/>
        <v/>
      </c>
      <c r="P7" s="1" t="str">
        <f t="shared" ca="1" si="1"/>
        <v/>
      </c>
      <c r="Q7" s="1" t="str">
        <f t="shared" ca="1" si="1"/>
        <v/>
      </c>
      <c r="R7" s="1" t="str">
        <f t="shared" ca="1" si="1"/>
        <v/>
      </c>
      <c r="S7" s="1" t="str">
        <f t="shared" ca="1" si="1"/>
        <v/>
      </c>
      <c r="T7" s="1" t="str">
        <f t="shared" ca="1" si="1"/>
        <v/>
      </c>
      <c r="U7" s="1" t="str">
        <f t="shared" ca="1" si="1"/>
        <v/>
      </c>
      <c r="V7" s="1" t="str">
        <f t="shared" ca="1" si="1"/>
        <v/>
      </c>
      <c r="W7" s="1" t="str">
        <f t="shared" ca="1" si="1"/>
        <v/>
      </c>
      <c r="X7" s="1" t="str">
        <f t="shared" ca="1" si="1"/>
        <v/>
      </c>
      <c r="Y7" s="1" t="str">
        <f t="shared" ca="1" si="1"/>
        <v/>
      </c>
      <c r="Z7" s="1" t="str">
        <f t="shared" ca="1" si="1"/>
        <v/>
      </c>
      <c r="AA7" s="1" t="str">
        <f t="shared" ca="1" si="1"/>
        <v/>
      </c>
      <c r="AB7" s="21"/>
    </row>
    <row r="8" spans="1:28" x14ac:dyDescent="0.25">
      <c r="A8" s="3" t="str">
        <f t="shared" si="2"/>
        <v>MODEL_MATRIX!$F$2:$F$71</v>
      </c>
      <c r="B8" t="str">
        <v>AC</v>
      </c>
      <c r="C8" s="1">
        <f t="shared" ca="1" si="1"/>
        <v>0</v>
      </c>
      <c r="D8" s="1">
        <f t="shared" ca="1" si="1"/>
        <v>0</v>
      </c>
      <c r="E8" s="1">
        <f t="shared" ca="1" si="1"/>
        <v>0</v>
      </c>
      <c r="F8" s="1">
        <f t="shared" ca="1" si="1"/>
        <v>1</v>
      </c>
      <c r="G8" s="1">
        <f t="shared" ca="1" si="1"/>
        <v>0</v>
      </c>
      <c r="H8" s="1" t="str">
        <f t="shared" ca="1" si="1"/>
        <v/>
      </c>
      <c r="I8" s="1" t="str">
        <f t="shared" ca="1" si="1"/>
        <v/>
      </c>
      <c r="J8" s="1" t="str">
        <f t="shared" ca="1" si="1"/>
        <v/>
      </c>
      <c r="K8" s="1" t="str">
        <f t="shared" ca="1" si="1"/>
        <v/>
      </c>
      <c r="L8" s="1" t="str">
        <f t="shared" ca="1" si="1"/>
        <v/>
      </c>
      <c r="M8" s="1" t="str">
        <f t="shared" ca="1" si="1"/>
        <v/>
      </c>
      <c r="N8" s="1" t="str">
        <f t="shared" ca="1" si="1"/>
        <v/>
      </c>
      <c r="O8" s="1" t="str">
        <f t="shared" ca="1" si="1"/>
        <v/>
      </c>
      <c r="P8" s="1" t="str">
        <f t="shared" ca="1" si="1"/>
        <v/>
      </c>
      <c r="Q8" s="1" t="str">
        <f t="shared" ca="1" si="1"/>
        <v/>
      </c>
      <c r="R8" s="1" t="str">
        <f t="shared" ca="1" si="1"/>
        <v/>
      </c>
      <c r="S8" s="1" t="str">
        <f t="shared" ca="1" si="1"/>
        <v/>
      </c>
      <c r="T8" s="1" t="str">
        <f t="shared" ca="1" si="1"/>
        <v/>
      </c>
      <c r="U8" s="1" t="str">
        <f t="shared" ca="1" si="1"/>
        <v/>
      </c>
      <c r="V8" s="1" t="str">
        <f t="shared" ca="1" si="1"/>
        <v/>
      </c>
      <c r="W8" s="1" t="str">
        <f t="shared" ca="1" si="1"/>
        <v/>
      </c>
      <c r="X8" s="1" t="str">
        <f t="shared" ca="1" si="1"/>
        <v/>
      </c>
      <c r="Y8" s="1" t="str">
        <f t="shared" ca="1" si="1"/>
        <v/>
      </c>
      <c r="Z8" s="1" t="str">
        <f t="shared" ca="1" si="1"/>
        <v/>
      </c>
      <c r="AA8" s="1" t="str">
        <f t="shared" ca="1" si="1"/>
        <v/>
      </c>
      <c r="AB8" s="21"/>
    </row>
    <row r="9" spans="1:28" x14ac:dyDescent="0.25">
      <c r="A9" s="3" t="str">
        <f t="shared" si="2"/>
        <v>MODEL_MATRIX!$G$2:$G$71</v>
      </c>
      <c r="B9" t="str">
        <v>AE</v>
      </c>
      <c r="C9" s="1">
        <f t="shared" ca="1" si="1"/>
        <v>0</v>
      </c>
      <c r="D9" s="1">
        <f t="shared" ca="1" si="1"/>
        <v>0</v>
      </c>
      <c r="E9" s="1">
        <f t="shared" ca="1" si="1"/>
        <v>0</v>
      </c>
      <c r="F9" s="1">
        <f t="shared" ca="1" si="1"/>
        <v>0</v>
      </c>
      <c r="G9" s="1">
        <f t="shared" ca="1" si="1"/>
        <v>1</v>
      </c>
      <c r="H9" s="1" t="str">
        <f t="shared" ca="1" si="1"/>
        <v/>
      </c>
      <c r="I9" s="1" t="str">
        <f t="shared" ca="1" si="1"/>
        <v/>
      </c>
      <c r="J9" s="1" t="str">
        <f t="shared" ca="1" si="1"/>
        <v/>
      </c>
      <c r="K9" s="1" t="str">
        <f t="shared" ca="1" si="1"/>
        <v/>
      </c>
      <c r="L9" s="1" t="str">
        <f t="shared" ca="1" si="1"/>
        <v/>
      </c>
      <c r="M9" s="1" t="str">
        <f t="shared" ca="1" si="1"/>
        <v/>
      </c>
      <c r="N9" s="1" t="str">
        <f t="shared" ca="1" si="1"/>
        <v/>
      </c>
      <c r="O9" s="1" t="str">
        <f t="shared" ca="1" si="1"/>
        <v/>
      </c>
      <c r="P9" s="1" t="str">
        <f t="shared" ca="1" si="1"/>
        <v/>
      </c>
      <c r="Q9" s="1" t="str">
        <f t="shared" ca="1" si="1"/>
        <v/>
      </c>
      <c r="R9" s="1" t="str">
        <f t="shared" ca="1" si="1"/>
        <v/>
      </c>
      <c r="S9" s="1" t="str">
        <f t="shared" ca="1" si="1"/>
        <v/>
      </c>
      <c r="T9" s="1" t="str">
        <f t="shared" ca="1" si="1"/>
        <v/>
      </c>
      <c r="U9" s="1" t="str">
        <f t="shared" ca="1" si="1"/>
        <v/>
      </c>
      <c r="V9" s="1" t="str">
        <f t="shared" ca="1" si="1"/>
        <v/>
      </c>
      <c r="W9" s="1" t="str">
        <f t="shared" ca="1" si="1"/>
        <v/>
      </c>
      <c r="X9" s="1" t="str">
        <f t="shared" ca="1" si="1"/>
        <v/>
      </c>
      <c r="Y9" s="1" t="str">
        <f t="shared" ca="1" si="1"/>
        <v/>
      </c>
      <c r="Z9" s="1" t="str">
        <f t="shared" ca="1" si="1"/>
        <v/>
      </c>
      <c r="AA9" s="1" t="str">
        <f t="shared" ca="1" si="1"/>
        <v/>
      </c>
      <c r="AB9" s="21"/>
    </row>
    <row r="10" spans="1:28" x14ac:dyDescent="0.25">
      <c r="A10" s="3" t="str">
        <f t="shared" si="2"/>
        <v/>
      </c>
      <c r="B10" t="str">
        <v/>
      </c>
      <c r="C10" s="1" t="str">
        <f t="shared" ca="1" si="1"/>
        <v/>
      </c>
      <c r="D10" s="1" t="str">
        <f t="shared" ca="1" si="1"/>
        <v/>
      </c>
      <c r="E10" s="1" t="str">
        <f t="shared" ca="1" si="1"/>
        <v/>
      </c>
      <c r="F10" s="1" t="str">
        <f t="shared" ca="1" si="1"/>
        <v/>
      </c>
      <c r="G10" s="1" t="str">
        <f t="shared" ca="1" si="1"/>
        <v/>
      </c>
      <c r="H10" s="1" t="str">
        <f t="shared" ca="1" si="1"/>
        <v/>
      </c>
      <c r="I10" s="1" t="str">
        <f t="shared" ca="1" si="1"/>
        <v/>
      </c>
      <c r="J10" s="1" t="str">
        <f t="shared" ca="1" si="1"/>
        <v/>
      </c>
      <c r="K10" s="1" t="str">
        <f t="shared" ca="1" si="1"/>
        <v/>
      </c>
      <c r="L10" s="1" t="str">
        <f t="shared" ca="1" si="1"/>
        <v/>
      </c>
      <c r="M10" s="1" t="str">
        <f t="shared" ca="1" si="1"/>
        <v/>
      </c>
      <c r="N10" s="1" t="str">
        <f t="shared" ca="1" si="1"/>
        <v/>
      </c>
      <c r="O10" s="1" t="str">
        <f t="shared" ca="1" si="1"/>
        <v/>
      </c>
      <c r="P10" s="1" t="str">
        <f t="shared" ca="1" si="1"/>
        <v/>
      </c>
      <c r="Q10" s="1" t="str">
        <f t="shared" ca="1" si="1"/>
        <v/>
      </c>
      <c r="R10" s="1" t="str">
        <f t="shared" ca="1" si="1"/>
        <v/>
      </c>
      <c r="S10" s="1" t="str">
        <f t="shared" ca="1" si="1"/>
        <v/>
      </c>
      <c r="T10" s="1" t="str">
        <f t="shared" ca="1" si="1"/>
        <v/>
      </c>
      <c r="U10" s="1" t="str">
        <f t="shared" ca="1" si="1"/>
        <v/>
      </c>
      <c r="V10" s="1" t="str">
        <f t="shared" ca="1" si="1"/>
        <v/>
      </c>
      <c r="W10" s="1" t="str">
        <f t="shared" ca="1" si="1"/>
        <v/>
      </c>
      <c r="X10" s="1" t="str">
        <f t="shared" ca="1" si="1"/>
        <v/>
      </c>
      <c r="Y10" s="1" t="str">
        <f t="shared" ca="1" si="1"/>
        <v/>
      </c>
      <c r="Z10" s="1" t="str">
        <f t="shared" ca="1" si="1"/>
        <v/>
      </c>
      <c r="AA10" s="1" t="str">
        <f t="shared" ca="1" si="1"/>
        <v/>
      </c>
      <c r="AB10" s="21"/>
    </row>
    <row r="11" spans="1:28" x14ac:dyDescent="0.25">
      <c r="A11" s="3" t="str">
        <f t="shared" si="2"/>
        <v/>
      </c>
      <c r="B11" t="str">
        <v/>
      </c>
      <c r="C11" s="1" t="str">
        <f t="shared" ca="1" si="1"/>
        <v/>
      </c>
      <c r="D11" s="1" t="str">
        <f t="shared" ca="1" si="1"/>
        <v/>
      </c>
      <c r="E11" s="1" t="str">
        <f t="shared" ca="1" si="1"/>
        <v/>
      </c>
      <c r="F11" s="1" t="str">
        <f t="shared" ca="1" si="1"/>
        <v/>
      </c>
      <c r="G11" s="1" t="str">
        <f t="shared" ca="1" si="1"/>
        <v/>
      </c>
      <c r="H11" s="1" t="str">
        <f t="shared" ca="1" si="1"/>
        <v/>
      </c>
      <c r="I11" s="1" t="str">
        <f t="shared" ca="1" si="1"/>
        <v/>
      </c>
      <c r="J11" s="1" t="str">
        <f t="shared" ca="1" si="1"/>
        <v/>
      </c>
      <c r="K11" s="1" t="str">
        <f t="shared" ca="1" si="1"/>
        <v/>
      </c>
      <c r="L11" s="1" t="str">
        <f t="shared" ca="1" si="1"/>
        <v/>
      </c>
      <c r="M11" s="1" t="str">
        <f t="shared" ca="1" si="1"/>
        <v/>
      </c>
      <c r="N11" s="1" t="str">
        <f t="shared" ca="1" si="1"/>
        <v/>
      </c>
      <c r="O11" s="1" t="str">
        <f t="shared" ca="1" si="1"/>
        <v/>
      </c>
      <c r="P11" s="1" t="str">
        <f t="shared" ca="1" si="1"/>
        <v/>
      </c>
      <c r="Q11" s="1" t="str">
        <f t="shared" ca="1" si="1"/>
        <v/>
      </c>
      <c r="R11" s="1" t="str">
        <f t="shared" ca="1" si="1"/>
        <v/>
      </c>
      <c r="S11" s="1" t="str">
        <f t="shared" ca="1" si="1"/>
        <v/>
      </c>
      <c r="T11" s="1" t="str">
        <f t="shared" ca="1" si="1"/>
        <v/>
      </c>
      <c r="U11" s="1" t="str">
        <f t="shared" ca="1" si="1"/>
        <v/>
      </c>
      <c r="V11" s="1" t="str">
        <f t="shared" ca="1" si="1"/>
        <v/>
      </c>
      <c r="W11" s="1" t="str">
        <f t="shared" ca="1" si="1"/>
        <v/>
      </c>
      <c r="X11" s="1" t="str">
        <f t="shared" ca="1" si="1"/>
        <v/>
      </c>
      <c r="Y11" s="1" t="str">
        <f t="shared" ca="1" si="1"/>
        <v/>
      </c>
      <c r="Z11" s="1" t="str">
        <f t="shared" ca="1" si="1"/>
        <v/>
      </c>
      <c r="AA11" s="1" t="str">
        <f t="shared" ca="1" si="1"/>
        <v/>
      </c>
      <c r="AB11" s="21"/>
    </row>
    <row r="12" spans="1:28" x14ac:dyDescent="0.25">
      <c r="A12" s="3" t="str">
        <f t="shared" si="2"/>
        <v/>
      </c>
      <c r="B12" t="str">
        <v/>
      </c>
      <c r="C12" s="1" t="str">
        <f t="shared" ca="1" si="1"/>
        <v/>
      </c>
      <c r="D12" s="1" t="str">
        <f t="shared" ca="1" si="1"/>
        <v/>
      </c>
      <c r="E12" s="1" t="str">
        <f t="shared" ca="1" si="1"/>
        <v/>
      </c>
      <c r="F12" s="1" t="str">
        <f t="shared" ca="1" si="1"/>
        <v/>
      </c>
      <c r="G12" s="1" t="str">
        <f t="shared" ca="1" si="1"/>
        <v/>
      </c>
      <c r="H12" s="1" t="str">
        <f t="shared" ca="1" si="1"/>
        <v/>
      </c>
      <c r="I12" s="1" t="str">
        <f t="shared" ca="1" si="1"/>
        <v/>
      </c>
      <c r="J12" s="1" t="str">
        <f t="shared" ca="1" si="1"/>
        <v/>
      </c>
      <c r="K12" s="1" t="str">
        <f t="shared" ca="1" si="1"/>
        <v/>
      </c>
      <c r="L12" s="1" t="str">
        <f t="shared" ca="1" si="1"/>
        <v/>
      </c>
      <c r="M12" s="1" t="str">
        <f t="shared" ca="1" si="1"/>
        <v/>
      </c>
      <c r="N12" s="1" t="str">
        <f t="shared" ca="1" si="1"/>
        <v/>
      </c>
      <c r="O12" s="1" t="str">
        <f t="shared" ca="1" si="1"/>
        <v/>
      </c>
      <c r="P12" s="1" t="str">
        <f t="shared" ca="1" si="1"/>
        <v/>
      </c>
      <c r="Q12" s="1" t="str">
        <f t="shared" ca="1" si="1"/>
        <v/>
      </c>
      <c r="R12" s="1" t="str">
        <f t="shared" ca="1" si="1"/>
        <v/>
      </c>
      <c r="S12" s="1" t="str">
        <f t="shared" ca="1" si="1"/>
        <v/>
      </c>
      <c r="T12" s="1" t="str">
        <f t="shared" ca="1" si="1"/>
        <v/>
      </c>
      <c r="U12" s="1" t="str">
        <f t="shared" ca="1" si="1"/>
        <v/>
      </c>
      <c r="V12" s="1" t="str">
        <f t="shared" ca="1" si="1"/>
        <v/>
      </c>
      <c r="W12" s="1" t="str">
        <f t="shared" ca="1" si="1"/>
        <v/>
      </c>
      <c r="X12" s="1" t="str">
        <f t="shared" ca="1" si="1"/>
        <v/>
      </c>
      <c r="Y12" s="1" t="str">
        <f t="shared" ca="1" si="1"/>
        <v/>
      </c>
      <c r="Z12" s="1" t="str">
        <f t="shared" ca="1" si="1"/>
        <v/>
      </c>
      <c r="AA12" s="1" t="str">
        <f t="shared" ca="1" si="1"/>
        <v/>
      </c>
      <c r="AB12" s="21"/>
    </row>
    <row r="13" spans="1:28" x14ac:dyDescent="0.25">
      <c r="A13" s="3" t="str">
        <f t="shared" si="2"/>
        <v/>
      </c>
      <c r="B13" t="str">
        <v/>
      </c>
      <c r="C13" s="1" t="str">
        <f t="shared" ca="1" si="1"/>
        <v/>
      </c>
      <c r="D13" s="1" t="str">
        <f t="shared" ca="1" si="1"/>
        <v/>
      </c>
      <c r="E13" s="1" t="str">
        <f t="shared" ca="1" si="1"/>
        <v/>
      </c>
      <c r="F13" s="1" t="str">
        <f t="shared" ca="1" si="1"/>
        <v/>
      </c>
      <c r="G13" s="1" t="str">
        <f t="shared" ca="1" si="1"/>
        <v/>
      </c>
      <c r="H13" s="1" t="str">
        <f t="shared" ca="1" si="1"/>
        <v/>
      </c>
      <c r="I13" s="1" t="str">
        <f t="shared" ca="1" si="1"/>
        <v/>
      </c>
      <c r="J13" s="1" t="str">
        <f t="shared" ca="1" si="1"/>
        <v/>
      </c>
      <c r="K13" s="1" t="str">
        <f t="shared" ca="1" si="1"/>
        <v/>
      </c>
      <c r="L13" s="1" t="str">
        <f t="shared" ca="1" si="1"/>
        <v/>
      </c>
      <c r="M13" s="1" t="str">
        <f t="shared" ca="1" si="1"/>
        <v/>
      </c>
      <c r="N13" s="1" t="str">
        <f t="shared" ca="1" si="1"/>
        <v/>
      </c>
      <c r="O13" s="1" t="str">
        <f t="shared" ca="1" si="1"/>
        <v/>
      </c>
      <c r="P13" s="1" t="str">
        <f t="shared" ca="1" si="1"/>
        <v/>
      </c>
      <c r="Q13" s="1" t="str">
        <f t="shared" ca="1" si="1"/>
        <v/>
      </c>
      <c r="R13" s="1" t="str">
        <f t="shared" ca="1" si="1"/>
        <v/>
      </c>
      <c r="S13" s="1" t="str">
        <f t="shared" ca="1" si="1"/>
        <v/>
      </c>
      <c r="T13" s="1" t="str">
        <f t="shared" ca="1" si="1"/>
        <v/>
      </c>
      <c r="U13" s="1" t="str">
        <f t="shared" ca="1" si="1"/>
        <v/>
      </c>
      <c r="V13" s="1" t="str">
        <f t="shared" ca="1" si="1"/>
        <v/>
      </c>
      <c r="W13" s="1" t="str">
        <f t="shared" ca="1" si="1"/>
        <v/>
      </c>
      <c r="X13" s="1" t="str">
        <f t="shared" ca="1" si="1"/>
        <v/>
      </c>
      <c r="Y13" s="1" t="str">
        <f t="shared" ca="1" si="1"/>
        <v/>
      </c>
      <c r="Z13" s="1" t="str">
        <f t="shared" ca="1" si="1"/>
        <v/>
      </c>
      <c r="AA13" s="1" t="str">
        <f t="shared" ca="1" si="1"/>
        <v/>
      </c>
      <c r="AB13" s="21"/>
    </row>
    <row r="14" spans="1:28" x14ac:dyDescent="0.25">
      <c r="A14" s="3" t="str">
        <f t="shared" si="2"/>
        <v/>
      </c>
      <c r="B14" t="str">
        <v/>
      </c>
      <c r="C14" s="1" t="str">
        <f t="shared" ca="1" si="1"/>
        <v/>
      </c>
      <c r="D14" s="1" t="str">
        <f t="shared" ca="1" si="1"/>
        <v/>
      </c>
      <c r="E14" s="1" t="str">
        <f t="shared" ca="1" si="1"/>
        <v/>
      </c>
      <c r="F14" s="1" t="str">
        <f t="shared" ca="1" si="1"/>
        <v/>
      </c>
      <c r="G14" s="1" t="str">
        <f t="shared" ca="1" si="1"/>
        <v/>
      </c>
      <c r="H14" s="1" t="str">
        <f t="shared" ca="1" si="1"/>
        <v/>
      </c>
      <c r="I14" s="1" t="str">
        <f t="shared" ca="1" si="1"/>
        <v/>
      </c>
      <c r="J14" s="1" t="str">
        <f t="shared" ca="1" si="1"/>
        <v/>
      </c>
      <c r="K14" s="1" t="str">
        <f t="shared" ca="1" si="1"/>
        <v/>
      </c>
      <c r="L14" s="1" t="str">
        <f t="shared" ca="1" si="1"/>
        <v/>
      </c>
      <c r="M14" s="1" t="str">
        <f t="shared" ca="1" si="1"/>
        <v/>
      </c>
      <c r="N14" s="1" t="str">
        <f t="shared" ca="1" si="1"/>
        <v/>
      </c>
      <c r="O14" s="1" t="str">
        <f t="shared" ca="1" si="1"/>
        <v/>
      </c>
      <c r="P14" s="1" t="str">
        <f t="shared" ca="1" si="1"/>
        <v/>
      </c>
      <c r="Q14" s="1" t="str">
        <f t="shared" ca="1" si="1"/>
        <v/>
      </c>
      <c r="R14" s="1" t="str">
        <f t="shared" ca="1" si="1"/>
        <v/>
      </c>
      <c r="S14" s="1" t="str">
        <f t="shared" ca="1" si="1"/>
        <v/>
      </c>
      <c r="T14" s="1" t="str">
        <f t="shared" ca="1" si="1"/>
        <v/>
      </c>
      <c r="U14" s="1" t="str">
        <f t="shared" ca="1" si="1"/>
        <v/>
      </c>
      <c r="V14" s="1" t="str">
        <f t="shared" ca="1" si="1"/>
        <v/>
      </c>
      <c r="W14" s="1" t="str">
        <f t="shared" ca="1" si="1"/>
        <v/>
      </c>
      <c r="X14" s="1" t="str">
        <f t="shared" ca="1" si="1"/>
        <v/>
      </c>
      <c r="Y14" s="1" t="str">
        <f t="shared" ca="1" si="1"/>
        <v/>
      </c>
      <c r="Z14" s="1" t="str">
        <f t="shared" ca="1" si="1"/>
        <v/>
      </c>
      <c r="AA14" s="1" t="str">
        <f t="shared" ca="1" si="1"/>
        <v/>
      </c>
      <c r="AB14" s="21"/>
    </row>
    <row r="15" spans="1:28" x14ac:dyDescent="0.25">
      <c r="A15" s="3" t="str">
        <f t="shared" si="2"/>
        <v/>
      </c>
      <c r="B15" t="str">
        <v/>
      </c>
      <c r="C15" s="1" t="str">
        <f t="shared" ref="C15:R29" ca="1" si="3">IFERROR(CORREL(INDIRECT($A15),INDIRECT(C$3)),IF(AND(C$4&lt;&gt;"",$B15&lt;&gt;""),99,""))</f>
        <v/>
      </c>
      <c r="D15" s="1" t="str">
        <f t="shared" ca="1" si="3"/>
        <v/>
      </c>
      <c r="E15" s="1" t="str">
        <f t="shared" ca="1" si="3"/>
        <v/>
      </c>
      <c r="F15" s="1" t="str">
        <f t="shared" ca="1" si="3"/>
        <v/>
      </c>
      <c r="G15" s="1" t="str">
        <f t="shared" ca="1" si="3"/>
        <v/>
      </c>
      <c r="H15" s="1" t="str">
        <f t="shared" ca="1" si="3"/>
        <v/>
      </c>
      <c r="I15" s="1" t="str">
        <f t="shared" ca="1" si="3"/>
        <v/>
      </c>
      <c r="J15" s="1" t="str">
        <f t="shared" ca="1" si="3"/>
        <v/>
      </c>
      <c r="K15" s="1" t="str">
        <f t="shared" ca="1" si="3"/>
        <v/>
      </c>
      <c r="L15" s="1" t="str">
        <f t="shared" ca="1" si="3"/>
        <v/>
      </c>
      <c r="M15" s="1" t="str">
        <f t="shared" ca="1" si="3"/>
        <v/>
      </c>
      <c r="N15" s="1" t="str">
        <f t="shared" ca="1" si="3"/>
        <v/>
      </c>
      <c r="O15" s="1" t="str">
        <f t="shared" ca="1" si="3"/>
        <v/>
      </c>
      <c r="P15" s="1" t="str">
        <f t="shared" ca="1" si="3"/>
        <v/>
      </c>
      <c r="Q15" s="1" t="str">
        <f t="shared" ca="1" si="3"/>
        <v/>
      </c>
      <c r="R15" s="1" t="str">
        <f t="shared" ca="1" si="3"/>
        <v/>
      </c>
      <c r="S15" s="1" t="str">
        <f t="shared" ref="S15:AA29" ca="1" si="4">IFERROR(CORREL(INDIRECT($A15),INDIRECT(S$3)),IF(AND(S$4&lt;&gt;"",$B15&lt;&gt;""),99,""))</f>
        <v/>
      </c>
      <c r="T15" s="1" t="str">
        <f t="shared" ca="1" si="4"/>
        <v/>
      </c>
      <c r="U15" s="1" t="str">
        <f t="shared" ca="1" si="4"/>
        <v/>
      </c>
      <c r="V15" s="1" t="str">
        <f t="shared" ca="1" si="4"/>
        <v/>
      </c>
      <c r="W15" s="1" t="str">
        <f t="shared" ca="1" si="4"/>
        <v/>
      </c>
      <c r="X15" s="1" t="str">
        <f t="shared" ca="1" si="4"/>
        <v/>
      </c>
      <c r="Y15" s="1" t="str">
        <f t="shared" ca="1" si="4"/>
        <v/>
      </c>
      <c r="Z15" s="1" t="str">
        <f t="shared" ca="1" si="4"/>
        <v/>
      </c>
      <c r="AA15" s="1" t="str">
        <f t="shared" ca="1" si="4"/>
        <v/>
      </c>
      <c r="AB15" s="21"/>
    </row>
    <row r="16" spans="1:28" x14ac:dyDescent="0.25">
      <c r="A16" s="3" t="str">
        <f t="shared" si="2"/>
        <v/>
      </c>
      <c r="B16" t="str">
        <v/>
      </c>
      <c r="C16" s="1" t="str">
        <f t="shared" ca="1" si="3"/>
        <v/>
      </c>
      <c r="D16" s="1" t="str">
        <f t="shared" ca="1" si="3"/>
        <v/>
      </c>
      <c r="E16" s="1" t="str">
        <f t="shared" ca="1" si="3"/>
        <v/>
      </c>
      <c r="F16" s="1" t="str">
        <f t="shared" ca="1" si="3"/>
        <v/>
      </c>
      <c r="G16" s="1" t="str">
        <f t="shared" ca="1" si="3"/>
        <v/>
      </c>
      <c r="H16" s="1" t="str">
        <f t="shared" ca="1" si="3"/>
        <v/>
      </c>
      <c r="I16" s="1" t="str">
        <f t="shared" ca="1" si="3"/>
        <v/>
      </c>
      <c r="J16" s="1" t="str">
        <f t="shared" ca="1" si="3"/>
        <v/>
      </c>
      <c r="K16" s="1" t="str">
        <f t="shared" ca="1" si="3"/>
        <v/>
      </c>
      <c r="L16" s="1" t="str">
        <f t="shared" ca="1" si="3"/>
        <v/>
      </c>
      <c r="M16" s="1" t="str">
        <f t="shared" ca="1" si="3"/>
        <v/>
      </c>
      <c r="N16" s="1" t="str">
        <f t="shared" ca="1" si="3"/>
        <v/>
      </c>
      <c r="O16" s="1" t="str">
        <f t="shared" ca="1" si="3"/>
        <v/>
      </c>
      <c r="P16" s="1" t="str">
        <f t="shared" ca="1" si="3"/>
        <v/>
      </c>
      <c r="Q16" s="1" t="str">
        <f t="shared" ca="1" si="3"/>
        <v/>
      </c>
      <c r="R16" s="1" t="str">
        <f t="shared" ca="1" si="3"/>
        <v/>
      </c>
      <c r="S16" s="1" t="str">
        <f t="shared" ca="1" si="4"/>
        <v/>
      </c>
      <c r="T16" s="1" t="str">
        <f t="shared" ca="1" si="4"/>
        <v/>
      </c>
      <c r="U16" s="1" t="str">
        <f t="shared" ca="1" si="4"/>
        <v/>
      </c>
      <c r="V16" s="1" t="str">
        <f t="shared" ca="1" si="4"/>
        <v/>
      </c>
      <c r="W16" s="1" t="str">
        <f t="shared" ca="1" si="4"/>
        <v/>
      </c>
      <c r="X16" s="1" t="str">
        <f t="shared" ca="1" si="4"/>
        <v/>
      </c>
      <c r="Y16" s="1" t="str">
        <f t="shared" ca="1" si="4"/>
        <v/>
      </c>
      <c r="Z16" s="1" t="str">
        <f t="shared" ca="1" si="4"/>
        <v/>
      </c>
      <c r="AA16" s="1" t="str">
        <f t="shared" ca="1" si="4"/>
        <v/>
      </c>
      <c r="AB16" s="21"/>
    </row>
    <row r="17" spans="1:27" x14ac:dyDescent="0.25">
      <c r="A17" s="3" t="str">
        <f t="shared" si="2"/>
        <v/>
      </c>
      <c r="B17" t="str">
        <v/>
      </c>
      <c r="C17" s="1" t="str">
        <f t="shared" ca="1" si="3"/>
        <v/>
      </c>
      <c r="D17" s="1" t="str">
        <f t="shared" ca="1" si="3"/>
        <v/>
      </c>
      <c r="E17" s="1" t="str">
        <f t="shared" ca="1" si="3"/>
        <v/>
      </c>
      <c r="F17" s="1" t="str">
        <f t="shared" ca="1" si="3"/>
        <v/>
      </c>
      <c r="G17" s="1" t="str">
        <f t="shared" ca="1" si="3"/>
        <v/>
      </c>
      <c r="H17" s="1" t="str">
        <f t="shared" ca="1" si="3"/>
        <v/>
      </c>
      <c r="I17" s="1" t="str">
        <f t="shared" ca="1" si="3"/>
        <v/>
      </c>
      <c r="J17" s="1" t="str">
        <f t="shared" ca="1" si="3"/>
        <v/>
      </c>
      <c r="K17" s="1" t="str">
        <f t="shared" ca="1" si="3"/>
        <v/>
      </c>
      <c r="L17" s="1" t="str">
        <f t="shared" ca="1" si="3"/>
        <v/>
      </c>
      <c r="M17" s="1" t="str">
        <f t="shared" ca="1" si="3"/>
        <v/>
      </c>
      <c r="N17" s="1" t="str">
        <f t="shared" ca="1" si="3"/>
        <v/>
      </c>
      <c r="O17" s="1" t="str">
        <f t="shared" ca="1" si="3"/>
        <v/>
      </c>
      <c r="P17" s="1" t="str">
        <f t="shared" ca="1" si="3"/>
        <v/>
      </c>
      <c r="Q17" s="1" t="str">
        <f t="shared" ca="1" si="3"/>
        <v/>
      </c>
      <c r="R17" s="1" t="str">
        <f t="shared" ca="1" si="3"/>
        <v/>
      </c>
      <c r="S17" s="1" t="str">
        <f t="shared" ca="1" si="4"/>
        <v/>
      </c>
      <c r="T17" s="1" t="str">
        <f t="shared" ca="1" si="4"/>
        <v/>
      </c>
      <c r="U17" s="1" t="str">
        <f t="shared" ca="1" si="4"/>
        <v/>
      </c>
      <c r="V17" s="1" t="str">
        <f t="shared" ca="1" si="4"/>
        <v/>
      </c>
      <c r="W17" s="1" t="str">
        <f t="shared" ca="1" si="4"/>
        <v/>
      </c>
      <c r="X17" s="1" t="str">
        <f t="shared" ca="1" si="4"/>
        <v/>
      </c>
      <c r="Y17" s="1" t="str">
        <f t="shared" ca="1" si="4"/>
        <v/>
      </c>
      <c r="Z17" s="1" t="str">
        <f t="shared" ca="1" si="4"/>
        <v/>
      </c>
      <c r="AA17" s="1" t="str">
        <f t="shared" ca="1" si="4"/>
        <v/>
      </c>
    </row>
    <row r="18" spans="1:27" x14ac:dyDescent="0.25">
      <c r="A18" s="3" t="str">
        <f t="shared" si="2"/>
        <v/>
      </c>
      <c r="B18" t="str">
        <v/>
      </c>
      <c r="C18" s="1" t="str">
        <f t="shared" ca="1" si="3"/>
        <v/>
      </c>
      <c r="D18" s="1" t="str">
        <f t="shared" ca="1" si="3"/>
        <v/>
      </c>
      <c r="E18" s="1" t="str">
        <f t="shared" ca="1" si="3"/>
        <v/>
      </c>
      <c r="F18" s="1" t="str">
        <f t="shared" ca="1" si="3"/>
        <v/>
      </c>
      <c r="G18" s="1" t="str">
        <f t="shared" ca="1" si="3"/>
        <v/>
      </c>
      <c r="H18" s="1" t="str">
        <f t="shared" ca="1" si="3"/>
        <v/>
      </c>
      <c r="I18" s="1" t="str">
        <f t="shared" ca="1" si="3"/>
        <v/>
      </c>
      <c r="J18" s="1" t="str">
        <f t="shared" ca="1" si="3"/>
        <v/>
      </c>
      <c r="K18" s="1" t="str">
        <f t="shared" ca="1" si="3"/>
        <v/>
      </c>
      <c r="L18" s="1" t="str">
        <f t="shared" ca="1" si="3"/>
        <v/>
      </c>
      <c r="M18" s="1" t="str">
        <f t="shared" ca="1" si="3"/>
        <v/>
      </c>
      <c r="N18" s="1" t="str">
        <f t="shared" ca="1" si="3"/>
        <v/>
      </c>
      <c r="O18" s="1" t="str">
        <f t="shared" ca="1" si="3"/>
        <v/>
      </c>
      <c r="P18" s="1" t="str">
        <f t="shared" ca="1" si="3"/>
        <v/>
      </c>
      <c r="Q18" s="1" t="str">
        <f t="shared" ca="1" si="3"/>
        <v/>
      </c>
      <c r="R18" s="1" t="str">
        <f t="shared" ca="1" si="3"/>
        <v/>
      </c>
      <c r="S18" s="1" t="str">
        <f t="shared" ca="1" si="4"/>
        <v/>
      </c>
      <c r="T18" s="1" t="str">
        <f t="shared" ca="1" si="4"/>
        <v/>
      </c>
      <c r="U18" s="1" t="str">
        <f t="shared" ca="1" si="4"/>
        <v/>
      </c>
      <c r="V18" s="1" t="str">
        <f t="shared" ca="1" si="4"/>
        <v/>
      </c>
      <c r="W18" s="1" t="str">
        <f t="shared" ca="1" si="4"/>
        <v/>
      </c>
      <c r="X18" s="1" t="str">
        <f t="shared" ca="1" si="4"/>
        <v/>
      </c>
      <c r="Y18" s="1" t="str">
        <f t="shared" ca="1" si="4"/>
        <v/>
      </c>
      <c r="Z18" s="1" t="str">
        <f t="shared" ca="1" si="4"/>
        <v/>
      </c>
      <c r="AA18" s="1" t="str">
        <f t="shared" ca="1" si="4"/>
        <v/>
      </c>
    </row>
    <row r="19" spans="1:27" x14ac:dyDescent="0.25">
      <c r="A19" s="3" t="str">
        <f t="shared" si="2"/>
        <v/>
      </c>
      <c r="B19" t="str">
        <v/>
      </c>
      <c r="C19" s="1" t="str">
        <f t="shared" ca="1" si="3"/>
        <v/>
      </c>
      <c r="D19" s="1" t="str">
        <f t="shared" ca="1" si="3"/>
        <v/>
      </c>
      <c r="E19" s="1" t="str">
        <f t="shared" ca="1" si="3"/>
        <v/>
      </c>
      <c r="F19" s="1" t="str">
        <f t="shared" ca="1" si="3"/>
        <v/>
      </c>
      <c r="G19" s="1" t="str">
        <f t="shared" ca="1" si="3"/>
        <v/>
      </c>
      <c r="H19" s="1" t="str">
        <f t="shared" ca="1" si="3"/>
        <v/>
      </c>
      <c r="I19" s="1" t="str">
        <f t="shared" ca="1" si="3"/>
        <v/>
      </c>
      <c r="J19" s="1" t="str">
        <f t="shared" ca="1" si="3"/>
        <v/>
      </c>
      <c r="K19" s="1" t="str">
        <f t="shared" ca="1" si="3"/>
        <v/>
      </c>
      <c r="L19" s="1" t="str">
        <f t="shared" ca="1" si="3"/>
        <v/>
      </c>
      <c r="M19" s="1" t="str">
        <f t="shared" ca="1" si="3"/>
        <v/>
      </c>
      <c r="N19" s="1" t="str">
        <f t="shared" ca="1" si="3"/>
        <v/>
      </c>
      <c r="O19" s="1" t="str">
        <f t="shared" ca="1" si="3"/>
        <v/>
      </c>
      <c r="P19" s="1" t="str">
        <f t="shared" ca="1" si="3"/>
        <v/>
      </c>
      <c r="Q19" s="1" t="str">
        <f t="shared" ca="1" si="3"/>
        <v/>
      </c>
      <c r="R19" s="1" t="str">
        <f t="shared" ca="1" si="3"/>
        <v/>
      </c>
      <c r="S19" s="1" t="str">
        <f t="shared" ca="1" si="4"/>
        <v/>
      </c>
      <c r="T19" s="1" t="str">
        <f t="shared" ca="1" si="4"/>
        <v/>
      </c>
      <c r="U19" s="1" t="str">
        <f t="shared" ca="1" si="4"/>
        <v/>
      </c>
      <c r="V19" s="1" t="str">
        <f t="shared" ca="1" si="4"/>
        <v/>
      </c>
      <c r="W19" s="1" t="str">
        <f t="shared" ca="1" si="4"/>
        <v/>
      </c>
      <c r="X19" s="1" t="str">
        <f t="shared" ca="1" si="4"/>
        <v/>
      </c>
      <c r="Y19" s="1" t="str">
        <f t="shared" ca="1" si="4"/>
        <v/>
      </c>
      <c r="Z19" s="1" t="str">
        <f t="shared" ca="1" si="4"/>
        <v/>
      </c>
      <c r="AA19" s="1" t="str">
        <f t="shared" ca="1" si="4"/>
        <v/>
      </c>
    </row>
    <row r="20" spans="1:27" x14ac:dyDescent="0.25">
      <c r="A20" s="3" t="str">
        <f t="shared" si="2"/>
        <v/>
      </c>
      <c r="B20" t="str">
        <v/>
      </c>
      <c r="C20" s="1" t="str">
        <f t="shared" ca="1" si="3"/>
        <v/>
      </c>
      <c r="D20" s="1" t="str">
        <f t="shared" ca="1" si="3"/>
        <v/>
      </c>
      <c r="E20" s="1" t="str">
        <f t="shared" ca="1" si="3"/>
        <v/>
      </c>
      <c r="F20" s="1" t="str">
        <f t="shared" ca="1" si="3"/>
        <v/>
      </c>
      <c r="G20" s="1" t="str">
        <f t="shared" ca="1" si="3"/>
        <v/>
      </c>
      <c r="H20" s="1" t="str">
        <f t="shared" ca="1" si="3"/>
        <v/>
      </c>
      <c r="I20" s="1" t="str">
        <f t="shared" ca="1" si="3"/>
        <v/>
      </c>
      <c r="J20" s="1" t="str">
        <f t="shared" ca="1" si="3"/>
        <v/>
      </c>
      <c r="K20" s="1" t="str">
        <f t="shared" ca="1" si="3"/>
        <v/>
      </c>
      <c r="L20" s="1" t="str">
        <f t="shared" ca="1" si="3"/>
        <v/>
      </c>
      <c r="M20" s="1" t="str">
        <f t="shared" ca="1" si="3"/>
        <v/>
      </c>
      <c r="N20" s="1" t="str">
        <f t="shared" ca="1" si="3"/>
        <v/>
      </c>
      <c r="O20" s="1" t="str">
        <f t="shared" ca="1" si="3"/>
        <v/>
      </c>
      <c r="P20" s="1" t="str">
        <f t="shared" ca="1" si="3"/>
        <v/>
      </c>
      <c r="Q20" s="1" t="str">
        <f t="shared" ca="1" si="3"/>
        <v/>
      </c>
      <c r="R20" s="1" t="str">
        <f t="shared" ca="1" si="3"/>
        <v/>
      </c>
      <c r="S20" s="1" t="str">
        <f t="shared" ca="1" si="4"/>
        <v/>
      </c>
      <c r="T20" s="1" t="str">
        <f t="shared" ca="1" si="4"/>
        <v/>
      </c>
      <c r="U20" s="1" t="str">
        <f t="shared" ca="1" si="4"/>
        <v/>
      </c>
      <c r="V20" s="1" t="str">
        <f t="shared" ca="1" si="4"/>
        <v/>
      </c>
      <c r="W20" s="1" t="str">
        <f t="shared" ca="1" si="4"/>
        <v/>
      </c>
      <c r="X20" s="1" t="str">
        <f t="shared" ca="1" si="4"/>
        <v/>
      </c>
      <c r="Y20" s="1" t="str">
        <f t="shared" ca="1" si="4"/>
        <v/>
      </c>
      <c r="Z20" s="1" t="str">
        <f t="shared" ca="1" si="4"/>
        <v/>
      </c>
      <c r="AA20" s="1" t="str">
        <f t="shared" ca="1" si="4"/>
        <v/>
      </c>
    </row>
    <row r="21" spans="1:27" x14ac:dyDescent="0.25">
      <c r="A21" s="3" t="str">
        <f t="shared" si="2"/>
        <v/>
      </c>
      <c r="B21" t="str">
        <v/>
      </c>
      <c r="C21" s="1" t="str">
        <f t="shared" ca="1" si="3"/>
        <v/>
      </c>
      <c r="D21" s="1" t="str">
        <f t="shared" ca="1" si="3"/>
        <v/>
      </c>
      <c r="E21" s="1" t="str">
        <f t="shared" ca="1" si="3"/>
        <v/>
      </c>
      <c r="F21" s="1" t="str">
        <f t="shared" ca="1" si="3"/>
        <v/>
      </c>
      <c r="G21" s="1" t="str">
        <f t="shared" ca="1" si="3"/>
        <v/>
      </c>
      <c r="H21" s="1" t="str">
        <f t="shared" ca="1" si="3"/>
        <v/>
      </c>
      <c r="I21" s="1" t="str">
        <f t="shared" ca="1" si="3"/>
        <v/>
      </c>
      <c r="J21" s="1" t="str">
        <f t="shared" ca="1" si="3"/>
        <v/>
      </c>
      <c r="K21" s="1" t="str">
        <f t="shared" ca="1" si="3"/>
        <v/>
      </c>
      <c r="L21" s="1" t="str">
        <f t="shared" ca="1" si="3"/>
        <v/>
      </c>
      <c r="M21" s="1" t="str">
        <f t="shared" ca="1" si="3"/>
        <v/>
      </c>
      <c r="N21" s="1" t="str">
        <f t="shared" ca="1" si="3"/>
        <v/>
      </c>
      <c r="O21" s="1" t="str">
        <f t="shared" ca="1" si="3"/>
        <v/>
      </c>
      <c r="P21" s="1" t="str">
        <f t="shared" ca="1" si="3"/>
        <v/>
      </c>
      <c r="Q21" s="1" t="str">
        <f t="shared" ca="1" si="3"/>
        <v/>
      </c>
      <c r="R21" s="1" t="str">
        <f t="shared" ca="1" si="3"/>
        <v/>
      </c>
      <c r="S21" s="1" t="str">
        <f t="shared" ca="1" si="4"/>
        <v/>
      </c>
      <c r="T21" s="1" t="str">
        <f t="shared" ca="1" si="4"/>
        <v/>
      </c>
      <c r="U21" s="1" t="str">
        <f t="shared" ca="1" si="4"/>
        <v/>
      </c>
      <c r="V21" s="1" t="str">
        <f t="shared" ca="1" si="4"/>
        <v/>
      </c>
      <c r="W21" s="1" t="str">
        <f t="shared" ca="1" si="4"/>
        <v/>
      </c>
      <c r="X21" s="1" t="str">
        <f t="shared" ca="1" si="4"/>
        <v/>
      </c>
      <c r="Y21" s="1" t="str">
        <f t="shared" ca="1" si="4"/>
        <v/>
      </c>
      <c r="Z21" s="1" t="str">
        <f t="shared" ca="1" si="4"/>
        <v/>
      </c>
      <c r="AA21" s="1" t="str">
        <f t="shared" ca="1" si="4"/>
        <v/>
      </c>
    </row>
    <row r="22" spans="1:27" x14ac:dyDescent="0.25">
      <c r="A22" s="3" t="str">
        <f t="shared" si="2"/>
        <v/>
      </c>
      <c r="B22" t="str">
        <v/>
      </c>
      <c r="C22" s="1" t="str">
        <f t="shared" ca="1" si="3"/>
        <v/>
      </c>
      <c r="D22" s="1" t="str">
        <f t="shared" ca="1" si="3"/>
        <v/>
      </c>
      <c r="E22" s="1" t="str">
        <f t="shared" ca="1" si="3"/>
        <v/>
      </c>
      <c r="F22" s="1" t="str">
        <f t="shared" ca="1" si="3"/>
        <v/>
      </c>
      <c r="G22" s="1" t="str">
        <f t="shared" ca="1" si="3"/>
        <v/>
      </c>
      <c r="H22" s="1" t="str">
        <f t="shared" ca="1" si="3"/>
        <v/>
      </c>
      <c r="I22" s="1" t="str">
        <f t="shared" ca="1" si="3"/>
        <v/>
      </c>
      <c r="J22" s="1" t="str">
        <f t="shared" ca="1" si="3"/>
        <v/>
      </c>
      <c r="K22" s="1" t="str">
        <f t="shared" ca="1" si="3"/>
        <v/>
      </c>
      <c r="L22" s="1" t="str">
        <f t="shared" ca="1" si="3"/>
        <v/>
      </c>
      <c r="M22" s="1" t="str">
        <f t="shared" ca="1" si="3"/>
        <v/>
      </c>
      <c r="N22" s="1" t="str">
        <f t="shared" ca="1" si="3"/>
        <v/>
      </c>
      <c r="O22" s="1" t="str">
        <f t="shared" ca="1" si="3"/>
        <v/>
      </c>
      <c r="P22" s="1" t="str">
        <f t="shared" ca="1" si="3"/>
        <v/>
      </c>
      <c r="Q22" s="1" t="str">
        <f t="shared" ca="1" si="3"/>
        <v/>
      </c>
      <c r="R22" s="1" t="str">
        <f t="shared" ca="1" si="3"/>
        <v/>
      </c>
      <c r="S22" s="1" t="str">
        <f t="shared" ca="1" si="4"/>
        <v/>
      </c>
      <c r="T22" s="1" t="str">
        <f t="shared" ca="1" si="4"/>
        <v/>
      </c>
      <c r="U22" s="1" t="str">
        <f t="shared" ca="1" si="4"/>
        <v/>
      </c>
      <c r="V22" s="1" t="str">
        <f t="shared" ca="1" si="4"/>
        <v/>
      </c>
      <c r="W22" s="1" t="str">
        <f t="shared" ca="1" si="4"/>
        <v/>
      </c>
      <c r="X22" s="1" t="str">
        <f t="shared" ca="1" si="4"/>
        <v/>
      </c>
      <c r="Y22" s="1" t="str">
        <f t="shared" ca="1" si="4"/>
        <v/>
      </c>
      <c r="Z22" s="1" t="str">
        <f t="shared" ca="1" si="4"/>
        <v/>
      </c>
      <c r="AA22" s="1" t="str">
        <f t="shared" ca="1" si="4"/>
        <v/>
      </c>
    </row>
    <row r="23" spans="1:27" x14ac:dyDescent="0.25">
      <c r="A23" s="3" t="str">
        <f t="shared" si="2"/>
        <v/>
      </c>
      <c r="B23" t="str">
        <v/>
      </c>
      <c r="C23" s="1" t="str">
        <f t="shared" ca="1" si="3"/>
        <v/>
      </c>
      <c r="D23" s="1" t="str">
        <f t="shared" ca="1" si="3"/>
        <v/>
      </c>
      <c r="E23" s="1" t="str">
        <f t="shared" ca="1" si="3"/>
        <v/>
      </c>
      <c r="F23" s="1" t="str">
        <f t="shared" ca="1" si="3"/>
        <v/>
      </c>
      <c r="G23" s="1" t="str">
        <f t="shared" ca="1" si="3"/>
        <v/>
      </c>
      <c r="H23" s="1" t="str">
        <f t="shared" ca="1" si="3"/>
        <v/>
      </c>
      <c r="I23" s="1" t="str">
        <f t="shared" ca="1" si="3"/>
        <v/>
      </c>
      <c r="J23" s="1" t="str">
        <f t="shared" ca="1" si="3"/>
        <v/>
      </c>
      <c r="K23" s="1" t="str">
        <f t="shared" ca="1" si="3"/>
        <v/>
      </c>
      <c r="L23" s="1" t="str">
        <f t="shared" ca="1" si="3"/>
        <v/>
      </c>
      <c r="M23" s="1" t="str">
        <f t="shared" ca="1" si="3"/>
        <v/>
      </c>
      <c r="N23" s="1" t="str">
        <f t="shared" ca="1" si="3"/>
        <v/>
      </c>
      <c r="O23" s="1" t="str">
        <f t="shared" ca="1" si="3"/>
        <v/>
      </c>
      <c r="P23" s="1" t="str">
        <f t="shared" ca="1" si="3"/>
        <v/>
      </c>
      <c r="Q23" s="1" t="str">
        <f t="shared" ca="1" si="3"/>
        <v/>
      </c>
      <c r="R23" s="1" t="str">
        <f t="shared" ca="1" si="3"/>
        <v/>
      </c>
      <c r="S23" s="1" t="str">
        <f t="shared" ca="1" si="4"/>
        <v/>
      </c>
      <c r="T23" s="1" t="str">
        <f t="shared" ca="1" si="4"/>
        <v/>
      </c>
      <c r="U23" s="1" t="str">
        <f t="shared" ca="1" si="4"/>
        <v/>
      </c>
      <c r="V23" s="1" t="str">
        <f t="shared" ca="1" si="4"/>
        <v/>
      </c>
      <c r="W23" s="1" t="str">
        <f t="shared" ca="1" si="4"/>
        <v/>
      </c>
      <c r="X23" s="1" t="str">
        <f t="shared" ca="1" si="4"/>
        <v/>
      </c>
      <c r="Y23" s="1" t="str">
        <f t="shared" ca="1" si="4"/>
        <v/>
      </c>
      <c r="Z23" s="1" t="str">
        <f t="shared" ca="1" si="4"/>
        <v/>
      </c>
      <c r="AA23" s="1" t="str">
        <f t="shared" ca="1" si="4"/>
        <v/>
      </c>
    </row>
    <row r="24" spans="1:27" x14ac:dyDescent="0.25">
      <c r="A24" s="3" t="str">
        <f t="shared" si="2"/>
        <v/>
      </c>
      <c r="B24" t="str">
        <v/>
      </c>
      <c r="C24" s="1" t="str">
        <f t="shared" ca="1" si="3"/>
        <v/>
      </c>
      <c r="D24" s="1" t="str">
        <f t="shared" ca="1" si="3"/>
        <v/>
      </c>
      <c r="E24" s="1" t="str">
        <f t="shared" ca="1" si="3"/>
        <v/>
      </c>
      <c r="F24" s="1" t="str">
        <f t="shared" ca="1" si="3"/>
        <v/>
      </c>
      <c r="G24" s="1" t="str">
        <f t="shared" ca="1" si="3"/>
        <v/>
      </c>
      <c r="H24" s="1" t="str">
        <f t="shared" ca="1" si="3"/>
        <v/>
      </c>
      <c r="I24" s="1" t="str">
        <f t="shared" ca="1" si="3"/>
        <v/>
      </c>
      <c r="J24" s="1" t="str">
        <f t="shared" ca="1" si="3"/>
        <v/>
      </c>
      <c r="K24" s="1" t="str">
        <f t="shared" ca="1" si="3"/>
        <v/>
      </c>
      <c r="L24" s="1" t="str">
        <f t="shared" ca="1" si="3"/>
        <v/>
      </c>
      <c r="M24" s="1" t="str">
        <f t="shared" ca="1" si="3"/>
        <v/>
      </c>
      <c r="N24" s="1" t="str">
        <f t="shared" ca="1" si="3"/>
        <v/>
      </c>
      <c r="O24" s="1" t="str">
        <f t="shared" ca="1" si="3"/>
        <v/>
      </c>
      <c r="P24" s="1" t="str">
        <f t="shared" ca="1" si="3"/>
        <v/>
      </c>
      <c r="Q24" s="1" t="str">
        <f t="shared" ca="1" si="3"/>
        <v/>
      </c>
      <c r="R24" s="1" t="str">
        <f t="shared" ca="1" si="3"/>
        <v/>
      </c>
      <c r="S24" s="1" t="str">
        <f t="shared" ca="1" si="4"/>
        <v/>
      </c>
      <c r="T24" s="1" t="str">
        <f t="shared" ca="1" si="4"/>
        <v/>
      </c>
      <c r="U24" s="1" t="str">
        <f t="shared" ca="1" si="4"/>
        <v/>
      </c>
      <c r="V24" s="1" t="str">
        <f t="shared" ca="1" si="4"/>
        <v/>
      </c>
      <c r="W24" s="1" t="str">
        <f t="shared" ca="1" si="4"/>
        <v/>
      </c>
      <c r="X24" s="1" t="str">
        <f t="shared" ca="1" si="4"/>
        <v/>
      </c>
      <c r="Y24" s="1" t="str">
        <f t="shared" ca="1" si="4"/>
        <v/>
      </c>
      <c r="Z24" s="1" t="str">
        <f t="shared" ca="1" si="4"/>
        <v/>
      </c>
      <c r="AA24" s="1" t="str">
        <f t="shared" ca="1" si="4"/>
        <v/>
      </c>
    </row>
    <row r="25" spans="1:27" x14ac:dyDescent="0.25">
      <c r="A25" s="3" t="str">
        <f t="shared" si="2"/>
        <v/>
      </c>
      <c r="B25" t="str">
        <v/>
      </c>
      <c r="C25" s="1" t="str">
        <f t="shared" ca="1" si="3"/>
        <v/>
      </c>
      <c r="D25" s="1" t="str">
        <f t="shared" ca="1" si="3"/>
        <v/>
      </c>
      <c r="E25" s="1" t="str">
        <f t="shared" ca="1" si="3"/>
        <v/>
      </c>
      <c r="F25" s="1" t="str">
        <f t="shared" ca="1" si="3"/>
        <v/>
      </c>
      <c r="G25" s="1" t="str">
        <f t="shared" ca="1" si="3"/>
        <v/>
      </c>
      <c r="H25" s="1" t="str">
        <f t="shared" ca="1" si="3"/>
        <v/>
      </c>
      <c r="I25" s="1" t="str">
        <f t="shared" ca="1" si="3"/>
        <v/>
      </c>
      <c r="J25" s="1" t="str">
        <f t="shared" ca="1" si="3"/>
        <v/>
      </c>
      <c r="K25" s="1" t="str">
        <f t="shared" ca="1" si="3"/>
        <v/>
      </c>
      <c r="L25" s="1" t="str">
        <f t="shared" ca="1" si="3"/>
        <v/>
      </c>
      <c r="M25" s="1" t="str">
        <f t="shared" ca="1" si="3"/>
        <v/>
      </c>
      <c r="N25" s="1" t="str">
        <f t="shared" ca="1" si="3"/>
        <v/>
      </c>
      <c r="O25" s="1" t="str">
        <f t="shared" ca="1" si="3"/>
        <v/>
      </c>
      <c r="P25" s="1" t="str">
        <f t="shared" ca="1" si="3"/>
        <v/>
      </c>
      <c r="Q25" s="1" t="str">
        <f t="shared" ca="1" si="3"/>
        <v/>
      </c>
      <c r="R25" s="1" t="str">
        <f t="shared" ca="1" si="3"/>
        <v/>
      </c>
      <c r="S25" s="1" t="str">
        <f t="shared" ca="1" si="4"/>
        <v/>
      </c>
      <c r="T25" s="1" t="str">
        <f t="shared" ca="1" si="4"/>
        <v/>
      </c>
      <c r="U25" s="1" t="str">
        <f t="shared" ca="1" si="4"/>
        <v/>
      </c>
      <c r="V25" s="1" t="str">
        <f t="shared" ca="1" si="4"/>
        <v/>
      </c>
      <c r="W25" s="1" t="str">
        <f t="shared" ca="1" si="4"/>
        <v/>
      </c>
      <c r="X25" s="1" t="str">
        <f t="shared" ca="1" si="4"/>
        <v/>
      </c>
      <c r="Y25" s="1" t="str">
        <f t="shared" ca="1" si="4"/>
        <v/>
      </c>
      <c r="Z25" s="1" t="str">
        <f t="shared" ca="1" si="4"/>
        <v/>
      </c>
      <c r="AA25" s="1" t="str">
        <f t="shared" ca="1" si="4"/>
        <v/>
      </c>
    </row>
    <row r="26" spans="1:27" x14ac:dyDescent="0.25">
      <c r="A26" s="3" t="str">
        <f t="shared" si="2"/>
        <v/>
      </c>
      <c r="B26" t="str">
        <v/>
      </c>
      <c r="C26" s="1" t="str">
        <f t="shared" ca="1" si="3"/>
        <v/>
      </c>
      <c r="D26" s="1" t="str">
        <f t="shared" ca="1" si="3"/>
        <v/>
      </c>
      <c r="E26" s="1" t="str">
        <f t="shared" ca="1" si="3"/>
        <v/>
      </c>
      <c r="F26" s="1" t="str">
        <f t="shared" ca="1" si="3"/>
        <v/>
      </c>
      <c r="G26" s="1" t="str">
        <f t="shared" ca="1" si="3"/>
        <v/>
      </c>
      <c r="H26" s="1" t="str">
        <f t="shared" ca="1" si="3"/>
        <v/>
      </c>
      <c r="I26" s="1" t="str">
        <f t="shared" ca="1" si="3"/>
        <v/>
      </c>
      <c r="J26" s="1" t="str">
        <f t="shared" ca="1" si="3"/>
        <v/>
      </c>
      <c r="K26" s="1" t="str">
        <f t="shared" ca="1" si="3"/>
        <v/>
      </c>
      <c r="L26" s="1" t="str">
        <f t="shared" ca="1" si="3"/>
        <v/>
      </c>
      <c r="M26" s="1" t="str">
        <f t="shared" ca="1" si="3"/>
        <v/>
      </c>
      <c r="N26" s="1" t="str">
        <f t="shared" ca="1" si="3"/>
        <v/>
      </c>
      <c r="O26" s="1" t="str">
        <f t="shared" ca="1" si="3"/>
        <v/>
      </c>
      <c r="P26" s="1" t="str">
        <f t="shared" ca="1" si="3"/>
        <v/>
      </c>
      <c r="Q26" s="1" t="str">
        <f t="shared" ca="1" si="3"/>
        <v/>
      </c>
      <c r="R26" s="1" t="str">
        <f t="shared" ca="1" si="3"/>
        <v/>
      </c>
      <c r="S26" s="1" t="str">
        <f t="shared" ca="1" si="4"/>
        <v/>
      </c>
      <c r="T26" s="1" t="str">
        <f t="shared" ca="1" si="4"/>
        <v/>
      </c>
      <c r="U26" s="1" t="str">
        <f t="shared" ca="1" si="4"/>
        <v/>
      </c>
      <c r="V26" s="1" t="str">
        <f t="shared" ca="1" si="4"/>
        <v/>
      </c>
      <c r="W26" s="1" t="str">
        <f t="shared" ca="1" si="4"/>
        <v/>
      </c>
      <c r="X26" s="1" t="str">
        <f t="shared" ca="1" si="4"/>
        <v/>
      </c>
      <c r="Y26" s="1" t="str">
        <f t="shared" ca="1" si="4"/>
        <v/>
      </c>
      <c r="Z26" s="1" t="str">
        <f t="shared" ca="1" si="4"/>
        <v/>
      </c>
      <c r="AA26" s="1" t="str">
        <f t="shared" ca="1" si="4"/>
        <v/>
      </c>
    </row>
    <row r="27" spans="1:27" x14ac:dyDescent="0.25">
      <c r="A27" s="3" t="str">
        <f t="shared" si="2"/>
        <v/>
      </c>
      <c r="B27" t="str">
        <v/>
      </c>
      <c r="C27" s="1" t="str">
        <f t="shared" ca="1" si="3"/>
        <v/>
      </c>
      <c r="D27" s="1" t="str">
        <f t="shared" ca="1" si="3"/>
        <v/>
      </c>
      <c r="E27" s="1" t="str">
        <f t="shared" ca="1" si="3"/>
        <v/>
      </c>
      <c r="F27" s="1" t="str">
        <f t="shared" ca="1" si="3"/>
        <v/>
      </c>
      <c r="G27" s="1" t="str">
        <f t="shared" ca="1" si="3"/>
        <v/>
      </c>
      <c r="H27" s="1" t="str">
        <f t="shared" ca="1" si="3"/>
        <v/>
      </c>
      <c r="I27" s="1" t="str">
        <f t="shared" ca="1" si="3"/>
        <v/>
      </c>
      <c r="J27" s="1" t="str">
        <f t="shared" ca="1" si="3"/>
        <v/>
      </c>
      <c r="K27" s="1" t="str">
        <f t="shared" ca="1" si="3"/>
        <v/>
      </c>
      <c r="L27" s="1" t="str">
        <f t="shared" ca="1" si="3"/>
        <v/>
      </c>
      <c r="M27" s="1" t="str">
        <f t="shared" ca="1" si="3"/>
        <v/>
      </c>
      <c r="N27" s="1" t="str">
        <f t="shared" ca="1" si="3"/>
        <v/>
      </c>
      <c r="O27" s="1" t="str">
        <f t="shared" ca="1" si="3"/>
        <v/>
      </c>
      <c r="P27" s="1" t="str">
        <f t="shared" ca="1" si="3"/>
        <v/>
      </c>
      <c r="Q27" s="1" t="str">
        <f t="shared" ca="1" si="3"/>
        <v/>
      </c>
      <c r="R27" s="1" t="str">
        <f t="shared" ca="1" si="3"/>
        <v/>
      </c>
      <c r="S27" s="1" t="str">
        <f t="shared" ca="1" si="4"/>
        <v/>
      </c>
      <c r="T27" s="1" t="str">
        <f t="shared" ca="1" si="4"/>
        <v/>
      </c>
      <c r="U27" s="1" t="str">
        <f t="shared" ca="1" si="4"/>
        <v/>
      </c>
      <c r="V27" s="1" t="str">
        <f t="shared" ca="1" si="4"/>
        <v/>
      </c>
      <c r="W27" s="1" t="str">
        <f t="shared" ca="1" si="4"/>
        <v/>
      </c>
      <c r="X27" s="1" t="str">
        <f t="shared" ca="1" si="4"/>
        <v/>
      </c>
      <c r="Y27" s="1" t="str">
        <f t="shared" ca="1" si="4"/>
        <v/>
      </c>
      <c r="Z27" s="1" t="str">
        <f t="shared" ca="1" si="4"/>
        <v/>
      </c>
      <c r="AA27" s="1" t="str">
        <f t="shared" ca="1" si="4"/>
        <v/>
      </c>
    </row>
    <row r="28" spans="1:27" x14ac:dyDescent="0.25">
      <c r="A28" s="3" t="str">
        <f t="shared" si="2"/>
        <v/>
      </c>
      <c r="B28" t="str">
        <v/>
      </c>
      <c r="C28" s="1" t="str">
        <f t="shared" ca="1" si="3"/>
        <v/>
      </c>
      <c r="D28" s="1" t="str">
        <f t="shared" ca="1" si="3"/>
        <v/>
      </c>
      <c r="E28" s="1" t="str">
        <f t="shared" ca="1" si="3"/>
        <v/>
      </c>
      <c r="F28" s="1" t="str">
        <f t="shared" ca="1" si="3"/>
        <v/>
      </c>
      <c r="G28" s="1" t="str">
        <f t="shared" ca="1" si="3"/>
        <v/>
      </c>
      <c r="H28" s="1" t="str">
        <f t="shared" ca="1" si="3"/>
        <v/>
      </c>
      <c r="I28" s="1" t="str">
        <f t="shared" ca="1" si="3"/>
        <v/>
      </c>
      <c r="J28" s="1" t="str">
        <f t="shared" ca="1" si="3"/>
        <v/>
      </c>
      <c r="K28" s="1" t="str">
        <f t="shared" ca="1" si="3"/>
        <v/>
      </c>
      <c r="L28" s="1" t="str">
        <f t="shared" ca="1" si="3"/>
        <v/>
      </c>
      <c r="M28" s="1" t="str">
        <f t="shared" ca="1" si="3"/>
        <v/>
      </c>
      <c r="N28" s="1" t="str">
        <f t="shared" ca="1" si="3"/>
        <v/>
      </c>
      <c r="O28" s="1" t="str">
        <f t="shared" ca="1" si="3"/>
        <v/>
      </c>
      <c r="P28" s="1" t="str">
        <f t="shared" ca="1" si="3"/>
        <v/>
      </c>
      <c r="Q28" s="1" t="str">
        <f t="shared" ca="1" si="3"/>
        <v/>
      </c>
      <c r="R28" s="1" t="str">
        <f t="shared" ca="1" si="3"/>
        <v/>
      </c>
      <c r="S28" s="1" t="str">
        <f t="shared" ca="1" si="4"/>
        <v/>
      </c>
      <c r="T28" s="1" t="str">
        <f t="shared" ca="1" si="4"/>
        <v/>
      </c>
      <c r="U28" s="1" t="str">
        <f t="shared" ca="1" si="4"/>
        <v/>
      </c>
      <c r="V28" s="1" t="str">
        <f t="shared" ca="1" si="4"/>
        <v/>
      </c>
      <c r="W28" s="1" t="str">
        <f t="shared" ca="1" si="4"/>
        <v/>
      </c>
      <c r="X28" s="1" t="str">
        <f t="shared" ca="1" si="4"/>
        <v/>
      </c>
      <c r="Y28" s="1" t="str">
        <f t="shared" ca="1" si="4"/>
        <v/>
      </c>
      <c r="Z28" s="1" t="str">
        <f t="shared" ca="1" si="4"/>
        <v/>
      </c>
      <c r="AA28" s="1" t="str">
        <f t="shared" ca="1" si="4"/>
        <v/>
      </c>
    </row>
    <row r="29" spans="1:27" x14ac:dyDescent="0.25">
      <c r="A29" s="3" t="str">
        <f t="shared" si="2"/>
        <v/>
      </c>
      <c r="B29" t="str">
        <v/>
      </c>
      <c r="C29" s="1" t="str">
        <f t="shared" ca="1" si="3"/>
        <v/>
      </c>
      <c r="D29" s="1" t="str">
        <f t="shared" ca="1" si="3"/>
        <v/>
      </c>
      <c r="E29" s="1" t="str">
        <f t="shared" ca="1" si="3"/>
        <v/>
      </c>
      <c r="F29" s="1" t="str">
        <f t="shared" ca="1" si="3"/>
        <v/>
      </c>
      <c r="G29" s="1" t="str">
        <f t="shared" ca="1" si="3"/>
        <v/>
      </c>
      <c r="H29" s="1" t="str">
        <f t="shared" ca="1" si="3"/>
        <v/>
      </c>
      <c r="I29" s="1" t="str">
        <f t="shared" ca="1" si="3"/>
        <v/>
      </c>
      <c r="J29" s="1" t="str">
        <f t="shared" ca="1" si="3"/>
        <v/>
      </c>
      <c r="K29" s="1" t="str">
        <f t="shared" ca="1" si="3"/>
        <v/>
      </c>
      <c r="L29" s="1" t="str">
        <f t="shared" ca="1" si="3"/>
        <v/>
      </c>
      <c r="M29" s="1" t="str">
        <f t="shared" ca="1" si="3"/>
        <v/>
      </c>
      <c r="N29" s="1" t="str">
        <f t="shared" ca="1" si="3"/>
        <v/>
      </c>
      <c r="O29" s="1" t="str">
        <f t="shared" ca="1" si="3"/>
        <v/>
      </c>
      <c r="P29" s="1" t="str">
        <f t="shared" ca="1" si="3"/>
        <v/>
      </c>
      <c r="Q29" s="1" t="str">
        <f t="shared" ca="1" si="3"/>
        <v/>
      </c>
      <c r="R29" s="1" t="str">
        <f t="shared" ca="1" si="3"/>
        <v/>
      </c>
      <c r="S29" s="1" t="str">
        <f t="shared" ca="1" si="4"/>
        <v/>
      </c>
      <c r="T29" s="1" t="str">
        <f t="shared" ca="1" si="4"/>
        <v/>
      </c>
      <c r="U29" s="1" t="str">
        <f t="shared" ca="1" si="4"/>
        <v/>
      </c>
      <c r="V29" s="1" t="str">
        <f t="shared" ca="1" si="4"/>
        <v/>
      </c>
      <c r="W29" s="1" t="str">
        <f t="shared" ca="1" si="4"/>
        <v/>
      </c>
      <c r="X29" s="1" t="str">
        <f t="shared" ca="1" si="4"/>
        <v/>
      </c>
      <c r="Y29" s="1" t="str">
        <f t="shared" ca="1" si="4"/>
        <v/>
      </c>
      <c r="Z29" s="1" t="str">
        <f t="shared" ca="1" si="4"/>
        <v/>
      </c>
      <c r="AA29" s="1" t="str">
        <f t="shared" ca="1" si="4"/>
        <v/>
      </c>
    </row>
  </sheetData>
  <mergeCells count="3">
    <mergeCell ref="O1:P1"/>
    <mergeCell ref="F1:G1"/>
    <mergeCell ref="AB1:AB16"/>
  </mergeCells>
  <conditionalFormatting sqref="C5:AA28">
    <cfRule type="cellIs" dxfId="3" priority="1" operator="equal">
      <formula>99</formula>
    </cfRule>
  </conditionalFormatting>
  <conditionalFormatting sqref="C5:AA29">
    <cfRule type="cellIs" dxfId="2" priority="2" operator="notBetween">
      <formula>-0.7</formula>
      <formula>0.7</formula>
    </cfRule>
    <cfRule type="cellIs" dxfId="1" priority="3" operator="equal">
      <formula>""</formula>
    </cfRule>
    <cfRule type="colorScale" priority="4">
      <colorScale>
        <cfvo type="num" val="-1"/>
        <cfvo type="num" val="0"/>
        <cfvo type="num" val="1"/>
        <color rgb="FFFF0000"/>
        <color theme="0"/>
        <color theme="9" tint="-0.249977111117893"/>
      </colorScale>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D5773-0E8E-4F70-90DF-FDA785EE03A0}">
  <sheetPr>
    <tabColor rgb="FF92D050"/>
  </sheetPr>
  <dimension ref="A1:T31"/>
  <sheetViews>
    <sheetView zoomScaleNormal="100" workbookViewId="0"/>
  </sheetViews>
  <sheetFormatPr baseColWidth="10" defaultRowHeight="15" zeroHeight="1" x14ac:dyDescent="0.25"/>
  <cols>
    <col min="5" max="5" width="11.85546875" bestFit="1" customWidth="1"/>
    <col min="6" max="6" width="3" customWidth="1"/>
    <col min="14" max="14" width="3" customWidth="1"/>
  </cols>
  <sheetData>
    <row r="1" spans="1:20" x14ac:dyDescent="0.25">
      <c r="A1" t="s">
        <v>88</v>
      </c>
      <c r="B1" t="s">
        <v>90</v>
      </c>
      <c r="C1" t="s">
        <v>91</v>
      </c>
      <c r="D1" t="s">
        <v>62</v>
      </c>
      <c r="E1" t="s">
        <v>89</v>
      </c>
      <c r="G1" t="str">
        <f>A1</f>
        <v>Variables</v>
      </c>
      <c r="H1" t="str">
        <f t="shared" ref="H1:J1" si="0">B1</f>
        <v>Effects [Higher - Lower]</v>
      </c>
      <c r="I1" t="str">
        <f t="shared" si="0"/>
        <v>Effects [Range]</v>
      </c>
      <c r="J1" t="str">
        <f t="shared" si="0"/>
        <v>SS</v>
      </c>
      <c r="K1" t="str">
        <f>E1</f>
        <v>SS%</v>
      </c>
      <c r="L1" t="s">
        <v>93</v>
      </c>
      <c r="M1" t="s">
        <v>94</v>
      </c>
      <c r="O1" t="str">
        <f>G1</f>
        <v>Variables</v>
      </c>
      <c r="P1" t="str">
        <f t="shared" ref="P1" si="1">H1</f>
        <v>Effects [Higher - Lower]</v>
      </c>
      <c r="Q1" t="str">
        <f t="shared" ref="Q1" si="2">I1</f>
        <v>Effects [Range]</v>
      </c>
      <c r="R1" t="str">
        <f t="shared" ref="R1" si="3">J1</f>
        <v>SS</v>
      </c>
      <c r="S1" t="str">
        <f>K1</f>
        <v>SS%</v>
      </c>
      <c r="T1" t="s">
        <v>92</v>
      </c>
    </row>
    <row r="2" spans="1:20" x14ac:dyDescent="0.25">
      <c r="A2" t="str" cm="1">
        <f t="array" ref="A2:A26">TRANSPOSE(MODEL!A49:Y49)</f>
        <v>A</v>
      </c>
      <c r="B2" cm="1">
        <f t="array" aca="1" ref="B2:B26" ca="1">TRANSPOSE(MODEL!A47:Y47)</f>
        <v>-0.95248632812500045</v>
      </c>
      <c r="C2" cm="1">
        <f t="array" ref="C2:C26">TRANSPOSE(MODEL!A48:Y48)</f>
        <v>0.95248632812500045</v>
      </c>
      <c r="D2" cm="1">
        <f t="array" aca="1" ref="D2:D26" ca="1">TRANSPOSE(MODEL!A81:Y81)</f>
        <v>7.2578416421203578</v>
      </c>
      <c r="E2" s="11" cm="1">
        <f t="array" aca="1" ref="E2:E26" ca="1">TRANSPOSE(MODEL!A80:Y80)</f>
        <v>9.4223631576323796E-2</v>
      </c>
      <c r="G2" t="str" cm="1">
        <f t="array" aca="1" ref="G2:K6" ca="1">_xlfn.SORTBY(OFFSET(A2,0,0,COUNT(B2:B26),5),OFFSET(C2,0,0,COUNT(B2:B26),1),-1)</f>
        <v>C</v>
      </c>
      <c r="H2">
        <f ca="1"/>
        <v>2.167385078125001</v>
      </c>
      <c r="I2">
        <f ca="1"/>
        <v>2.167385078125001</v>
      </c>
      <c r="J2">
        <f ca="1"/>
        <v>37.580464615031268</v>
      </c>
      <c r="K2" s="11">
        <f ca="1"/>
        <v>0.48788166330387112</v>
      </c>
      <c r="L2" s="12">
        <f ca="1">IF(H2="","",IF(H2&lt;0,"",I2))</f>
        <v>2.167385078125001</v>
      </c>
      <c r="M2" s="12" t="str">
        <f ca="1">IF(H2="","",IF(H2&gt;0,"",I2))</f>
        <v/>
      </c>
      <c r="O2" t="str" cm="1">
        <f t="array" aca="1" ref="O2:S6" ca="1">_xlfn.SORTBY(OFFSET(A2,0,0,COUNT(B2:B26),5),OFFSET(E2,0,0,COUNT(B2:B26),1),-1)</f>
        <v>C</v>
      </c>
      <c r="P2">
        <f ca="1"/>
        <v>2.167385078125001</v>
      </c>
      <c r="Q2">
        <f ca="1"/>
        <v>2.167385078125001</v>
      </c>
      <c r="R2">
        <f ca="1"/>
        <v>37.580464615031268</v>
      </c>
      <c r="S2" s="11">
        <f ca="1"/>
        <v>0.48788166330387112</v>
      </c>
      <c r="T2" s="11">
        <f ca="1">S2</f>
        <v>0.48788166330387112</v>
      </c>
    </row>
    <row r="3" spans="1:20" x14ac:dyDescent="0.25">
      <c r="A3" t="str">
        <v>C</v>
      </c>
      <c r="B3">
        <f ca="1"/>
        <v>2.167385078125001</v>
      </c>
      <c r="C3">
        <v>2.167385078125001</v>
      </c>
      <c r="D3">
        <f ca="1"/>
        <v>37.580464615031268</v>
      </c>
      <c r="E3" s="11">
        <f ca="1"/>
        <v>0.48788166330387112</v>
      </c>
      <c r="G3" t="str">
        <f ca="1"/>
        <v>A</v>
      </c>
      <c r="H3">
        <f ca="1"/>
        <v>-0.95248632812500045</v>
      </c>
      <c r="I3">
        <f ca="1"/>
        <v>0.95248632812500045</v>
      </c>
      <c r="J3">
        <f ca="1"/>
        <v>7.2578416421203578</v>
      </c>
      <c r="K3" s="11">
        <f ca="1"/>
        <v>9.4223631576323796E-2</v>
      </c>
      <c r="L3" s="12" t="str">
        <f t="shared" ref="L3:L4" ca="1" si="4">IF(H3="","",IF(H3&lt;0,"",I3))</f>
        <v/>
      </c>
      <c r="M3" s="12">
        <f t="shared" ref="M3:M26" ca="1" si="5">IF(H3="","",IF(H3&gt;0,"",I3))</f>
        <v>0.95248632812500045</v>
      </c>
      <c r="O3" t="str">
        <f ca="1"/>
        <v>A</v>
      </c>
      <c r="P3">
        <f ca="1"/>
        <v>-0.95248632812500045</v>
      </c>
      <c r="Q3">
        <f ca="1"/>
        <v>0.95248632812500045</v>
      </c>
      <c r="R3">
        <f ca="1"/>
        <v>7.2578416421203578</v>
      </c>
      <c r="S3" s="11">
        <f ca="1"/>
        <v>9.4223631576323796E-2</v>
      </c>
      <c r="T3" s="11">
        <f ca="1">IF(S3="","",S3+T2)</f>
        <v>0.58210529488019491</v>
      </c>
    </row>
    <row r="4" spans="1:20" x14ac:dyDescent="0.25">
      <c r="A4" t="str">
        <v>E</v>
      </c>
      <c r="B4">
        <f ca="1"/>
        <v>0.93598029687499906</v>
      </c>
      <c r="C4">
        <v>0.93598029687499906</v>
      </c>
      <c r="D4">
        <f ca="1"/>
        <v>7.00847292910571</v>
      </c>
      <c r="E4" s="11">
        <f ca="1"/>
        <v>9.0986246841254018E-2</v>
      </c>
      <c r="G4" t="str">
        <f ca="1"/>
        <v>E</v>
      </c>
      <c r="H4">
        <f ca="1"/>
        <v>0.93598029687499906</v>
      </c>
      <c r="I4">
        <f ca="1"/>
        <v>0.93598029687499906</v>
      </c>
      <c r="J4">
        <f ca="1"/>
        <v>7.00847292910571</v>
      </c>
      <c r="K4" s="11">
        <f ca="1"/>
        <v>9.0986246841254018E-2</v>
      </c>
      <c r="L4" s="12">
        <f t="shared" ca="1" si="4"/>
        <v>0.93598029687499906</v>
      </c>
      <c r="M4" s="12" t="str">
        <f t="shared" ca="1" si="5"/>
        <v/>
      </c>
      <c r="O4" t="str">
        <f ca="1"/>
        <v>E</v>
      </c>
      <c r="P4">
        <f ca="1"/>
        <v>0.93598029687499906</v>
      </c>
      <c r="Q4">
        <f ca="1"/>
        <v>0.93598029687499906</v>
      </c>
      <c r="R4">
        <f ca="1"/>
        <v>7.00847292910571</v>
      </c>
      <c r="S4" s="11">
        <f ca="1"/>
        <v>9.0986246841254018E-2</v>
      </c>
      <c r="T4" s="11">
        <f t="shared" ref="T4:T26" ca="1" si="6">IF(S4="","",S4+T3)</f>
        <v>0.67309154172144892</v>
      </c>
    </row>
    <row r="5" spans="1:20" x14ac:dyDescent="0.25">
      <c r="A5" t="str">
        <v>AC</v>
      </c>
      <c r="B5">
        <f ca="1"/>
        <v>-0.71972810937499965</v>
      </c>
      <c r="C5">
        <v>0.71972810937499965</v>
      </c>
      <c r="D5">
        <f ca="1"/>
        <v>4.1440684113960913</v>
      </c>
      <c r="E5" s="11">
        <f ca="1"/>
        <v>5.3799627282635543E-2</v>
      </c>
      <c r="G5" t="str">
        <f ca="1"/>
        <v>AE</v>
      </c>
      <c r="H5">
        <f ca="1"/>
        <v>0.83766710937499944</v>
      </c>
      <c r="I5">
        <f ca="1"/>
        <v>0.83766710937499944</v>
      </c>
      <c r="J5">
        <f ca="1"/>
        <v>5.6134894890293383</v>
      </c>
      <c r="K5" s="11">
        <f ca="1"/>
        <v>7.2876123722829395E-2</v>
      </c>
      <c r="L5" s="12">
        <f t="shared" ref="L5:L26" ca="1" si="7">IF(H5="","",IF(H5&lt;0,"",I5))</f>
        <v>0.83766710937499944</v>
      </c>
      <c r="M5" s="12" t="str">
        <f t="shared" ca="1" si="5"/>
        <v/>
      </c>
      <c r="O5" t="str">
        <f ca="1"/>
        <v>AE</v>
      </c>
      <c r="P5">
        <f ca="1"/>
        <v>0.83766710937499944</v>
      </c>
      <c r="Q5">
        <f ca="1"/>
        <v>0.83766710937499944</v>
      </c>
      <c r="R5">
        <f ca="1"/>
        <v>5.6134894890293383</v>
      </c>
      <c r="S5" s="11">
        <f ca="1"/>
        <v>7.2876123722829395E-2</v>
      </c>
      <c r="T5" s="11">
        <f t="shared" ca="1" si="6"/>
        <v>0.74596766544427828</v>
      </c>
    </row>
    <row r="6" spans="1:20" x14ac:dyDescent="0.25">
      <c r="A6" t="str">
        <v>AE</v>
      </c>
      <c r="B6">
        <f ca="1"/>
        <v>0.83766710937499944</v>
      </c>
      <c r="C6">
        <v>0.83766710937499944</v>
      </c>
      <c r="D6">
        <f ca="1"/>
        <v>5.6134894890293383</v>
      </c>
      <c r="E6" s="11">
        <f ca="1"/>
        <v>7.2876123722829395E-2</v>
      </c>
      <c r="G6" t="str">
        <f ca="1"/>
        <v>AC</v>
      </c>
      <c r="H6">
        <f ca="1"/>
        <v>-0.71972810937499965</v>
      </c>
      <c r="I6">
        <f ca="1"/>
        <v>0.71972810937499965</v>
      </c>
      <c r="J6">
        <f ca="1"/>
        <v>4.1440684113960913</v>
      </c>
      <c r="K6" s="11">
        <f ca="1"/>
        <v>5.3799627282635543E-2</v>
      </c>
      <c r="L6" s="12" t="str">
        <f t="shared" ca="1" si="7"/>
        <v/>
      </c>
      <c r="M6" s="12">
        <f t="shared" ca="1" si="5"/>
        <v>0.71972810937499965</v>
      </c>
      <c r="O6" t="str">
        <f ca="1"/>
        <v>AC</v>
      </c>
      <c r="P6">
        <f ca="1"/>
        <v>-0.71972810937499965</v>
      </c>
      <c r="Q6">
        <f ca="1"/>
        <v>0.71972810937499965</v>
      </c>
      <c r="R6">
        <f ca="1"/>
        <v>4.1440684113960913</v>
      </c>
      <c r="S6" s="11">
        <f ca="1"/>
        <v>5.3799627282635543E-2</v>
      </c>
      <c r="T6" s="11">
        <f t="shared" ca="1" si="6"/>
        <v>0.79976729272691383</v>
      </c>
    </row>
    <row r="7" spans="1:20" x14ac:dyDescent="0.25">
      <c r="A7" t="str">
        <v/>
      </c>
      <c r="B7" t="str">
        <f ca="1"/>
        <v/>
      </c>
      <c r="C7" t="str">
        <v/>
      </c>
      <c r="D7" t="str">
        <f ca="1"/>
        <v/>
      </c>
      <c r="E7" s="11" t="str">
        <f ca="1"/>
        <v/>
      </c>
      <c r="K7" s="11"/>
      <c r="L7" s="12" t="str">
        <f t="shared" si="7"/>
        <v/>
      </c>
      <c r="M7" s="12" t="str">
        <f t="shared" si="5"/>
        <v/>
      </c>
      <c r="S7" s="11"/>
      <c r="T7" s="11" t="str">
        <f t="shared" si="6"/>
        <v/>
      </c>
    </row>
    <row r="8" spans="1:20" x14ac:dyDescent="0.25">
      <c r="A8" t="str">
        <v/>
      </c>
      <c r="B8" t="str">
        <f ca="1"/>
        <v/>
      </c>
      <c r="C8" t="str">
        <v/>
      </c>
      <c r="D8" t="str">
        <f ca="1"/>
        <v/>
      </c>
      <c r="E8" s="11" t="str">
        <f ca="1"/>
        <v/>
      </c>
      <c r="K8" s="11"/>
      <c r="L8" s="12" t="str">
        <f t="shared" si="7"/>
        <v/>
      </c>
      <c r="M8" s="12" t="str">
        <f t="shared" si="5"/>
        <v/>
      </c>
      <c r="S8" s="11"/>
      <c r="T8" s="11" t="str">
        <f t="shared" si="6"/>
        <v/>
      </c>
    </row>
    <row r="9" spans="1:20" x14ac:dyDescent="0.25">
      <c r="A9" t="str">
        <v/>
      </c>
      <c r="B9" t="str">
        <f ca="1"/>
        <v/>
      </c>
      <c r="C9" t="str">
        <v/>
      </c>
      <c r="D9" t="str">
        <f ca="1"/>
        <v/>
      </c>
      <c r="E9" s="11" t="str">
        <f ca="1"/>
        <v/>
      </c>
      <c r="K9" s="11"/>
      <c r="L9" s="12" t="str">
        <f t="shared" si="7"/>
        <v/>
      </c>
      <c r="M9" s="12" t="str">
        <f t="shared" si="5"/>
        <v/>
      </c>
      <c r="S9" s="11"/>
      <c r="T9" s="11" t="str">
        <f t="shared" si="6"/>
        <v/>
      </c>
    </row>
    <row r="10" spans="1:20" x14ac:dyDescent="0.25">
      <c r="A10" t="str">
        <v/>
      </c>
      <c r="B10" t="str">
        <f ca="1"/>
        <v/>
      </c>
      <c r="C10" t="str">
        <v/>
      </c>
      <c r="D10" t="str">
        <f ca="1"/>
        <v/>
      </c>
      <c r="E10" s="11" t="str">
        <f ca="1"/>
        <v/>
      </c>
      <c r="K10" s="11"/>
      <c r="L10" s="12" t="str">
        <f t="shared" si="7"/>
        <v/>
      </c>
      <c r="M10" s="12" t="str">
        <f t="shared" si="5"/>
        <v/>
      </c>
      <c r="S10" s="11"/>
      <c r="T10" s="11" t="str">
        <f t="shared" si="6"/>
        <v/>
      </c>
    </row>
    <row r="11" spans="1:20" x14ac:dyDescent="0.25">
      <c r="A11" t="str">
        <v/>
      </c>
      <c r="B11" t="str">
        <f ca="1"/>
        <v/>
      </c>
      <c r="C11" t="str">
        <v/>
      </c>
      <c r="D11" t="str">
        <f ca="1"/>
        <v/>
      </c>
      <c r="E11" s="11" t="str">
        <f ca="1"/>
        <v/>
      </c>
      <c r="K11" s="11"/>
      <c r="L11" s="12" t="str">
        <f t="shared" si="7"/>
        <v/>
      </c>
      <c r="M11" s="12" t="str">
        <f t="shared" si="5"/>
        <v/>
      </c>
      <c r="S11" s="11"/>
      <c r="T11" s="11" t="str">
        <f t="shared" si="6"/>
        <v/>
      </c>
    </row>
    <row r="12" spans="1:20" x14ac:dyDescent="0.25">
      <c r="A12" t="str">
        <v/>
      </c>
      <c r="B12" t="str">
        <f ca="1"/>
        <v/>
      </c>
      <c r="C12" t="str">
        <v/>
      </c>
      <c r="D12" t="str">
        <f ca="1"/>
        <v/>
      </c>
      <c r="E12" s="11" t="str">
        <f ca="1"/>
        <v/>
      </c>
      <c r="K12" s="11"/>
      <c r="L12" s="12" t="str">
        <f t="shared" si="7"/>
        <v/>
      </c>
      <c r="M12" s="12" t="str">
        <f t="shared" si="5"/>
        <v/>
      </c>
      <c r="S12" s="11"/>
      <c r="T12" s="11" t="str">
        <f t="shared" si="6"/>
        <v/>
      </c>
    </row>
    <row r="13" spans="1:20" x14ac:dyDescent="0.25">
      <c r="A13" t="str">
        <v/>
      </c>
      <c r="B13" t="str">
        <f ca="1"/>
        <v/>
      </c>
      <c r="C13" t="str">
        <v/>
      </c>
      <c r="D13" t="str">
        <f ca="1"/>
        <v/>
      </c>
      <c r="E13" s="11" t="str">
        <f ca="1"/>
        <v/>
      </c>
      <c r="K13" s="11"/>
      <c r="L13" s="12" t="str">
        <f t="shared" si="7"/>
        <v/>
      </c>
      <c r="M13" s="12" t="str">
        <f t="shared" si="5"/>
        <v/>
      </c>
      <c r="S13" s="11"/>
      <c r="T13" s="11" t="str">
        <f t="shared" si="6"/>
        <v/>
      </c>
    </row>
    <row r="14" spans="1:20" x14ac:dyDescent="0.25">
      <c r="A14" t="str">
        <v/>
      </c>
      <c r="B14" t="str">
        <f ca="1"/>
        <v/>
      </c>
      <c r="C14" t="str">
        <v/>
      </c>
      <c r="D14" t="str">
        <f ca="1"/>
        <v/>
      </c>
      <c r="E14" s="11" t="str">
        <f ca="1"/>
        <v/>
      </c>
      <c r="K14" s="11"/>
      <c r="L14" s="12" t="str">
        <f t="shared" si="7"/>
        <v/>
      </c>
      <c r="M14" s="12" t="str">
        <f t="shared" si="5"/>
        <v/>
      </c>
      <c r="S14" s="11"/>
      <c r="T14" s="11" t="str">
        <f t="shared" si="6"/>
        <v/>
      </c>
    </row>
    <row r="15" spans="1:20" x14ac:dyDescent="0.25">
      <c r="A15" t="str">
        <v/>
      </c>
      <c r="B15" t="str">
        <f ca="1"/>
        <v/>
      </c>
      <c r="C15" t="str">
        <v/>
      </c>
      <c r="D15" t="str">
        <f ca="1"/>
        <v/>
      </c>
      <c r="E15" s="11" t="str">
        <f ca="1"/>
        <v/>
      </c>
      <c r="K15" s="11"/>
      <c r="L15" s="12" t="str">
        <f t="shared" si="7"/>
        <v/>
      </c>
      <c r="M15" s="12" t="str">
        <f t="shared" si="5"/>
        <v/>
      </c>
      <c r="S15" s="11"/>
      <c r="T15" s="11" t="str">
        <f t="shared" si="6"/>
        <v/>
      </c>
    </row>
    <row r="16" spans="1:20" x14ac:dyDescent="0.25">
      <c r="A16" t="str">
        <v/>
      </c>
      <c r="B16" t="str">
        <f ca="1"/>
        <v/>
      </c>
      <c r="C16" t="str">
        <v/>
      </c>
      <c r="D16" t="str">
        <f ca="1"/>
        <v/>
      </c>
      <c r="E16" s="11" t="str">
        <f ca="1"/>
        <v/>
      </c>
      <c r="K16" s="11"/>
      <c r="L16" s="12" t="str">
        <f t="shared" si="7"/>
        <v/>
      </c>
      <c r="M16" s="12" t="str">
        <f t="shared" si="5"/>
        <v/>
      </c>
      <c r="S16" s="11"/>
      <c r="T16" s="11" t="str">
        <f t="shared" si="6"/>
        <v/>
      </c>
    </row>
    <row r="17" spans="1:20" x14ac:dyDescent="0.25">
      <c r="A17" t="str">
        <v/>
      </c>
      <c r="B17" t="str">
        <f ca="1"/>
        <v/>
      </c>
      <c r="C17" t="str">
        <v/>
      </c>
      <c r="D17" t="str">
        <f ca="1"/>
        <v/>
      </c>
      <c r="E17" s="11" t="str">
        <f ca="1"/>
        <v/>
      </c>
      <c r="K17" s="11"/>
      <c r="L17" s="12" t="str">
        <f t="shared" si="7"/>
        <v/>
      </c>
      <c r="M17" s="12" t="str">
        <f t="shared" si="5"/>
        <v/>
      </c>
      <c r="S17" s="11"/>
      <c r="T17" s="11" t="str">
        <f t="shared" si="6"/>
        <v/>
      </c>
    </row>
    <row r="18" spans="1:20" x14ac:dyDescent="0.25">
      <c r="A18" t="str">
        <v/>
      </c>
      <c r="B18" t="str">
        <f ca="1"/>
        <v/>
      </c>
      <c r="C18" t="str">
        <v/>
      </c>
      <c r="D18" t="str">
        <f ca="1"/>
        <v/>
      </c>
      <c r="E18" s="11" t="str">
        <f ca="1"/>
        <v/>
      </c>
      <c r="K18" s="11"/>
      <c r="L18" s="12" t="str">
        <f t="shared" si="7"/>
        <v/>
      </c>
      <c r="M18" s="12" t="str">
        <f t="shared" si="5"/>
        <v/>
      </c>
      <c r="S18" s="11"/>
      <c r="T18" s="11" t="str">
        <f t="shared" si="6"/>
        <v/>
      </c>
    </row>
    <row r="19" spans="1:20" x14ac:dyDescent="0.25">
      <c r="A19" t="str">
        <v/>
      </c>
      <c r="B19" t="str">
        <f ca="1"/>
        <v/>
      </c>
      <c r="C19" t="str">
        <v/>
      </c>
      <c r="D19" t="str">
        <f ca="1"/>
        <v/>
      </c>
      <c r="E19" s="11" t="str">
        <f ca="1"/>
        <v/>
      </c>
      <c r="K19" s="11"/>
      <c r="L19" s="12" t="str">
        <f t="shared" si="7"/>
        <v/>
      </c>
      <c r="M19" s="12" t="str">
        <f t="shared" si="5"/>
        <v/>
      </c>
      <c r="S19" s="11"/>
      <c r="T19" s="11" t="str">
        <f t="shared" si="6"/>
        <v/>
      </c>
    </row>
    <row r="20" spans="1:20" x14ac:dyDescent="0.25">
      <c r="A20" t="str">
        <v/>
      </c>
      <c r="B20" t="str">
        <f ca="1"/>
        <v/>
      </c>
      <c r="C20" t="str">
        <v/>
      </c>
      <c r="D20" t="str">
        <f ca="1"/>
        <v/>
      </c>
      <c r="E20" s="11" t="str">
        <f ca="1"/>
        <v/>
      </c>
      <c r="K20" s="11"/>
      <c r="L20" s="12" t="str">
        <f t="shared" si="7"/>
        <v/>
      </c>
      <c r="M20" s="12" t="str">
        <f t="shared" si="5"/>
        <v/>
      </c>
      <c r="S20" s="11"/>
      <c r="T20" s="11" t="str">
        <f t="shared" si="6"/>
        <v/>
      </c>
    </row>
    <row r="21" spans="1:20" x14ac:dyDescent="0.25">
      <c r="A21" t="str">
        <v/>
      </c>
      <c r="B21" t="str">
        <f ca="1"/>
        <v/>
      </c>
      <c r="C21" t="str">
        <v/>
      </c>
      <c r="D21" t="str">
        <f ca="1"/>
        <v/>
      </c>
      <c r="E21" s="11" t="str">
        <f ca="1"/>
        <v/>
      </c>
      <c r="K21" s="11"/>
      <c r="L21" s="12" t="str">
        <f t="shared" si="7"/>
        <v/>
      </c>
      <c r="M21" s="12" t="str">
        <f t="shared" si="5"/>
        <v/>
      </c>
      <c r="S21" s="11"/>
      <c r="T21" s="11" t="str">
        <f t="shared" si="6"/>
        <v/>
      </c>
    </row>
    <row r="22" spans="1:20" x14ac:dyDescent="0.25">
      <c r="A22" t="str">
        <v/>
      </c>
      <c r="B22" t="str">
        <f ca="1"/>
        <v/>
      </c>
      <c r="C22" t="str">
        <v/>
      </c>
      <c r="D22" t="str">
        <f ca="1"/>
        <v/>
      </c>
      <c r="E22" s="11" t="str">
        <f ca="1"/>
        <v/>
      </c>
      <c r="K22" s="11"/>
      <c r="L22" s="12" t="str">
        <f t="shared" si="7"/>
        <v/>
      </c>
      <c r="M22" s="12" t="str">
        <f t="shared" si="5"/>
        <v/>
      </c>
      <c r="S22" s="11"/>
      <c r="T22" s="11" t="str">
        <f t="shared" si="6"/>
        <v/>
      </c>
    </row>
    <row r="23" spans="1:20" x14ac:dyDescent="0.25">
      <c r="A23" t="str">
        <v/>
      </c>
      <c r="B23" t="str">
        <f ca="1"/>
        <v/>
      </c>
      <c r="C23" t="str">
        <v/>
      </c>
      <c r="D23" t="str">
        <f ca="1"/>
        <v/>
      </c>
      <c r="E23" s="11" t="str">
        <f ca="1"/>
        <v/>
      </c>
      <c r="K23" s="11"/>
      <c r="L23" s="12" t="str">
        <f t="shared" si="7"/>
        <v/>
      </c>
      <c r="M23" s="12" t="str">
        <f t="shared" si="5"/>
        <v/>
      </c>
      <c r="S23" s="11"/>
      <c r="T23" s="11" t="str">
        <f t="shared" si="6"/>
        <v/>
      </c>
    </row>
    <row r="24" spans="1:20" x14ac:dyDescent="0.25">
      <c r="A24" t="str">
        <v/>
      </c>
      <c r="B24" t="str">
        <f ca="1"/>
        <v/>
      </c>
      <c r="C24" t="str">
        <v/>
      </c>
      <c r="D24" t="str">
        <f ca="1"/>
        <v/>
      </c>
      <c r="E24" s="11" t="str">
        <f ca="1"/>
        <v/>
      </c>
      <c r="K24" s="11"/>
      <c r="L24" s="12" t="str">
        <f t="shared" si="7"/>
        <v/>
      </c>
      <c r="M24" s="12" t="str">
        <f t="shared" si="5"/>
        <v/>
      </c>
      <c r="S24" s="11"/>
      <c r="T24" s="11" t="str">
        <f t="shared" si="6"/>
        <v/>
      </c>
    </row>
    <row r="25" spans="1:20" x14ac:dyDescent="0.25">
      <c r="A25" t="str">
        <v/>
      </c>
      <c r="B25" t="str">
        <f ca="1"/>
        <v/>
      </c>
      <c r="C25" t="str">
        <v/>
      </c>
      <c r="D25" t="str">
        <f ca="1"/>
        <v/>
      </c>
      <c r="E25" s="11" t="str">
        <f ca="1"/>
        <v/>
      </c>
      <c r="K25" s="11"/>
      <c r="L25" s="12" t="str">
        <f t="shared" si="7"/>
        <v/>
      </c>
      <c r="M25" s="12" t="str">
        <f t="shared" si="5"/>
        <v/>
      </c>
      <c r="S25" s="11"/>
      <c r="T25" s="11" t="str">
        <f t="shared" si="6"/>
        <v/>
      </c>
    </row>
    <row r="26" spans="1:20" x14ac:dyDescent="0.25">
      <c r="A26" t="str">
        <v/>
      </c>
      <c r="B26" t="str">
        <f ca="1"/>
        <v/>
      </c>
      <c r="C26" t="str">
        <v/>
      </c>
      <c r="D26" t="str">
        <f ca="1"/>
        <v/>
      </c>
      <c r="E26" s="11" t="str">
        <f ca="1"/>
        <v/>
      </c>
      <c r="K26" s="11"/>
      <c r="L26" s="12" t="str">
        <f t="shared" si="7"/>
        <v/>
      </c>
      <c r="M26" s="12" t="str">
        <f t="shared" si="5"/>
        <v/>
      </c>
      <c r="S26" s="11"/>
      <c r="T26" s="11" t="str">
        <f t="shared" si="6"/>
        <v/>
      </c>
    </row>
    <row r="27" spans="1:20" x14ac:dyDescent="0.25">
      <c r="A27" s="20" t="s">
        <v>129</v>
      </c>
      <c r="B27" s="21"/>
      <c r="C27" s="21"/>
      <c r="D27" s="21"/>
      <c r="E27" s="21"/>
      <c r="F27" s="21"/>
      <c r="G27" s="21"/>
      <c r="H27" s="21"/>
      <c r="I27" s="21"/>
      <c r="J27" s="21"/>
      <c r="K27" s="21"/>
      <c r="L27" s="21"/>
      <c r="M27" s="21"/>
      <c r="N27" s="21"/>
      <c r="O27" s="21"/>
      <c r="P27" s="21"/>
      <c r="Q27" s="21"/>
      <c r="R27" s="21"/>
      <c r="S27" s="21"/>
      <c r="T27" s="21"/>
    </row>
    <row r="28" spans="1:20" x14ac:dyDescent="0.25">
      <c r="A28" s="21"/>
      <c r="B28" s="21"/>
      <c r="C28" s="21"/>
      <c r="D28" s="21"/>
      <c r="E28" s="21"/>
      <c r="F28" s="21"/>
      <c r="G28" s="21"/>
      <c r="H28" s="21"/>
      <c r="I28" s="21"/>
      <c r="J28" s="21"/>
      <c r="K28" s="21"/>
      <c r="L28" s="21"/>
      <c r="M28" s="21"/>
      <c r="N28" s="21"/>
      <c r="O28" s="21"/>
      <c r="P28" s="21"/>
      <c r="Q28" s="21"/>
      <c r="R28" s="21"/>
      <c r="S28" s="21"/>
      <c r="T28" s="21"/>
    </row>
    <row r="29" spans="1:20" x14ac:dyDescent="0.25">
      <c r="A29" s="21"/>
      <c r="B29" s="21"/>
      <c r="C29" s="21"/>
      <c r="D29" s="21"/>
      <c r="E29" s="21"/>
      <c r="F29" s="21"/>
      <c r="G29" s="21"/>
      <c r="H29" s="21"/>
      <c r="I29" s="21"/>
      <c r="J29" s="21"/>
      <c r="K29" s="21"/>
      <c r="L29" s="21"/>
      <c r="M29" s="21"/>
      <c r="N29" s="21"/>
      <c r="O29" s="21"/>
      <c r="P29" s="21"/>
      <c r="Q29" s="21"/>
      <c r="R29" s="21"/>
      <c r="S29" s="21"/>
      <c r="T29" s="21"/>
    </row>
    <row r="30" spans="1:20" x14ac:dyDescent="0.25">
      <c r="A30" s="21"/>
      <c r="B30" s="21"/>
      <c r="C30" s="21"/>
      <c r="D30" s="21"/>
      <c r="E30" s="21"/>
      <c r="F30" s="21"/>
      <c r="G30" s="21"/>
      <c r="H30" s="21"/>
      <c r="I30" s="21"/>
      <c r="J30" s="21"/>
      <c r="K30" s="21"/>
      <c r="L30" s="21"/>
      <c r="M30" s="21"/>
      <c r="N30" s="21"/>
      <c r="O30" s="21"/>
      <c r="P30" s="21"/>
      <c r="Q30" s="21"/>
      <c r="R30" s="21"/>
      <c r="S30" s="21"/>
      <c r="T30" s="21"/>
    </row>
    <row r="31" spans="1:20" x14ac:dyDescent="0.25">
      <c r="A31" s="21"/>
      <c r="B31" s="21"/>
      <c r="C31" s="21"/>
      <c r="D31" s="21"/>
      <c r="E31" s="21"/>
      <c r="F31" s="21"/>
      <c r="G31" s="21"/>
      <c r="H31" s="21"/>
      <c r="I31" s="21"/>
      <c r="J31" s="21"/>
      <c r="K31" s="21"/>
      <c r="L31" s="21"/>
      <c r="M31" s="21"/>
      <c r="N31" s="21"/>
      <c r="O31" s="21"/>
      <c r="P31" s="21"/>
      <c r="Q31" s="21"/>
      <c r="R31" s="21"/>
      <c r="S31" s="21"/>
      <c r="T31" s="21"/>
    </row>
  </sheetData>
  <mergeCells count="1">
    <mergeCell ref="A27:T3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FDF9F-3E28-4390-B39B-D3C56AFB0A98}">
  <sheetPr>
    <tabColor rgb="FF92D050"/>
  </sheetPr>
  <dimension ref="A1:AR97"/>
  <sheetViews>
    <sheetView topLeftCell="AA1" zoomScaleNormal="100" workbookViewId="0">
      <selection activeCell="AA1" sqref="AA1"/>
    </sheetView>
  </sheetViews>
  <sheetFormatPr baseColWidth="10" defaultColWidth="0" defaultRowHeight="15" zeroHeight="1" x14ac:dyDescent="0.25"/>
  <cols>
    <col min="1" max="26" width="4.28515625" hidden="1" customWidth="1"/>
    <col min="27" max="43" width="11.42578125" customWidth="1"/>
    <col min="44" max="44" width="28.42578125" customWidth="1"/>
    <col min="45" max="16384" width="11.42578125" hidden="1"/>
  </cols>
  <sheetData>
    <row r="1" spans="2:44" x14ac:dyDescent="0.25">
      <c r="B1" t="str">
        <f>IF(LEN(MODEL!A15)&lt;&gt;1,"",MODEL!A15)</f>
        <v>A</v>
      </c>
      <c r="C1" t="str">
        <f>IF(LEN(MODEL!B15)&lt;&gt;1,"",MODEL!B15)</f>
        <v>C</v>
      </c>
      <c r="D1" t="str">
        <f>IF(LEN(MODEL!C15)&lt;&gt;1,"",MODEL!C15)</f>
        <v>E</v>
      </c>
      <c r="E1" t="str">
        <f>IF(LEN(MODEL!D15)&lt;&gt;1,"",MODEL!D15)</f>
        <v/>
      </c>
      <c r="F1" t="str">
        <f>IF(LEN(MODEL!E15)&lt;&gt;1,"",MODEL!E15)</f>
        <v/>
      </c>
      <c r="G1" t="str">
        <f>IF(LEN(MODEL!F15)&lt;&gt;1,"",MODEL!F15)</f>
        <v/>
      </c>
      <c r="H1" t="str">
        <f>IF(LEN(MODEL!G15)&lt;&gt;1,"",MODEL!G15)</f>
        <v/>
      </c>
      <c r="I1" t="str">
        <f>IF(LEN(MODEL!H15)&lt;&gt;1,"",MODEL!H15)</f>
        <v/>
      </c>
      <c r="J1" t="str">
        <f>IF(LEN(MODEL!I15)&lt;&gt;1,"",MODEL!I15)</f>
        <v/>
      </c>
      <c r="K1" t="str">
        <f>IF(LEN(MODEL!J15)&lt;&gt;1,"",MODEL!J15)</f>
        <v/>
      </c>
      <c r="L1" t="str">
        <f>IF(LEN(MODEL!K15)&lt;&gt;1,"",MODEL!K15)</f>
        <v/>
      </c>
      <c r="M1" t="str">
        <f>IF(LEN(MODEL!L15)&lt;&gt;1,"",MODEL!L15)</f>
        <v/>
      </c>
      <c r="N1" t="str">
        <f>IF(LEN(MODEL!M15)&lt;&gt;1,"",MODEL!M15)</f>
        <v/>
      </c>
      <c r="O1" t="str">
        <f>IF(LEN(MODEL!N15)&lt;&gt;1,"",MODEL!N15)</f>
        <v/>
      </c>
      <c r="P1" t="str">
        <f>IF(LEN(MODEL!O15)&lt;&gt;1,"",MODEL!O15)</f>
        <v/>
      </c>
      <c r="Q1" t="str">
        <f>IF(LEN(MODEL!P15)&lt;&gt;1,"",MODEL!P15)</f>
        <v/>
      </c>
      <c r="R1" t="str">
        <f>IF(LEN(MODEL!Q15)&lt;&gt;1,"",MODEL!Q15)</f>
        <v/>
      </c>
      <c r="S1" t="str">
        <f>IF(LEN(MODEL!R15)&lt;&gt;1,"",MODEL!R15)</f>
        <v/>
      </c>
      <c r="T1" t="str">
        <f>IF(LEN(MODEL!S15)&lt;&gt;1,"",MODEL!S15)</f>
        <v/>
      </c>
      <c r="U1" t="str">
        <f>IF(LEN(MODEL!T15)&lt;&gt;1,"",MODEL!T15)</f>
        <v/>
      </c>
      <c r="V1" t="str">
        <f>IF(LEN(MODEL!U15)&lt;&gt;1,"",MODEL!U15)</f>
        <v/>
      </c>
      <c r="W1" t="str">
        <f>IF(LEN(MODEL!V15)&lt;&gt;1,"",MODEL!V15)</f>
        <v/>
      </c>
      <c r="X1" t="str">
        <f>IF(LEN(MODEL!W15)&lt;&gt;1,"",MODEL!W15)</f>
        <v/>
      </c>
      <c r="Y1" t="str">
        <f>IF(LEN(MODEL!X15)&lt;&gt;1,"",MODEL!X15)</f>
        <v/>
      </c>
      <c r="Z1" t="str">
        <f>IF(LEN(MODEL!Y15)&lt;&gt;1,"",MODEL!Y15)</f>
        <v/>
      </c>
      <c r="AA1" s="19"/>
      <c r="AB1" s="19"/>
      <c r="AC1" s="19"/>
      <c r="AD1" s="19"/>
      <c r="AE1" s="19"/>
      <c r="AF1" s="19"/>
      <c r="AG1" s="19"/>
      <c r="AH1" s="19"/>
      <c r="AI1" s="19"/>
      <c r="AJ1" s="19"/>
      <c r="AK1" s="19"/>
      <c r="AL1" s="19"/>
      <c r="AM1" s="19"/>
      <c r="AN1" s="19"/>
      <c r="AO1" s="19"/>
      <c r="AP1" s="19"/>
      <c r="AQ1" s="19"/>
      <c r="AR1" s="20" t="s">
        <v>130</v>
      </c>
    </row>
    <row r="2" spans="2:44" x14ac:dyDescent="0.25">
      <c r="B2" t="str" cm="1">
        <f t="array" ref="B2:Z2">_xlfn._xlws.SORT(B1:Z1,,,TRUE)</f>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A</v>
      </c>
      <c r="Y2" t="str">
        <v>C</v>
      </c>
      <c r="Z2" t="str">
        <v>E</v>
      </c>
      <c r="AA2" s="19"/>
      <c r="AB2" s="19"/>
      <c r="AC2" s="19"/>
      <c r="AD2" s="19"/>
      <c r="AE2" s="19"/>
      <c r="AF2" s="19"/>
      <c r="AG2" s="19"/>
      <c r="AH2" s="19"/>
      <c r="AI2" s="19"/>
      <c r="AJ2" s="19"/>
      <c r="AK2" s="19"/>
      <c r="AL2" s="19"/>
      <c r="AM2" s="19"/>
      <c r="AN2" s="19"/>
      <c r="AO2" s="19"/>
      <c r="AP2" s="19"/>
      <c r="AQ2" s="19"/>
      <c r="AR2" s="20"/>
    </row>
    <row r="3" spans="2:44" x14ac:dyDescent="0.25">
      <c r="B3" t="str" cm="1">
        <f t="array" aca="1" ref="B3:D3" ca="1">OFFSET(AA2,0,-LEN(_xlfn.CONCAT(B2:Z2)),1,LEN(_xlfn.CONCAT(B2:Z2)))</f>
        <v>A</v>
      </c>
      <c r="C3" t="str">
        <f ca="1"/>
        <v>C</v>
      </c>
      <c r="D3" t="str">
        <f ca="1"/>
        <v>E</v>
      </c>
      <c r="AA3" s="19"/>
      <c r="AB3" s="19"/>
      <c r="AC3" s="19"/>
      <c r="AD3" s="19"/>
      <c r="AE3" s="19"/>
      <c r="AF3" s="19"/>
      <c r="AG3" s="19"/>
      <c r="AH3" s="19"/>
      <c r="AI3" s="19"/>
      <c r="AJ3" s="19"/>
      <c r="AK3" s="19"/>
      <c r="AL3" s="19"/>
      <c r="AM3" s="19"/>
      <c r="AN3" s="19"/>
      <c r="AO3" s="19"/>
      <c r="AP3" s="19"/>
      <c r="AQ3" s="19"/>
      <c r="AR3" s="20"/>
    </row>
    <row r="4" spans="2:44" x14ac:dyDescent="0.25">
      <c r="B4">
        <f ca="1">IF(B3="","",HLOOKUP(B3,MODEL!$A$13:$Y$14,2,0))</f>
        <v>2</v>
      </c>
      <c r="C4">
        <f ca="1">IF(C3="","",HLOOKUP(C3,MODEL!$A$13:$Y$14,2,0))</f>
        <v>2</v>
      </c>
      <c r="D4">
        <f ca="1">IF(D3="","",HLOOKUP(D3,MODEL!$A$13:$Y$14,2,0))</f>
        <v>2</v>
      </c>
      <c r="E4" t="str">
        <f>IF(E3="","",HLOOKUP(E3,MODEL!$A$13:$Y$14,2,0))</f>
        <v/>
      </c>
      <c r="F4" t="str">
        <f>IF(F3="","",HLOOKUP(F3,MODEL!$A$13:$Y$14,2,0))</f>
        <v/>
      </c>
      <c r="G4" t="str">
        <f>IF(G3="","",HLOOKUP(G3,MODEL!$A$13:$Y$14,2,0))</f>
        <v/>
      </c>
      <c r="H4" t="str">
        <f>IF(H3="","",HLOOKUP(H3,MODEL!$A$13:$Y$14,2,0))</f>
        <v/>
      </c>
      <c r="I4" t="str">
        <f>IF(I3="","",HLOOKUP(I3,MODEL!$A$13:$Y$14,2,0))</f>
        <v/>
      </c>
      <c r="J4" t="str">
        <f>IF(J3="","",HLOOKUP(J3,MODEL!$A$13:$Y$14,2,0))</f>
        <v/>
      </c>
      <c r="K4" t="str">
        <f>IF(K3="","",HLOOKUP(K3,MODEL!$A$13:$Y$14,2,0))</f>
        <v/>
      </c>
      <c r="L4" t="str">
        <f>IF(L3="","",HLOOKUP(L3,MODEL!$A$13:$Y$14,2,0))</f>
        <v/>
      </c>
      <c r="M4" t="str">
        <f>IF(M3="","",HLOOKUP(M3,MODEL!$A$13:$Y$14,2,0))</f>
        <v/>
      </c>
      <c r="N4" t="str">
        <f>IF(N3="","",HLOOKUP(N3,MODEL!$A$13:$Y$14,2,0))</f>
        <v/>
      </c>
      <c r="O4" t="str">
        <f>IF(O3="","",HLOOKUP(O3,MODEL!$A$13:$Y$14,2,0))</f>
        <v/>
      </c>
      <c r="P4" t="str">
        <f>IF(P3="","",HLOOKUP(P3,MODEL!$A$13:$Y$14,2,0))</f>
        <v/>
      </c>
      <c r="Q4" t="str">
        <f>IF(Q3="","",HLOOKUP(Q3,MODEL!$A$13:$Y$14,2,0))</f>
        <v/>
      </c>
      <c r="R4" t="str">
        <f>IF(R3="","",HLOOKUP(R3,MODEL!$A$13:$Y$14,2,0))</f>
        <v/>
      </c>
      <c r="S4" t="str">
        <f>IF(S3="","",HLOOKUP(S3,MODEL!$A$13:$Y$14,2,0))</f>
        <v/>
      </c>
      <c r="T4" t="str">
        <f>IF(T3="","",HLOOKUP(T3,MODEL!$A$13:$Y$14,2,0))</f>
        <v/>
      </c>
      <c r="U4" t="str">
        <f>IF(U3="","",HLOOKUP(U3,MODEL!$A$13:$Y$14,2,0))</f>
        <v/>
      </c>
      <c r="V4" t="str">
        <f>IF(V3="","",HLOOKUP(V3,MODEL!$A$13:$Y$14,2,0))</f>
        <v/>
      </c>
      <c r="W4" t="str">
        <f>IF(W3="","",HLOOKUP(W3,MODEL!$A$13:$Y$14,2,0))</f>
        <v/>
      </c>
      <c r="X4" t="str">
        <f>IF(X3="","",HLOOKUP(X3,MODEL!$A$13:$Y$14,2,0))</f>
        <v/>
      </c>
      <c r="Y4" t="str">
        <f>IF(Y3="","",HLOOKUP(Y3,MODEL!$A$13:$Y$14,2,0))</f>
        <v/>
      </c>
      <c r="Z4" t="str">
        <f>IF(Z3="","",HLOOKUP(Z3,MODEL!$A$13:$Y$14,2,0))</f>
        <v/>
      </c>
      <c r="AA4" s="19"/>
      <c r="AB4" s="19"/>
      <c r="AC4" s="19"/>
      <c r="AD4" s="19"/>
      <c r="AE4" s="19"/>
      <c r="AF4" s="19"/>
      <c r="AG4" s="19"/>
      <c r="AH4" s="19"/>
      <c r="AI4" s="19"/>
      <c r="AJ4" s="19"/>
      <c r="AK4" s="19"/>
      <c r="AL4" s="19"/>
      <c r="AM4" s="19"/>
      <c r="AN4" s="19"/>
      <c r="AO4" s="19"/>
      <c r="AP4" s="19"/>
      <c r="AQ4" s="19"/>
      <c r="AR4" s="20"/>
    </row>
    <row r="5" spans="2:44" x14ac:dyDescent="0.25">
      <c r="B5" t="str">
        <f t="shared" ref="B5:Z5" ca="1" si="0">IF(B3="","",B3)</f>
        <v>A</v>
      </c>
      <c r="C5" t="str">
        <f t="shared" ca="1" si="0"/>
        <v>C</v>
      </c>
      <c r="D5" t="str">
        <f t="shared" ca="1" si="0"/>
        <v>E</v>
      </c>
      <c r="E5" t="str">
        <f t="shared" si="0"/>
        <v/>
      </c>
      <c r="F5" t="str">
        <f t="shared" si="0"/>
        <v/>
      </c>
      <c r="G5" t="str">
        <f t="shared" si="0"/>
        <v/>
      </c>
      <c r="H5" t="str">
        <f t="shared" si="0"/>
        <v/>
      </c>
      <c r="I5" t="str">
        <f t="shared" si="0"/>
        <v/>
      </c>
      <c r="J5" t="str">
        <f t="shared" si="0"/>
        <v/>
      </c>
      <c r="K5" t="str">
        <f t="shared" si="0"/>
        <v/>
      </c>
      <c r="L5" t="str">
        <f t="shared" si="0"/>
        <v/>
      </c>
      <c r="M5" t="str">
        <f t="shared" si="0"/>
        <v/>
      </c>
      <c r="N5" t="str">
        <f t="shared" si="0"/>
        <v/>
      </c>
      <c r="O5" t="str">
        <f t="shared" si="0"/>
        <v/>
      </c>
      <c r="P5" t="str">
        <f t="shared" si="0"/>
        <v/>
      </c>
      <c r="Q5" t="str">
        <f t="shared" si="0"/>
        <v/>
      </c>
      <c r="R5" t="str">
        <f t="shared" si="0"/>
        <v/>
      </c>
      <c r="S5" t="str">
        <f t="shared" si="0"/>
        <v/>
      </c>
      <c r="T5" t="str">
        <f t="shared" si="0"/>
        <v/>
      </c>
      <c r="U5" t="str">
        <f t="shared" si="0"/>
        <v/>
      </c>
      <c r="V5" t="str">
        <f t="shared" si="0"/>
        <v/>
      </c>
      <c r="W5" t="str">
        <f t="shared" si="0"/>
        <v/>
      </c>
      <c r="X5" t="str">
        <f t="shared" si="0"/>
        <v/>
      </c>
      <c r="Y5" t="str">
        <f t="shared" si="0"/>
        <v/>
      </c>
      <c r="Z5" t="str">
        <f t="shared" si="0"/>
        <v/>
      </c>
      <c r="AA5" s="19"/>
      <c r="AB5" s="19"/>
      <c r="AC5" s="19"/>
      <c r="AD5" s="19"/>
      <c r="AE5" s="19"/>
      <c r="AF5" s="19"/>
      <c r="AG5" s="19"/>
      <c r="AH5" s="19"/>
      <c r="AI5" s="19"/>
      <c r="AJ5" s="19"/>
      <c r="AK5" s="19"/>
      <c r="AL5" s="19"/>
      <c r="AM5" s="19"/>
      <c r="AN5" s="19"/>
      <c r="AO5" s="19"/>
      <c r="AP5" s="19"/>
      <c r="AQ5" s="19"/>
      <c r="AR5" s="20"/>
    </row>
    <row r="6" spans="2:44" x14ac:dyDescent="0.25">
      <c r="B6">
        <f ca="1">IF(OR(ROW()-ROW(A$4)&gt;MAX(0,B$4)+1,B$4=""),NA(),HLOOKUP(B$5,MODEL!$A$15:$Y$24,ROW()-ROW(A$4),0))</f>
        <v>-1</v>
      </c>
      <c r="C6">
        <f ca="1">IF(OR(ROW()-ROW(B$4)&gt;MAX(0,C$4)+1,C$4=""),NA(),HLOOKUP(C$5,MODEL!$A$15:$Y$24,ROW()-ROW(B$4),0))</f>
        <v>-1</v>
      </c>
      <c r="D6">
        <f ca="1">IF(OR(ROW()-ROW(C$4)&gt;MAX(0,D$4)+1,D$4=""),NA(),HLOOKUP(D$5,MODEL!$A$15:$Y$24,ROW()-ROW(C$4),0))</f>
        <v>-1</v>
      </c>
      <c r="E6" t="e">
        <f>IF(OR(ROW()-ROW(D$4)&gt;MAX(0,E$4)+1,E$4=""),NA(),HLOOKUP(E$5,MODEL!$A$15:$Y$24,ROW()-ROW(D$4),0))</f>
        <v>#N/A</v>
      </c>
      <c r="F6" t="e">
        <f>IF(OR(ROW()-ROW(E$4)&gt;MAX(0,F$4)+1,F$4=""),NA(),HLOOKUP(F$5,MODEL!$A$15:$Y$24,ROW()-ROW(E$4),0))</f>
        <v>#N/A</v>
      </c>
      <c r="G6" t="e">
        <f>IF(OR(ROW()-ROW(F$4)&gt;MAX(0,G$4)+1,G$4=""),NA(),HLOOKUP(G$5,MODEL!$A$15:$Y$24,ROW()-ROW(F$4),0))</f>
        <v>#N/A</v>
      </c>
      <c r="H6" t="e">
        <f>IF(OR(ROW()-ROW(G$4)&gt;MAX(0,H$4)+1,H$4=""),NA(),HLOOKUP(H$5,MODEL!$A$15:$Y$24,ROW()-ROW(G$4),0))</f>
        <v>#N/A</v>
      </c>
      <c r="I6" t="e">
        <f>IF(OR(ROW()-ROW(H$4)&gt;MAX(0,I$4)+1,I$4=""),NA(),HLOOKUP(I$5,MODEL!$A$15:$Y$24,ROW()-ROW(H$4),0))</f>
        <v>#N/A</v>
      </c>
      <c r="J6" t="e">
        <f>IF(OR(ROW()-ROW(I$4)&gt;MAX(0,J$4)+1,J$4=""),NA(),HLOOKUP(J$5,MODEL!$A$15:$Y$24,ROW()-ROW(I$4),0))</f>
        <v>#N/A</v>
      </c>
      <c r="K6" t="e">
        <f>IF(OR(ROW()-ROW(J$4)&gt;MAX(0,K$4)+1,K$4=""),NA(),HLOOKUP(K$5,MODEL!$A$15:$Y$24,ROW()-ROW(J$4),0))</f>
        <v>#N/A</v>
      </c>
      <c r="L6" t="e">
        <f>IF(OR(ROW()-ROW(K$4)&gt;MAX(0,L$4)+1,L$4=""),NA(),HLOOKUP(L$5,MODEL!$A$15:$Y$24,ROW()-ROW(K$4),0))</f>
        <v>#N/A</v>
      </c>
      <c r="M6" t="e">
        <f>IF(OR(ROW()-ROW(L$4)&gt;MAX(0,M$4)+1,M$4=""),NA(),HLOOKUP(M$5,MODEL!$A$15:$Y$24,ROW()-ROW(L$4),0))</f>
        <v>#N/A</v>
      </c>
      <c r="N6" t="e">
        <f>IF(OR(ROW()-ROW(M$4)&gt;MAX(0,N$4)+1,N$4=""),NA(),HLOOKUP(N$5,MODEL!$A$15:$Y$24,ROW()-ROW(M$4),0))</f>
        <v>#N/A</v>
      </c>
      <c r="O6" t="e">
        <f>IF(OR(ROW()-ROW(N$4)&gt;MAX(0,O$4)+1,O$4=""),NA(),HLOOKUP(O$5,MODEL!$A$15:$Y$24,ROW()-ROW(N$4),0))</f>
        <v>#N/A</v>
      </c>
      <c r="P6" t="e">
        <f>IF(OR(ROW()-ROW(O$4)&gt;MAX(0,P$4)+1,P$4=""),NA(),HLOOKUP(P$5,MODEL!$A$15:$Y$24,ROW()-ROW(O$4),0))</f>
        <v>#N/A</v>
      </c>
      <c r="Q6" t="e">
        <f>IF(OR(ROW()-ROW(P$4)&gt;MAX(0,Q$4)+1,Q$4=""),NA(),HLOOKUP(Q$5,MODEL!$A$15:$Y$24,ROW()-ROW(P$4),0))</f>
        <v>#N/A</v>
      </c>
      <c r="R6" t="e">
        <f>IF(OR(ROW()-ROW(Q$4)&gt;MAX(0,R$4)+1,R$4=""),NA(),HLOOKUP(R$5,MODEL!$A$15:$Y$24,ROW()-ROW(Q$4),0))</f>
        <v>#N/A</v>
      </c>
      <c r="S6" t="e">
        <f>IF(OR(ROW()-ROW(R$4)&gt;MAX(0,S$4)+1,S$4=""),NA(),HLOOKUP(S$5,MODEL!$A$15:$Y$24,ROW()-ROW(R$4),0))</f>
        <v>#N/A</v>
      </c>
      <c r="T6" t="e">
        <f>IF(OR(ROW()-ROW(S$4)&gt;MAX(0,T$4)+1,T$4=""),NA(),HLOOKUP(T$5,MODEL!$A$15:$Y$24,ROW()-ROW(S$4),0))</f>
        <v>#N/A</v>
      </c>
      <c r="U6" t="e">
        <f>IF(OR(ROW()-ROW(T$4)&gt;MAX(0,U$4)+1,U$4=""),NA(),HLOOKUP(U$5,MODEL!$A$15:$Y$24,ROW()-ROW(T$4),0))</f>
        <v>#N/A</v>
      </c>
      <c r="V6" t="e">
        <f>IF(OR(ROW()-ROW(U$4)&gt;MAX(0,V$4)+1,V$4=""),NA(),HLOOKUP(V$5,MODEL!$A$15:$Y$24,ROW()-ROW(U$4),0))</f>
        <v>#N/A</v>
      </c>
      <c r="W6" t="e">
        <f>IF(OR(ROW()-ROW(V$4)&gt;MAX(0,W$4)+1,W$4=""),NA(),HLOOKUP(W$5,MODEL!$A$15:$Y$24,ROW()-ROW(V$4),0))</f>
        <v>#N/A</v>
      </c>
      <c r="X6" t="e">
        <f>IF(OR(ROW()-ROW(W$4)&gt;MAX(0,X$4)+1,X$4=""),NA(),HLOOKUP(X$5,MODEL!$A$15:$Y$24,ROW()-ROW(W$4),0))</f>
        <v>#N/A</v>
      </c>
      <c r="Y6" t="e">
        <f>IF(OR(ROW()-ROW(X$4)&gt;MAX(0,Y$4)+1,Y$4=""),NA(),HLOOKUP(Y$5,MODEL!$A$15:$Y$24,ROW()-ROW(X$4),0))</f>
        <v>#N/A</v>
      </c>
      <c r="Z6" t="e">
        <f>IF(OR(ROW()-ROW(Y$4)&gt;MAX(0,Z$4)+1,Z$4=""),NA(),HLOOKUP(Z$5,MODEL!$A$15:$Y$24,ROW()-ROW(Y$4),0))</f>
        <v>#N/A</v>
      </c>
      <c r="AA6" s="19"/>
      <c r="AB6" s="19"/>
      <c r="AC6" s="19"/>
      <c r="AD6" s="19"/>
      <c r="AE6" s="19"/>
      <c r="AF6" s="19"/>
      <c r="AG6" s="19"/>
      <c r="AH6" s="19"/>
      <c r="AI6" s="19"/>
      <c r="AJ6" s="19"/>
      <c r="AK6" s="19"/>
      <c r="AL6" s="19"/>
      <c r="AM6" s="19"/>
      <c r="AN6" s="19"/>
      <c r="AO6" s="19"/>
      <c r="AP6" s="19"/>
      <c r="AQ6" s="19"/>
      <c r="AR6" s="20"/>
    </row>
    <row r="7" spans="2:44" x14ac:dyDescent="0.25">
      <c r="B7">
        <f ca="1">IF(OR(ROW()-ROW(A$4)&gt;MAX(0,B$4)+1,B$4=""),NA(),HLOOKUP(B$5,MODEL!$A$15:$Y$24,ROW()-ROW(A$4),0))</f>
        <v>1</v>
      </c>
      <c r="C7">
        <f ca="1">IF(OR(ROW()-ROW(B$4)&gt;MAX(0,C$4)+1,C$4=""),NA(),HLOOKUP(C$5,MODEL!$A$15:$Y$24,ROW()-ROW(B$4),0))</f>
        <v>1</v>
      </c>
      <c r="D7">
        <f ca="1">IF(OR(ROW()-ROW(C$4)&gt;MAX(0,D$4)+1,D$4=""),NA(),HLOOKUP(D$5,MODEL!$A$15:$Y$24,ROW()-ROW(C$4),0))</f>
        <v>1</v>
      </c>
      <c r="E7" t="e">
        <f>IF(OR(ROW()-ROW(D$4)&gt;MAX(0,E$4)+1,E$4=""),NA(),HLOOKUP(E$5,MODEL!$A$15:$Y$24,ROW()-ROW(D$4),0))</f>
        <v>#N/A</v>
      </c>
      <c r="F7" t="e">
        <f>IF(OR(ROW()-ROW(E$4)&gt;MAX(0,F$4)+1,F$4=""),NA(),HLOOKUP(F$5,MODEL!$A$15:$Y$24,ROW()-ROW(E$4),0))</f>
        <v>#N/A</v>
      </c>
      <c r="G7" t="e">
        <f>IF(OR(ROW()-ROW(F$4)&gt;MAX(0,G$4)+1,G$4=""),NA(),HLOOKUP(G$5,MODEL!$A$15:$Y$24,ROW()-ROW(F$4),0))</f>
        <v>#N/A</v>
      </c>
      <c r="H7" t="e">
        <f>IF(OR(ROW()-ROW(G$4)&gt;MAX(0,H$4)+1,H$4=""),NA(),HLOOKUP(H$5,MODEL!$A$15:$Y$24,ROW()-ROW(G$4),0))</f>
        <v>#N/A</v>
      </c>
      <c r="I7" t="e">
        <f>IF(OR(ROW()-ROW(H$4)&gt;MAX(0,I$4)+1,I$4=""),NA(),HLOOKUP(I$5,MODEL!$A$15:$Y$24,ROW()-ROW(H$4),0))</f>
        <v>#N/A</v>
      </c>
      <c r="J7" t="e">
        <f>IF(OR(ROW()-ROW(I$4)&gt;MAX(0,J$4)+1,J$4=""),NA(),HLOOKUP(J$5,MODEL!$A$15:$Y$24,ROW()-ROW(I$4),0))</f>
        <v>#N/A</v>
      </c>
      <c r="K7" t="e">
        <f>IF(OR(ROW()-ROW(J$4)&gt;MAX(0,K$4)+1,K$4=""),NA(),HLOOKUP(K$5,MODEL!$A$15:$Y$24,ROW()-ROW(J$4),0))</f>
        <v>#N/A</v>
      </c>
      <c r="L7" t="e">
        <f>IF(OR(ROW()-ROW(K$4)&gt;MAX(0,L$4)+1,L$4=""),NA(),HLOOKUP(L$5,MODEL!$A$15:$Y$24,ROW()-ROW(K$4),0))</f>
        <v>#N/A</v>
      </c>
      <c r="M7" t="e">
        <f>IF(OR(ROW()-ROW(L$4)&gt;MAX(0,M$4)+1,M$4=""),NA(),HLOOKUP(M$5,MODEL!$A$15:$Y$24,ROW()-ROW(L$4),0))</f>
        <v>#N/A</v>
      </c>
      <c r="N7" t="e">
        <f>IF(OR(ROW()-ROW(M$4)&gt;MAX(0,N$4)+1,N$4=""),NA(),HLOOKUP(N$5,MODEL!$A$15:$Y$24,ROW()-ROW(M$4),0))</f>
        <v>#N/A</v>
      </c>
      <c r="O7" t="e">
        <f>IF(OR(ROW()-ROW(N$4)&gt;MAX(0,O$4)+1,O$4=""),NA(),HLOOKUP(O$5,MODEL!$A$15:$Y$24,ROW()-ROW(N$4),0))</f>
        <v>#N/A</v>
      </c>
      <c r="P7" t="e">
        <f>IF(OR(ROW()-ROW(O$4)&gt;MAX(0,P$4)+1,P$4=""),NA(),HLOOKUP(P$5,MODEL!$A$15:$Y$24,ROW()-ROW(O$4),0))</f>
        <v>#N/A</v>
      </c>
      <c r="Q7" t="e">
        <f>IF(OR(ROW()-ROW(P$4)&gt;MAX(0,Q$4)+1,Q$4=""),NA(),HLOOKUP(Q$5,MODEL!$A$15:$Y$24,ROW()-ROW(P$4),0))</f>
        <v>#N/A</v>
      </c>
      <c r="R7" t="e">
        <f>IF(OR(ROW()-ROW(Q$4)&gt;MAX(0,R$4)+1,R$4=""),NA(),HLOOKUP(R$5,MODEL!$A$15:$Y$24,ROW()-ROW(Q$4),0))</f>
        <v>#N/A</v>
      </c>
      <c r="S7" t="e">
        <f>IF(OR(ROW()-ROW(R$4)&gt;MAX(0,S$4)+1,S$4=""),NA(),HLOOKUP(S$5,MODEL!$A$15:$Y$24,ROW()-ROW(R$4),0))</f>
        <v>#N/A</v>
      </c>
      <c r="T7" t="e">
        <f>IF(OR(ROW()-ROW(S$4)&gt;MAX(0,T$4)+1,T$4=""),NA(),HLOOKUP(T$5,MODEL!$A$15:$Y$24,ROW()-ROW(S$4),0))</f>
        <v>#N/A</v>
      </c>
      <c r="U7" t="e">
        <f>IF(OR(ROW()-ROW(T$4)&gt;MAX(0,U$4)+1,U$4=""),NA(),HLOOKUP(U$5,MODEL!$A$15:$Y$24,ROW()-ROW(T$4),0))</f>
        <v>#N/A</v>
      </c>
      <c r="V7" t="e">
        <f>IF(OR(ROW()-ROW(U$4)&gt;MAX(0,V$4)+1,V$4=""),NA(),HLOOKUP(V$5,MODEL!$A$15:$Y$24,ROW()-ROW(U$4),0))</f>
        <v>#N/A</v>
      </c>
      <c r="W7" t="e">
        <f>IF(OR(ROW()-ROW(V$4)&gt;MAX(0,W$4)+1,W$4=""),NA(),HLOOKUP(W$5,MODEL!$A$15:$Y$24,ROW()-ROW(V$4),0))</f>
        <v>#N/A</v>
      </c>
      <c r="X7" t="e">
        <f>IF(OR(ROW()-ROW(W$4)&gt;MAX(0,X$4)+1,X$4=""),NA(),HLOOKUP(X$5,MODEL!$A$15:$Y$24,ROW()-ROW(W$4),0))</f>
        <v>#N/A</v>
      </c>
      <c r="Y7" t="e">
        <f>IF(OR(ROW()-ROW(X$4)&gt;MAX(0,Y$4)+1,Y$4=""),NA(),HLOOKUP(Y$5,MODEL!$A$15:$Y$24,ROW()-ROW(X$4),0))</f>
        <v>#N/A</v>
      </c>
      <c r="Z7" t="e">
        <f>IF(OR(ROW()-ROW(Y$4)&gt;MAX(0,Z$4)+1,Z$4=""),NA(),HLOOKUP(Z$5,MODEL!$A$15:$Y$24,ROW()-ROW(Y$4),0))</f>
        <v>#N/A</v>
      </c>
      <c r="AA7" s="19"/>
      <c r="AB7" s="19"/>
      <c r="AC7" s="19"/>
      <c r="AD7" s="19"/>
      <c r="AE7" s="19"/>
      <c r="AF7" s="19"/>
      <c r="AG7" s="19"/>
      <c r="AH7" s="19"/>
      <c r="AI7" s="19"/>
      <c r="AJ7" s="19"/>
      <c r="AK7" s="19"/>
      <c r="AL7" s="19"/>
      <c r="AM7" s="19"/>
      <c r="AN7" s="19"/>
      <c r="AO7" s="19"/>
      <c r="AP7" s="19"/>
      <c r="AQ7" s="19"/>
      <c r="AR7" s="20"/>
    </row>
    <row r="8" spans="2:44" x14ac:dyDescent="0.25">
      <c r="B8" t="e">
        <f ca="1">IF(OR(ROW()-ROW(A$4)&gt;MAX(0,B$4)+1,B$4=""),NA(),HLOOKUP(B$5,MODEL!$A$15:$Y$24,ROW()-ROW(A$4),0))</f>
        <v>#N/A</v>
      </c>
      <c r="C8" t="e">
        <f ca="1">IF(OR(ROW()-ROW(B$4)&gt;MAX(0,C$4)+1,C$4=""),NA(),HLOOKUP(C$5,MODEL!$A$15:$Y$24,ROW()-ROW(B$4),0))</f>
        <v>#N/A</v>
      </c>
      <c r="D8" t="e">
        <f ca="1">IF(OR(ROW()-ROW(C$4)&gt;MAX(0,D$4)+1,D$4=""),NA(),HLOOKUP(D$5,MODEL!$A$15:$Y$24,ROW()-ROW(C$4),0))</f>
        <v>#N/A</v>
      </c>
      <c r="E8" t="e">
        <f>IF(OR(ROW()-ROW(D$4)&gt;MAX(0,E$4)+1,E$4=""),NA(),HLOOKUP(E$5,MODEL!$A$15:$Y$24,ROW()-ROW(D$4),0))</f>
        <v>#N/A</v>
      </c>
      <c r="F8" t="e">
        <f>IF(OR(ROW()-ROW(E$4)&gt;MAX(0,F$4)+1,F$4=""),NA(),HLOOKUP(F$5,MODEL!$A$15:$Y$24,ROW()-ROW(E$4),0))</f>
        <v>#N/A</v>
      </c>
      <c r="G8" t="e">
        <f>IF(OR(ROW()-ROW(F$4)&gt;MAX(0,G$4)+1,G$4=""),NA(),HLOOKUP(G$5,MODEL!$A$15:$Y$24,ROW()-ROW(F$4),0))</f>
        <v>#N/A</v>
      </c>
      <c r="H8" t="e">
        <f>IF(OR(ROW()-ROW(G$4)&gt;MAX(0,H$4)+1,H$4=""),NA(),HLOOKUP(H$5,MODEL!$A$15:$Y$24,ROW()-ROW(G$4),0))</f>
        <v>#N/A</v>
      </c>
      <c r="I8" t="e">
        <f>IF(OR(ROW()-ROW(H$4)&gt;MAX(0,I$4)+1,I$4=""),NA(),HLOOKUP(I$5,MODEL!$A$15:$Y$24,ROW()-ROW(H$4),0))</f>
        <v>#N/A</v>
      </c>
      <c r="J8" t="e">
        <f>IF(OR(ROW()-ROW(I$4)&gt;MAX(0,J$4)+1,J$4=""),NA(),HLOOKUP(J$5,MODEL!$A$15:$Y$24,ROW()-ROW(I$4),0))</f>
        <v>#N/A</v>
      </c>
      <c r="K8" t="e">
        <f>IF(OR(ROW()-ROW(J$4)&gt;MAX(0,K$4)+1,K$4=""),NA(),HLOOKUP(K$5,MODEL!$A$15:$Y$24,ROW()-ROW(J$4),0))</f>
        <v>#N/A</v>
      </c>
      <c r="L8" t="e">
        <f>IF(OR(ROW()-ROW(K$4)&gt;MAX(0,L$4)+1,L$4=""),NA(),HLOOKUP(L$5,MODEL!$A$15:$Y$24,ROW()-ROW(K$4),0))</f>
        <v>#N/A</v>
      </c>
      <c r="M8" t="e">
        <f>IF(OR(ROW()-ROW(L$4)&gt;MAX(0,M$4)+1,M$4=""),NA(),HLOOKUP(M$5,MODEL!$A$15:$Y$24,ROW()-ROW(L$4),0))</f>
        <v>#N/A</v>
      </c>
      <c r="N8" t="e">
        <f>IF(OR(ROW()-ROW(M$4)&gt;MAX(0,N$4)+1,N$4=""),NA(),HLOOKUP(N$5,MODEL!$A$15:$Y$24,ROW()-ROW(M$4),0))</f>
        <v>#N/A</v>
      </c>
      <c r="O8" t="e">
        <f>IF(OR(ROW()-ROW(N$4)&gt;MAX(0,O$4)+1,O$4=""),NA(),HLOOKUP(O$5,MODEL!$A$15:$Y$24,ROW()-ROW(N$4),0))</f>
        <v>#N/A</v>
      </c>
      <c r="P8" t="e">
        <f>IF(OR(ROW()-ROW(O$4)&gt;MAX(0,P$4)+1,P$4=""),NA(),HLOOKUP(P$5,MODEL!$A$15:$Y$24,ROW()-ROW(O$4),0))</f>
        <v>#N/A</v>
      </c>
      <c r="Q8" t="e">
        <f>IF(OR(ROW()-ROW(P$4)&gt;MAX(0,Q$4)+1,Q$4=""),NA(),HLOOKUP(Q$5,MODEL!$A$15:$Y$24,ROW()-ROW(P$4),0))</f>
        <v>#N/A</v>
      </c>
      <c r="R8" t="e">
        <f>IF(OR(ROW()-ROW(Q$4)&gt;MAX(0,R$4)+1,R$4=""),NA(),HLOOKUP(R$5,MODEL!$A$15:$Y$24,ROW()-ROW(Q$4),0))</f>
        <v>#N/A</v>
      </c>
      <c r="S8" t="e">
        <f>IF(OR(ROW()-ROW(R$4)&gt;MAX(0,S$4)+1,S$4=""),NA(),HLOOKUP(S$5,MODEL!$A$15:$Y$24,ROW()-ROW(R$4),0))</f>
        <v>#N/A</v>
      </c>
      <c r="T8" t="e">
        <f>IF(OR(ROW()-ROW(S$4)&gt;MAX(0,T$4)+1,T$4=""),NA(),HLOOKUP(T$5,MODEL!$A$15:$Y$24,ROW()-ROW(S$4),0))</f>
        <v>#N/A</v>
      </c>
      <c r="U8" t="e">
        <f>IF(OR(ROW()-ROW(T$4)&gt;MAX(0,U$4)+1,U$4=""),NA(),HLOOKUP(U$5,MODEL!$A$15:$Y$24,ROW()-ROW(T$4),0))</f>
        <v>#N/A</v>
      </c>
      <c r="V8" t="e">
        <f>IF(OR(ROW()-ROW(U$4)&gt;MAX(0,V$4)+1,V$4=""),NA(),HLOOKUP(V$5,MODEL!$A$15:$Y$24,ROW()-ROW(U$4),0))</f>
        <v>#N/A</v>
      </c>
      <c r="W8" t="e">
        <f>IF(OR(ROW()-ROW(V$4)&gt;MAX(0,W$4)+1,W$4=""),NA(),HLOOKUP(W$5,MODEL!$A$15:$Y$24,ROW()-ROW(V$4),0))</f>
        <v>#N/A</v>
      </c>
      <c r="X8" t="e">
        <f>IF(OR(ROW()-ROW(W$4)&gt;MAX(0,X$4)+1,X$4=""),NA(),HLOOKUP(X$5,MODEL!$A$15:$Y$24,ROW()-ROW(W$4),0))</f>
        <v>#N/A</v>
      </c>
      <c r="Y8" t="e">
        <f>IF(OR(ROW()-ROW(X$4)&gt;MAX(0,Y$4)+1,Y$4=""),NA(),HLOOKUP(Y$5,MODEL!$A$15:$Y$24,ROW()-ROW(X$4),0))</f>
        <v>#N/A</v>
      </c>
      <c r="Z8" t="e">
        <f>IF(OR(ROW()-ROW(Y$4)&gt;MAX(0,Z$4)+1,Z$4=""),NA(),HLOOKUP(Z$5,MODEL!$A$15:$Y$24,ROW()-ROW(Y$4),0))</f>
        <v>#N/A</v>
      </c>
      <c r="AA8" s="19"/>
      <c r="AB8" s="19"/>
      <c r="AC8" s="19"/>
      <c r="AD8" s="19"/>
      <c r="AE8" s="19"/>
      <c r="AF8" s="19"/>
      <c r="AG8" s="19"/>
      <c r="AH8" s="19"/>
      <c r="AI8" s="19"/>
      <c r="AJ8" s="19"/>
      <c r="AK8" s="19"/>
      <c r="AL8" s="19"/>
      <c r="AM8" s="19"/>
      <c r="AN8" s="19"/>
      <c r="AO8" s="19"/>
      <c r="AP8" s="19"/>
      <c r="AQ8" s="19"/>
      <c r="AR8" s="20"/>
    </row>
    <row r="9" spans="2:44" x14ac:dyDescent="0.25">
      <c r="B9" t="e">
        <f ca="1">IF(OR(ROW()-ROW(A$4)&gt;MAX(0,B$4)+1,B$4=""),NA(),HLOOKUP(B$5,MODEL!$A$15:$Y$24,ROW()-ROW(A$4),0))</f>
        <v>#N/A</v>
      </c>
      <c r="C9" t="e">
        <f ca="1">IF(OR(ROW()-ROW(B$4)&gt;MAX(0,C$4)+1,C$4=""),NA(),HLOOKUP(C$5,MODEL!$A$15:$Y$24,ROW()-ROW(B$4),0))</f>
        <v>#N/A</v>
      </c>
      <c r="D9" t="e">
        <f ca="1">IF(OR(ROW()-ROW(C$4)&gt;MAX(0,D$4)+1,D$4=""),NA(),HLOOKUP(D$5,MODEL!$A$15:$Y$24,ROW()-ROW(C$4),0))</f>
        <v>#N/A</v>
      </c>
      <c r="E9" t="e">
        <f>IF(OR(ROW()-ROW(D$4)&gt;MAX(0,E$4)+1,E$4=""),NA(),HLOOKUP(E$5,MODEL!$A$15:$Y$24,ROW()-ROW(D$4),0))</f>
        <v>#N/A</v>
      </c>
      <c r="F9" t="e">
        <f>IF(OR(ROW()-ROW(E$4)&gt;MAX(0,F$4)+1,F$4=""),NA(),HLOOKUP(F$5,MODEL!$A$15:$Y$24,ROW()-ROW(E$4),0))</f>
        <v>#N/A</v>
      </c>
      <c r="G9" t="e">
        <f>IF(OR(ROW()-ROW(F$4)&gt;MAX(0,G$4)+1,G$4=""),NA(),HLOOKUP(G$5,MODEL!$A$15:$Y$24,ROW()-ROW(F$4),0))</f>
        <v>#N/A</v>
      </c>
      <c r="H9" t="e">
        <f>IF(OR(ROW()-ROW(G$4)&gt;MAX(0,H$4)+1,H$4=""),NA(),HLOOKUP(H$5,MODEL!$A$15:$Y$24,ROW()-ROW(G$4),0))</f>
        <v>#N/A</v>
      </c>
      <c r="I9" t="e">
        <f>IF(OR(ROW()-ROW(H$4)&gt;MAX(0,I$4)+1,I$4=""),NA(),HLOOKUP(I$5,MODEL!$A$15:$Y$24,ROW()-ROW(H$4),0))</f>
        <v>#N/A</v>
      </c>
      <c r="J9" t="e">
        <f>IF(OR(ROW()-ROW(I$4)&gt;MAX(0,J$4)+1,J$4=""),NA(),HLOOKUP(J$5,MODEL!$A$15:$Y$24,ROW()-ROW(I$4),0))</f>
        <v>#N/A</v>
      </c>
      <c r="K9" t="e">
        <f>IF(OR(ROW()-ROW(J$4)&gt;MAX(0,K$4)+1,K$4=""),NA(),HLOOKUP(K$5,MODEL!$A$15:$Y$24,ROW()-ROW(J$4),0))</f>
        <v>#N/A</v>
      </c>
      <c r="L9" t="e">
        <f>IF(OR(ROW()-ROW(K$4)&gt;MAX(0,L$4)+1,L$4=""),NA(),HLOOKUP(L$5,MODEL!$A$15:$Y$24,ROW()-ROW(K$4),0))</f>
        <v>#N/A</v>
      </c>
      <c r="M9" t="e">
        <f>IF(OR(ROW()-ROW(L$4)&gt;MAX(0,M$4)+1,M$4=""),NA(),HLOOKUP(M$5,MODEL!$A$15:$Y$24,ROW()-ROW(L$4),0))</f>
        <v>#N/A</v>
      </c>
      <c r="N9" t="e">
        <f>IF(OR(ROW()-ROW(M$4)&gt;MAX(0,N$4)+1,N$4=""),NA(),HLOOKUP(N$5,MODEL!$A$15:$Y$24,ROW()-ROW(M$4),0))</f>
        <v>#N/A</v>
      </c>
      <c r="O9" t="e">
        <f>IF(OR(ROW()-ROW(N$4)&gt;MAX(0,O$4)+1,O$4=""),NA(),HLOOKUP(O$5,MODEL!$A$15:$Y$24,ROW()-ROW(N$4),0))</f>
        <v>#N/A</v>
      </c>
      <c r="P9" t="e">
        <f>IF(OR(ROW()-ROW(O$4)&gt;MAX(0,P$4)+1,P$4=""),NA(),HLOOKUP(P$5,MODEL!$A$15:$Y$24,ROW()-ROW(O$4),0))</f>
        <v>#N/A</v>
      </c>
      <c r="Q9" t="e">
        <f>IF(OR(ROW()-ROW(P$4)&gt;MAX(0,Q$4)+1,Q$4=""),NA(),HLOOKUP(Q$5,MODEL!$A$15:$Y$24,ROW()-ROW(P$4),0))</f>
        <v>#N/A</v>
      </c>
      <c r="R9" t="e">
        <f>IF(OR(ROW()-ROW(Q$4)&gt;MAX(0,R$4)+1,R$4=""),NA(),HLOOKUP(R$5,MODEL!$A$15:$Y$24,ROW()-ROW(Q$4),0))</f>
        <v>#N/A</v>
      </c>
      <c r="S9" t="e">
        <f>IF(OR(ROW()-ROW(R$4)&gt;MAX(0,S$4)+1,S$4=""),NA(),HLOOKUP(S$5,MODEL!$A$15:$Y$24,ROW()-ROW(R$4),0))</f>
        <v>#N/A</v>
      </c>
      <c r="T9" t="e">
        <f>IF(OR(ROW()-ROW(S$4)&gt;MAX(0,T$4)+1,T$4=""),NA(),HLOOKUP(T$5,MODEL!$A$15:$Y$24,ROW()-ROW(S$4),0))</f>
        <v>#N/A</v>
      </c>
      <c r="U9" t="e">
        <f>IF(OR(ROW()-ROW(T$4)&gt;MAX(0,U$4)+1,U$4=""),NA(),HLOOKUP(U$5,MODEL!$A$15:$Y$24,ROW()-ROW(T$4),0))</f>
        <v>#N/A</v>
      </c>
      <c r="V9" t="e">
        <f>IF(OR(ROW()-ROW(U$4)&gt;MAX(0,V$4)+1,V$4=""),NA(),HLOOKUP(V$5,MODEL!$A$15:$Y$24,ROW()-ROW(U$4),0))</f>
        <v>#N/A</v>
      </c>
      <c r="W9" t="e">
        <f>IF(OR(ROW()-ROW(V$4)&gt;MAX(0,W$4)+1,W$4=""),NA(),HLOOKUP(W$5,MODEL!$A$15:$Y$24,ROW()-ROW(V$4),0))</f>
        <v>#N/A</v>
      </c>
      <c r="X9" t="e">
        <f>IF(OR(ROW()-ROW(W$4)&gt;MAX(0,X$4)+1,X$4=""),NA(),HLOOKUP(X$5,MODEL!$A$15:$Y$24,ROW()-ROW(W$4),0))</f>
        <v>#N/A</v>
      </c>
      <c r="Y9" t="e">
        <f>IF(OR(ROW()-ROW(X$4)&gt;MAX(0,Y$4)+1,Y$4=""),NA(),HLOOKUP(Y$5,MODEL!$A$15:$Y$24,ROW()-ROW(X$4),0))</f>
        <v>#N/A</v>
      </c>
      <c r="Z9" t="e">
        <f>IF(OR(ROW()-ROW(Y$4)&gt;MAX(0,Z$4)+1,Z$4=""),NA(),HLOOKUP(Z$5,MODEL!$A$15:$Y$24,ROW()-ROW(Y$4),0))</f>
        <v>#N/A</v>
      </c>
      <c r="AA9" s="19"/>
      <c r="AB9" s="19"/>
      <c r="AC9" s="19"/>
      <c r="AD9" s="19"/>
      <c r="AE9" s="19"/>
      <c r="AF9" s="19"/>
      <c r="AG9" s="19"/>
      <c r="AH9" s="19"/>
      <c r="AI9" s="19"/>
      <c r="AJ9" s="19"/>
      <c r="AK9" s="19"/>
      <c r="AL9" s="19"/>
      <c r="AM9" s="19"/>
      <c r="AN9" s="19"/>
      <c r="AO9" s="19"/>
      <c r="AP9" s="19"/>
      <c r="AQ9" s="19"/>
      <c r="AR9" s="20"/>
    </row>
    <row r="10" spans="2:44" x14ac:dyDescent="0.25">
      <c r="B10" t="e">
        <f ca="1">IF(OR(ROW()-ROW(A$4)&gt;MAX(0,B$4)+1,B$4=""),NA(),HLOOKUP(B$5,MODEL!$A$15:$Y$24,ROW()-ROW(A$4),0))</f>
        <v>#N/A</v>
      </c>
      <c r="C10" t="e">
        <f ca="1">IF(OR(ROW()-ROW(B$4)&gt;MAX(0,C$4)+1,C$4=""),NA(),HLOOKUP(C$5,MODEL!$A$15:$Y$24,ROW()-ROW(B$4),0))</f>
        <v>#N/A</v>
      </c>
      <c r="D10" t="e">
        <f ca="1">IF(OR(ROW()-ROW(C$4)&gt;MAX(0,D$4)+1,D$4=""),NA(),HLOOKUP(D$5,MODEL!$A$15:$Y$24,ROW()-ROW(C$4),0))</f>
        <v>#N/A</v>
      </c>
      <c r="E10" t="e">
        <f>IF(OR(ROW()-ROW(D$4)&gt;MAX(0,E$4)+1,E$4=""),NA(),HLOOKUP(E$5,MODEL!$A$15:$Y$24,ROW()-ROW(D$4),0))</f>
        <v>#N/A</v>
      </c>
      <c r="F10" t="e">
        <f>IF(OR(ROW()-ROW(E$4)&gt;MAX(0,F$4)+1,F$4=""),NA(),HLOOKUP(F$5,MODEL!$A$15:$Y$24,ROW()-ROW(E$4),0))</f>
        <v>#N/A</v>
      </c>
      <c r="G10" t="e">
        <f>IF(OR(ROW()-ROW(F$4)&gt;MAX(0,G$4)+1,G$4=""),NA(),HLOOKUP(G$5,MODEL!$A$15:$Y$24,ROW()-ROW(F$4),0))</f>
        <v>#N/A</v>
      </c>
      <c r="H10" t="e">
        <f>IF(OR(ROW()-ROW(G$4)&gt;MAX(0,H$4)+1,H$4=""),NA(),HLOOKUP(H$5,MODEL!$A$15:$Y$24,ROW()-ROW(G$4),0))</f>
        <v>#N/A</v>
      </c>
      <c r="I10" t="e">
        <f>IF(OR(ROW()-ROW(H$4)&gt;MAX(0,I$4)+1,I$4=""),NA(),HLOOKUP(I$5,MODEL!$A$15:$Y$24,ROW()-ROW(H$4),0))</f>
        <v>#N/A</v>
      </c>
      <c r="J10" t="e">
        <f>IF(OR(ROW()-ROW(I$4)&gt;MAX(0,J$4)+1,J$4=""),NA(),HLOOKUP(J$5,MODEL!$A$15:$Y$24,ROW()-ROW(I$4),0))</f>
        <v>#N/A</v>
      </c>
      <c r="K10" t="e">
        <f>IF(OR(ROW()-ROW(J$4)&gt;MAX(0,K$4)+1,K$4=""),NA(),HLOOKUP(K$5,MODEL!$A$15:$Y$24,ROW()-ROW(J$4),0))</f>
        <v>#N/A</v>
      </c>
      <c r="L10" t="e">
        <f>IF(OR(ROW()-ROW(K$4)&gt;MAX(0,L$4)+1,L$4=""),NA(),HLOOKUP(L$5,MODEL!$A$15:$Y$24,ROW()-ROW(K$4),0))</f>
        <v>#N/A</v>
      </c>
      <c r="M10" t="e">
        <f>IF(OR(ROW()-ROW(L$4)&gt;MAX(0,M$4)+1,M$4=""),NA(),HLOOKUP(M$5,MODEL!$A$15:$Y$24,ROW()-ROW(L$4),0))</f>
        <v>#N/A</v>
      </c>
      <c r="N10" t="e">
        <f>IF(OR(ROW()-ROW(M$4)&gt;MAX(0,N$4)+1,N$4=""),NA(),HLOOKUP(N$5,MODEL!$A$15:$Y$24,ROW()-ROW(M$4),0))</f>
        <v>#N/A</v>
      </c>
      <c r="O10" t="e">
        <f>IF(OR(ROW()-ROW(N$4)&gt;MAX(0,O$4)+1,O$4=""),NA(),HLOOKUP(O$5,MODEL!$A$15:$Y$24,ROW()-ROW(N$4),0))</f>
        <v>#N/A</v>
      </c>
      <c r="P10" t="e">
        <f>IF(OR(ROW()-ROW(O$4)&gt;MAX(0,P$4)+1,P$4=""),NA(),HLOOKUP(P$5,MODEL!$A$15:$Y$24,ROW()-ROW(O$4),0))</f>
        <v>#N/A</v>
      </c>
      <c r="Q10" t="e">
        <f>IF(OR(ROW()-ROW(P$4)&gt;MAX(0,Q$4)+1,Q$4=""),NA(),HLOOKUP(Q$5,MODEL!$A$15:$Y$24,ROW()-ROW(P$4),0))</f>
        <v>#N/A</v>
      </c>
      <c r="R10" t="e">
        <f>IF(OR(ROW()-ROW(Q$4)&gt;MAX(0,R$4)+1,R$4=""),NA(),HLOOKUP(R$5,MODEL!$A$15:$Y$24,ROW()-ROW(Q$4),0))</f>
        <v>#N/A</v>
      </c>
      <c r="S10" t="e">
        <f>IF(OR(ROW()-ROW(R$4)&gt;MAX(0,S$4)+1,S$4=""),NA(),HLOOKUP(S$5,MODEL!$A$15:$Y$24,ROW()-ROW(R$4),0))</f>
        <v>#N/A</v>
      </c>
      <c r="T10" t="e">
        <f>IF(OR(ROW()-ROW(S$4)&gt;MAX(0,T$4)+1,T$4=""),NA(),HLOOKUP(T$5,MODEL!$A$15:$Y$24,ROW()-ROW(S$4),0))</f>
        <v>#N/A</v>
      </c>
      <c r="U10" t="e">
        <f>IF(OR(ROW()-ROW(T$4)&gt;MAX(0,U$4)+1,U$4=""),NA(),HLOOKUP(U$5,MODEL!$A$15:$Y$24,ROW()-ROW(T$4),0))</f>
        <v>#N/A</v>
      </c>
      <c r="V10" t="e">
        <f>IF(OR(ROW()-ROW(U$4)&gt;MAX(0,V$4)+1,V$4=""),NA(),HLOOKUP(V$5,MODEL!$A$15:$Y$24,ROW()-ROW(U$4),0))</f>
        <v>#N/A</v>
      </c>
      <c r="W10" t="e">
        <f>IF(OR(ROW()-ROW(V$4)&gt;MAX(0,W$4)+1,W$4=""),NA(),HLOOKUP(W$5,MODEL!$A$15:$Y$24,ROW()-ROW(V$4),0))</f>
        <v>#N/A</v>
      </c>
      <c r="X10" t="e">
        <f>IF(OR(ROW()-ROW(W$4)&gt;MAX(0,X$4)+1,X$4=""),NA(),HLOOKUP(X$5,MODEL!$A$15:$Y$24,ROW()-ROW(W$4),0))</f>
        <v>#N/A</v>
      </c>
      <c r="Y10" t="e">
        <f>IF(OR(ROW()-ROW(X$4)&gt;MAX(0,Y$4)+1,Y$4=""),NA(),HLOOKUP(Y$5,MODEL!$A$15:$Y$24,ROW()-ROW(X$4),0))</f>
        <v>#N/A</v>
      </c>
      <c r="Z10" t="e">
        <f>IF(OR(ROW()-ROW(Y$4)&gt;MAX(0,Z$4)+1,Z$4=""),NA(),HLOOKUP(Z$5,MODEL!$A$15:$Y$24,ROW()-ROW(Y$4),0))</f>
        <v>#N/A</v>
      </c>
      <c r="AA10" s="19"/>
      <c r="AB10" s="19"/>
      <c r="AC10" s="19"/>
      <c r="AD10" s="19"/>
      <c r="AE10" s="19"/>
      <c r="AF10" s="19"/>
      <c r="AG10" s="19"/>
      <c r="AH10" s="19"/>
      <c r="AI10" s="19"/>
      <c r="AJ10" s="19"/>
      <c r="AK10" s="19"/>
      <c r="AL10" s="19"/>
      <c r="AM10" s="19"/>
      <c r="AN10" s="19"/>
      <c r="AO10" s="19"/>
      <c r="AP10" s="19"/>
      <c r="AQ10" s="19"/>
      <c r="AR10" s="20"/>
    </row>
    <row r="11" spans="2:44" x14ac:dyDescent="0.25">
      <c r="B11" t="e">
        <f ca="1">IF(OR(ROW()-ROW(A$4)&gt;MAX(0,B$4)+1,B$4=""),NA(),HLOOKUP(B$5,MODEL!$A$15:$Y$24,ROW()-ROW(A$4),0))</f>
        <v>#N/A</v>
      </c>
      <c r="C11" t="e">
        <f ca="1">IF(OR(ROW()-ROW(B$4)&gt;MAX(0,C$4)+1,C$4=""),NA(),HLOOKUP(C$5,MODEL!$A$15:$Y$24,ROW()-ROW(B$4),0))</f>
        <v>#N/A</v>
      </c>
      <c r="D11" t="e">
        <f ca="1">IF(OR(ROW()-ROW(C$4)&gt;MAX(0,D$4)+1,D$4=""),NA(),HLOOKUP(D$5,MODEL!$A$15:$Y$24,ROW()-ROW(C$4),0))</f>
        <v>#N/A</v>
      </c>
      <c r="E11" t="e">
        <f>IF(OR(ROW()-ROW(D$4)&gt;MAX(0,E$4)+1,E$4=""),NA(),HLOOKUP(E$5,MODEL!$A$15:$Y$24,ROW()-ROW(D$4),0))</f>
        <v>#N/A</v>
      </c>
      <c r="F11" t="e">
        <f>IF(OR(ROW()-ROW(E$4)&gt;MAX(0,F$4)+1,F$4=""),NA(),HLOOKUP(F$5,MODEL!$A$15:$Y$24,ROW()-ROW(E$4),0))</f>
        <v>#N/A</v>
      </c>
      <c r="G11" t="e">
        <f>IF(OR(ROW()-ROW(F$4)&gt;MAX(0,G$4)+1,G$4=""),NA(),HLOOKUP(G$5,MODEL!$A$15:$Y$24,ROW()-ROW(F$4),0))</f>
        <v>#N/A</v>
      </c>
      <c r="H11" t="e">
        <f>IF(OR(ROW()-ROW(G$4)&gt;MAX(0,H$4)+1,H$4=""),NA(),HLOOKUP(H$5,MODEL!$A$15:$Y$24,ROW()-ROW(G$4),0))</f>
        <v>#N/A</v>
      </c>
      <c r="I11" t="e">
        <f>IF(OR(ROW()-ROW(H$4)&gt;MAX(0,I$4)+1,I$4=""),NA(),HLOOKUP(I$5,MODEL!$A$15:$Y$24,ROW()-ROW(H$4),0))</f>
        <v>#N/A</v>
      </c>
      <c r="J11" t="e">
        <f>IF(OR(ROW()-ROW(I$4)&gt;MAX(0,J$4)+1,J$4=""),NA(),HLOOKUP(J$5,MODEL!$A$15:$Y$24,ROW()-ROW(I$4),0))</f>
        <v>#N/A</v>
      </c>
      <c r="K11" t="e">
        <f>IF(OR(ROW()-ROW(J$4)&gt;MAX(0,K$4)+1,K$4=""),NA(),HLOOKUP(K$5,MODEL!$A$15:$Y$24,ROW()-ROW(J$4),0))</f>
        <v>#N/A</v>
      </c>
      <c r="L11" t="e">
        <f>IF(OR(ROW()-ROW(K$4)&gt;MAX(0,L$4)+1,L$4=""),NA(),HLOOKUP(L$5,MODEL!$A$15:$Y$24,ROW()-ROW(K$4),0))</f>
        <v>#N/A</v>
      </c>
      <c r="M11" t="e">
        <f>IF(OR(ROW()-ROW(L$4)&gt;MAX(0,M$4)+1,M$4=""),NA(),HLOOKUP(M$5,MODEL!$A$15:$Y$24,ROW()-ROW(L$4),0))</f>
        <v>#N/A</v>
      </c>
      <c r="N11" t="e">
        <f>IF(OR(ROW()-ROW(M$4)&gt;MAX(0,N$4)+1,N$4=""),NA(),HLOOKUP(N$5,MODEL!$A$15:$Y$24,ROW()-ROW(M$4),0))</f>
        <v>#N/A</v>
      </c>
      <c r="O11" t="e">
        <f>IF(OR(ROW()-ROW(N$4)&gt;MAX(0,O$4)+1,O$4=""),NA(),HLOOKUP(O$5,MODEL!$A$15:$Y$24,ROW()-ROW(N$4),0))</f>
        <v>#N/A</v>
      </c>
      <c r="P11" t="e">
        <f>IF(OR(ROW()-ROW(O$4)&gt;MAX(0,P$4)+1,P$4=""),NA(),HLOOKUP(P$5,MODEL!$A$15:$Y$24,ROW()-ROW(O$4),0))</f>
        <v>#N/A</v>
      </c>
      <c r="Q11" t="e">
        <f>IF(OR(ROW()-ROW(P$4)&gt;MAX(0,Q$4)+1,Q$4=""),NA(),HLOOKUP(Q$5,MODEL!$A$15:$Y$24,ROW()-ROW(P$4),0))</f>
        <v>#N/A</v>
      </c>
      <c r="R11" t="e">
        <f>IF(OR(ROW()-ROW(Q$4)&gt;MAX(0,R$4)+1,R$4=""),NA(),HLOOKUP(R$5,MODEL!$A$15:$Y$24,ROW()-ROW(Q$4),0))</f>
        <v>#N/A</v>
      </c>
      <c r="S11" t="e">
        <f>IF(OR(ROW()-ROW(R$4)&gt;MAX(0,S$4)+1,S$4=""),NA(),HLOOKUP(S$5,MODEL!$A$15:$Y$24,ROW()-ROW(R$4),0))</f>
        <v>#N/A</v>
      </c>
      <c r="T11" t="e">
        <f>IF(OR(ROW()-ROW(S$4)&gt;MAX(0,T$4)+1,T$4=""),NA(),HLOOKUP(T$5,MODEL!$A$15:$Y$24,ROW()-ROW(S$4),0))</f>
        <v>#N/A</v>
      </c>
      <c r="U11" t="e">
        <f>IF(OR(ROW()-ROW(T$4)&gt;MAX(0,U$4)+1,U$4=""),NA(),HLOOKUP(U$5,MODEL!$A$15:$Y$24,ROW()-ROW(T$4),0))</f>
        <v>#N/A</v>
      </c>
      <c r="V11" t="e">
        <f>IF(OR(ROW()-ROW(U$4)&gt;MAX(0,V$4)+1,V$4=""),NA(),HLOOKUP(V$5,MODEL!$A$15:$Y$24,ROW()-ROW(U$4),0))</f>
        <v>#N/A</v>
      </c>
      <c r="W11" t="e">
        <f>IF(OR(ROW()-ROW(V$4)&gt;MAX(0,W$4)+1,W$4=""),NA(),HLOOKUP(W$5,MODEL!$A$15:$Y$24,ROW()-ROW(V$4),0))</f>
        <v>#N/A</v>
      </c>
      <c r="X11" t="e">
        <f>IF(OR(ROW()-ROW(W$4)&gt;MAX(0,X$4)+1,X$4=""),NA(),HLOOKUP(X$5,MODEL!$A$15:$Y$24,ROW()-ROW(W$4),0))</f>
        <v>#N/A</v>
      </c>
      <c r="Y11" t="e">
        <f>IF(OR(ROW()-ROW(X$4)&gt;MAX(0,Y$4)+1,Y$4=""),NA(),HLOOKUP(Y$5,MODEL!$A$15:$Y$24,ROW()-ROW(X$4),0))</f>
        <v>#N/A</v>
      </c>
      <c r="Z11" t="e">
        <f>IF(OR(ROW()-ROW(Y$4)&gt;MAX(0,Z$4)+1,Z$4=""),NA(),HLOOKUP(Z$5,MODEL!$A$15:$Y$24,ROW()-ROW(Y$4),0))</f>
        <v>#N/A</v>
      </c>
      <c r="AA11" s="19"/>
      <c r="AB11" s="19"/>
      <c r="AC11" s="19"/>
      <c r="AD11" s="19"/>
      <c r="AE11" s="19"/>
      <c r="AF11" s="19"/>
      <c r="AG11" s="19"/>
      <c r="AH11" s="19"/>
      <c r="AI11" s="19"/>
      <c r="AJ11" s="19"/>
      <c r="AK11" s="19"/>
      <c r="AL11" s="19"/>
      <c r="AM11" s="19"/>
      <c r="AN11" s="19"/>
      <c r="AO11" s="19"/>
      <c r="AP11" s="19"/>
      <c r="AQ11" s="19"/>
      <c r="AR11" s="20"/>
    </row>
    <row r="12" spans="2:44" x14ac:dyDescent="0.25">
      <c r="B12" t="e">
        <f ca="1">IF(OR(ROW()-ROW(A$4)&gt;MAX(0,B$4)+1,B$4=""),NA(),HLOOKUP(B$5,MODEL!$A$15:$Y$24,ROW()-ROW(A$4),0))</f>
        <v>#N/A</v>
      </c>
      <c r="C12" t="e">
        <f ca="1">IF(OR(ROW()-ROW(B$4)&gt;MAX(0,C$4)+1,C$4=""),NA(),HLOOKUP(C$5,MODEL!$A$15:$Y$24,ROW()-ROW(B$4),0))</f>
        <v>#N/A</v>
      </c>
      <c r="D12" t="e">
        <f ca="1">IF(OR(ROW()-ROW(C$4)&gt;MAX(0,D$4)+1,D$4=""),NA(),HLOOKUP(D$5,MODEL!$A$15:$Y$24,ROW()-ROW(C$4),0))</f>
        <v>#N/A</v>
      </c>
      <c r="E12" t="e">
        <f>IF(OR(ROW()-ROW(D$4)&gt;MAX(0,E$4)+1,E$4=""),NA(),HLOOKUP(E$5,MODEL!$A$15:$Y$24,ROW()-ROW(D$4),0))</f>
        <v>#N/A</v>
      </c>
      <c r="F12" t="e">
        <f>IF(OR(ROW()-ROW(E$4)&gt;MAX(0,F$4)+1,F$4=""),NA(),HLOOKUP(F$5,MODEL!$A$15:$Y$24,ROW()-ROW(E$4),0))</f>
        <v>#N/A</v>
      </c>
      <c r="G12" t="e">
        <f>IF(OR(ROW()-ROW(F$4)&gt;MAX(0,G$4)+1,G$4=""),NA(),HLOOKUP(G$5,MODEL!$A$15:$Y$24,ROW()-ROW(F$4),0))</f>
        <v>#N/A</v>
      </c>
      <c r="H12" t="e">
        <f>IF(OR(ROW()-ROW(G$4)&gt;MAX(0,H$4)+1,H$4=""),NA(),HLOOKUP(H$5,MODEL!$A$15:$Y$24,ROW()-ROW(G$4),0))</f>
        <v>#N/A</v>
      </c>
      <c r="I12" t="e">
        <f>IF(OR(ROW()-ROW(H$4)&gt;MAX(0,I$4)+1,I$4=""),NA(),HLOOKUP(I$5,MODEL!$A$15:$Y$24,ROW()-ROW(H$4),0))</f>
        <v>#N/A</v>
      </c>
      <c r="J12" t="e">
        <f>IF(OR(ROW()-ROW(I$4)&gt;MAX(0,J$4)+1,J$4=""),NA(),HLOOKUP(J$5,MODEL!$A$15:$Y$24,ROW()-ROW(I$4),0))</f>
        <v>#N/A</v>
      </c>
      <c r="K12" t="e">
        <f>IF(OR(ROW()-ROW(J$4)&gt;MAX(0,K$4)+1,K$4=""),NA(),HLOOKUP(K$5,MODEL!$A$15:$Y$24,ROW()-ROW(J$4),0))</f>
        <v>#N/A</v>
      </c>
      <c r="L12" t="e">
        <f>IF(OR(ROW()-ROW(K$4)&gt;MAX(0,L$4)+1,L$4=""),NA(),HLOOKUP(L$5,MODEL!$A$15:$Y$24,ROW()-ROW(K$4),0))</f>
        <v>#N/A</v>
      </c>
      <c r="M12" t="e">
        <f>IF(OR(ROW()-ROW(L$4)&gt;MAX(0,M$4)+1,M$4=""),NA(),HLOOKUP(M$5,MODEL!$A$15:$Y$24,ROW()-ROW(L$4),0))</f>
        <v>#N/A</v>
      </c>
      <c r="N12" t="e">
        <f>IF(OR(ROW()-ROW(M$4)&gt;MAX(0,N$4)+1,N$4=""),NA(),HLOOKUP(N$5,MODEL!$A$15:$Y$24,ROW()-ROW(M$4),0))</f>
        <v>#N/A</v>
      </c>
      <c r="O12" t="e">
        <f>IF(OR(ROW()-ROW(N$4)&gt;MAX(0,O$4)+1,O$4=""),NA(),HLOOKUP(O$5,MODEL!$A$15:$Y$24,ROW()-ROW(N$4),0))</f>
        <v>#N/A</v>
      </c>
      <c r="P12" t="e">
        <f>IF(OR(ROW()-ROW(O$4)&gt;MAX(0,P$4)+1,P$4=""),NA(),HLOOKUP(P$5,MODEL!$A$15:$Y$24,ROW()-ROW(O$4),0))</f>
        <v>#N/A</v>
      </c>
      <c r="Q12" t="e">
        <f>IF(OR(ROW()-ROW(P$4)&gt;MAX(0,Q$4)+1,Q$4=""),NA(),HLOOKUP(Q$5,MODEL!$A$15:$Y$24,ROW()-ROW(P$4),0))</f>
        <v>#N/A</v>
      </c>
      <c r="R12" t="e">
        <f>IF(OR(ROW()-ROW(Q$4)&gt;MAX(0,R$4)+1,R$4=""),NA(),HLOOKUP(R$5,MODEL!$A$15:$Y$24,ROW()-ROW(Q$4),0))</f>
        <v>#N/A</v>
      </c>
      <c r="S12" t="e">
        <f>IF(OR(ROW()-ROW(R$4)&gt;MAX(0,S$4)+1,S$4=""),NA(),HLOOKUP(S$5,MODEL!$A$15:$Y$24,ROW()-ROW(R$4),0))</f>
        <v>#N/A</v>
      </c>
      <c r="T12" t="e">
        <f>IF(OR(ROW()-ROW(S$4)&gt;MAX(0,T$4)+1,T$4=""),NA(),HLOOKUP(T$5,MODEL!$A$15:$Y$24,ROW()-ROW(S$4),0))</f>
        <v>#N/A</v>
      </c>
      <c r="U12" t="e">
        <f>IF(OR(ROW()-ROW(T$4)&gt;MAX(0,U$4)+1,U$4=""),NA(),HLOOKUP(U$5,MODEL!$A$15:$Y$24,ROW()-ROW(T$4),0))</f>
        <v>#N/A</v>
      </c>
      <c r="V12" t="e">
        <f>IF(OR(ROW()-ROW(U$4)&gt;MAX(0,V$4)+1,V$4=""),NA(),HLOOKUP(V$5,MODEL!$A$15:$Y$24,ROW()-ROW(U$4),0))</f>
        <v>#N/A</v>
      </c>
      <c r="W12" t="e">
        <f>IF(OR(ROW()-ROW(V$4)&gt;MAX(0,W$4)+1,W$4=""),NA(),HLOOKUP(W$5,MODEL!$A$15:$Y$24,ROW()-ROW(V$4),0))</f>
        <v>#N/A</v>
      </c>
      <c r="X12" t="e">
        <f>IF(OR(ROW()-ROW(W$4)&gt;MAX(0,X$4)+1,X$4=""),NA(),HLOOKUP(X$5,MODEL!$A$15:$Y$24,ROW()-ROW(W$4),0))</f>
        <v>#N/A</v>
      </c>
      <c r="Y12" t="e">
        <f>IF(OR(ROW()-ROW(X$4)&gt;MAX(0,Y$4)+1,Y$4=""),NA(),HLOOKUP(Y$5,MODEL!$A$15:$Y$24,ROW()-ROW(X$4),0))</f>
        <v>#N/A</v>
      </c>
      <c r="Z12" t="e">
        <f>IF(OR(ROW()-ROW(Y$4)&gt;MAX(0,Z$4)+1,Z$4=""),NA(),HLOOKUP(Z$5,MODEL!$A$15:$Y$24,ROW()-ROW(Y$4),0))</f>
        <v>#N/A</v>
      </c>
      <c r="AA12" s="19"/>
      <c r="AB12" s="19"/>
      <c r="AC12" s="19"/>
      <c r="AD12" s="19"/>
      <c r="AE12" s="19"/>
      <c r="AF12" s="19"/>
      <c r="AG12" s="19"/>
      <c r="AH12" s="19"/>
      <c r="AI12" s="19"/>
      <c r="AJ12" s="19"/>
      <c r="AK12" s="19"/>
      <c r="AL12" s="19"/>
      <c r="AM12" s="19"/>
      <c r="AN12" s="19"/>
      <c r="AO12" s="19"/>
      <c r="AP12" s="19"/>
      <c r="AQ12" s="19"/>
      <c r="AR12" s="20"/>
    </row>
    <row r="13" spans="2:44" x14ac:dyDescent="0.25">
      <c r="B13" t="e">
        <f ca="1">IF(OR(ROW()-ROW(A$4)&gt;MAX(0,B$4)+1,B$4=""),NA(),HLOOKUP(B$5,MODEL!$A$15:$Y$24,ROW()-ROW(A$4),0))</f>
        <v>#N/A</v>
      </c>
      <c r="C13" t="e">
        <f ca="1">IF(OR(ROW()-ROW(B$4)&gt;MAX(0,C$4)+1,C$4=""),NA(),HLOOKUP(C$5,MODEL!$A$15:$Y$24,ROW()-ROW(B$4),0))</f>
        <v>#N/A</v>
      </c>
      <c r="D13" t="e">
        <f ca="1">IF(OR(ROW()-ROW(C$4)&gt;MAX(0,D$4)+1,D$4=""),NA(),HLOOKUP(D$5,MODEL!$A$15:$Y$24,ROW()-ROW(C$4),0))</f>
        <v>#N/A</v>
      </c>
      <c r="E13" t="e">
        <f>IF(OR(ROW()-ROW(D$4)&gt;MAX(0,E$4)+1,E$4=""),NA(),HLOOKUP(E$5,MODEL!$A$15:$Y$24,ROW()-ROW(D$4),0))</f>
        <v>#N/A</v>
      </c>
      <c r="F13" t="e">
        <f>IF(OR(ROW()-ROW(E$4)&gt;MAX(0,F$4)+1,F$4=""),NA(),HLOOKUP(F$5,MODEL!$A$15:$Y$24,ROW()-ROW(E$4),0))</f>
        <v>#N/A</v>
      </c>
      <c r="G13" t="e">
        <f>IF(OR(ROW()-ROW(F$4)&gt;MAX(0,G$4)+1,G$4=""),NA(),HLOOKUP(G$5,MODEL!$A$15:$Y$24,ROW()-ROW(F$4),0))</f>
        <v>#N/A</v>
      </c>
      <c r="H13" t="e">
        <f>IF(OR(ROW()-ROW(G$4)&gt;MAX(0,H$4)+1,H$4=""),NA(),HLOOKUP(H$5,MODEL!$A$15:$Y$24,ROW()-ROW(G$4),0))</f>
        <v>#N/A</v>
      </c>
      <c r="I13" t="e">
        <f>IF(OR(ROW()-ROW(H$4)&gt;MAX(0,I$4)+1,I$4=""),NA(),HLOOKUP(I$5,MODEL!$A$15:$Y$24,ROW()-ROW(H$4),0))</f>
        <v>#N/A</v>
      </c>
      <c r="J13" t="e">
        <f>IF(OR(ROW()-ROW(I$4)&gt;MAX(0,J$4)+1,J$4=""),NA(),HLOOKUP(J$5,MODEL!$A$15:$Y$24,ROW()-ROW(I$4),0))</f>
        <v>#N/A</v>
      </c>
      <c r="K13" t="e">
        <f>IF(OR(ROW()-ROW(J$4)&gt;MAX(0,K$4)+1,K$4=""),NA(),HLOOKUP(K$5,MODEL!$A$15:$Y$24,ROW()-ROW(J$4),0))</f>
        <v>#N/A</v>
      </c>
      <c r="L13" t="e">
        <f>IF(OR(ROW()-ROW(K$4)&gt;MAX(0,L$4)+1,L$4=""),NA(),HLOOKUP(L$5,MODEL!$A$15:$Y$24,ROW()-ROW(K$4),0))</f>
        <v>#N/A</v>
      </c>
      <c r="M13" t="e">
        <f>IF(OR(ROW()-ROW(L$4)&gt;MAX(0,M$4)+1,M$4=""),NA(),HLOOKUP(M$5,MODEL!$A$15:$Y$24,ROW()-ROW(L$4),0))</f>
        <v>#N/A</v>
      </c>
      <c r="N13" t="e">
        <f>IF(OR(ROW()-ROW(M$4)&gt;MAX(0,N$4)+1,N$4=""),NA(),HLOOKUP(N$5,MODEL!$A$15:$Y$24,ROW()-ROW(M$4),0))</f>
        <v>#N/A</v>
      </c>
      <c r="O13" t="e">
        <f>IF(OR(ROW()-ROW(N$4)&gt;MAX(0,O$4)+1,O$4=""),NA(),HLOOKUP(O$5,MODEL!$A$15:$Y$24,ROW()-ROW(N$4),0))</f>
        <v>#N/A</v>
      </c>
      <c r="P13" t="e">
        <f>IF(OR(ROW()-ROW(O$4)&gt;MAX(0,P$4)+1,P$4=""),NA(),HLOOKUP(P$5,MODEL!$A$15:$Y$24,ROW()-ROW(O$4),0))</f>
        <v>#N/A</v>
      </c>
      <c r="Q13" t="e">
        <f>IF(OR(ROW()-ROW(P$4)&gt;MAX(0,Q$4)+1,Q$4=""),NA(),HLOOKUP(Q$5,MODEL!$A$15:$Y$24,ROW()-ROW(P$4),0))</f>
        <v>#N/A</v>
      </c>
      <c r="R13" t="e">
        <f>IF(OR(ROW()-ROW(Q$4)&gt;MAX(0,R$4)+1,R$4=""),NA(),HLOOKUP(R$5,MODEL!$A$15:$Y$24,ROW()-ROW(Q$4),0))</f>
        <v>#N/A</v>
      </c>
      <c r="S13" t="e">
        <f>IF(OR(ROW()-ROW(R$4)&gt;MAX(0,S$4)+1,S$4=""),NA(),HLOOKUP(S$5,MODEL!$A$15:$Y$24,ROW()-ROW(R$4),0))</f>
        <v>#N/A</v>
      </c>
      <c r="T13" t="e">
        <f>IF(OR(ROW()-ROW(S$4)&gt;MAX(0,T$4)+1,T$4=""),NA(),HLOOKUP(T$5,MODEL!$A$15:$Y$24,ROW()-ROW(S$4),0))</f>
        <v>#N/A</v>
      </c>
      <c r="U13" t="e">
        <f>IF(OR(ROW()-ROW(T$4)&gt;MAX(0,U$4)+1,U$4=""),NA(),HLOOKUP(U$5,MODEL!$A$15:$Y$24,ROW()-ROW(T$4),0))</f>
        <v>#N/A</v>
      </c>
      <c r="V13" t="e">
        <f>IF(OR(ROW()-ROW(U$4)&gt;MAX(0,V$4)+1,V$4=""),NA(),HLOOKUP(V$5,MODEL!$A$15:$Y$24,ROW()-ROW(U$4),0))</f>
        <v>#N/A</v>
      </c>
      <c r="W13" t="e">
        <f>IF(OR(ROW()-ROW(V$4)&gt;MAX(0,W$4)+1,W$4=""),NA(),HLOOKUP(W$5,MODEL!$A$15:$Y$24,ROW()-ROW(V$4),0))</f>
        <v>#N/A</v>
      </c>
      <c r="X13" t="e">
        <f>IF(OR(ROW()-ROW(W$4)&gt;MAX(0,X$4)+1,X$4=""),NA(),HLOOKUP(X$5,MODEL!$A$15:$Y$24,ROW()-ROW(W$4),0))</f>
        <v>#N/A</v>
      </c>
      <c r="Y13" t="e">
        <f>IF(OR(ROW()-ROW(X$4)&gt;MAX(0,Y$4)+1,Y$4=""),NA(),HLOOKUP(Y$5,MODEL!$A$15:$Y$24,ROW()-ROW(X$4),0))</f>
        <v>#N/A</v>
      </c>
      <c r="Z13" t="e">
        <f>IF(OR(ROW()-ROW(Y$4)&gt;MAX(0,Z$4)+1,Z$4=""),NA(),HLOOKUP(Z$5,MODEL!$A$15:$Y$24,ROW()-ROW(Y$4),0))</f>
        <v>#N/A</v>
      </c>
      <c r="AA13" s="19"/>
      <c r="AB13" s="19"/>
      <c r="AC13" s="19"/>
      <c r="AD13" s="19"/>
      <c r="AE13" s="19"/>
      <c r="AF13" s="19"/>
      <c r="AG13" s="19"/>
      <c r="AH13" s="19"/>
      <c r="AI13" s="19"/>
      <c r="AJ13" s="19"/>
      <c r="AK13" s="19"/>
      <c r="AL13" s="19"/>
      <c r="AM13" s="19"/>
      <c r="AN13" s="19"/>
      <c r="AO13" s="19"/>
      <c r="AP13" s="19"/>
      <c r="AQ13" s="19"/>
      <c r="AR13" s="20"/>
    </row>
    <row r="14" spans="2:44" x14ac:dyDescent="0.25">
      <c r="B14" t="e">
        <f ca="1">IF(OR(ROW()-ROW(A$4)&gt;MAX(0,B$4)+1,B$4=""),NA(),HLOOKUP(B$5,MODEL!$A$15:$Y$24,ROW()-ROW(A$4),0))</f>
        <v>#N/A</v>
      </c>
      <c r="C14" t="e">
        <f ca="1">IF(OR(ROW()-ROW(B$4)&gt;MAX(0,C$4)+1,C$4=""),NA(),HLOOKUP(C$5,MODEL!$A$15:$Y$24,ROW()-ROW(B$4),0))</f>
        <v>#N/A</v>
      </c>
      <c r="D14" t="e">
        <f ca="1">IF(OR(ROW()-ROW(C$4)&gt;MAX(0,D$4)+1,D$4=""),NA(),HLOOKUP(D$5,MODEL!$A$15:$Y$24,ROW()-ROW(C$4),0))</f>
        <v>#N/A</v>
      </c>
      <c r="E14" t="e">
        <f>IF(OR(ROW()-ROW(D$4)&gt;MAX(0,E$4)+1,E$4=""),NA(),HLOOKUP(E$5,MODEL!$A$15:$Y$24,ROW()-ROW(D$4),0))</f>
        <v>#N/A</v>
      </c>
      <c r="F14" t="e">
        <f>IF(OR(ROW()-ROW(E$4)&gt;MAX(0,F$4)+1,F$4=""),NA(),HLOOKUP(F$5,MODEL!$A$15:$Y$24,ROW()-ROW(E$4),0))</f>
        <v>#N/A</v>
      </c>
      <c r="G14" t="e">
        <f>IF(OR(ROW()-ROW(F$4)&gt;MAX(0,G$4)+1,G$4=""),NA(),HLOOKUP(G$5,MODEL!$A$15:$Y$24,ROW()-ROW(F$4),0))</f>
        <v>#N/A</v>
      </c>
      <c r="H14" t="e">
        <f>IF(OR(ROW()-ROW(G$4)&gt;MAX(0,H$4)+1,H$4=""),NA(),HLOOKUP(H$5,MODEL!$A$15:$Y$24,ROW()-ROW(G$4),0))</f>
        <v>#N/A</v>
      </c>
      <c r="I14" t="e">
        <f>IF(OR(ROW()-ROW(H$4)&gt;MAX(0,I$4)+1,I$4=""),NA(),HLOOKUP(I$5,MODEL!$A$15:$Y$24,ROW()-ROW(H$4),0))</f>
        <v>#N/A</v>
      </c>
      <c r="J14" t="e">
        <f>IF(OR(ROW()-ROW(I$4)&gt;MAX(0,J$4)+1,J$4=""),NA(),HLOOKUP(J$5,MODEL!$A$15:$Y$24,ROW()-ROW(I$4),0))</f>
        <v>#N/A</v>
      </c>
      <c r="K14" t="e">
        <f>IF(OR(ROW()-ROW(J$4)&gt;MAX(0,K$4)+1,K$4=""),NA(),HLOOKUP(K$5,MODEL!$A$15:$Y$24,ROW()-ROW(J$4),0))</f>
        <v>#N/A</v>
      </c>
      <c r="L14" t="e">
        <f>IF(OR(ROW()-ROW(K$4)&gt;MAX(0,L$4)+1,L$4=""),NA(),HLOOKUP(L$5,MODEL!$A$15:$Y$24,ROW()-ROW(K$4),0))</f>
        <v>#N/A</v>
      </c>
      <c r="M14" t="e">
        <f>IF(OR(ROW()-ROW(L$4)&gt;MAX(0,M$4)+1,M$4=""),NA(),HLOOKUP(M$5,MODEL!$A$15:$Y$24,ROW()-ROW(L$4),0))</f>
        <v>#N/A</v>
      </c>
      <c r="N14" t="e">
        <f>IF(OR(ROW()-ROW(M$4)&gt;MAX(0,N$4)+1,N$4=""),NA(),HLOOKUP(N$5,MODEL!$A$15:$Y$24,ROW()-ROW(M$4),0))</f>
        <v>#N/A</v>
      </c>
      <c r="O14" t="e">
        <f>IF(OR(ROW()-ROW(N$4)&gt;MAX(0,O$4)+1,O$4=""),NA(),HLOOKUP(O$5,MODEL!$A$15:$Y$24,ROW()-ROW(N$4),0))</f>
        <v>#N/A</v>
      </c>
      <c r="P14" t="e">
        <f>IF(OR(ROW()-ROW(O$4)&gt;MAX(0,P$4)+1,P$4=""),NA(),HLOOKUP(P$5,MODEL!$A$15:$Y$24,ROW()-ROW(O$4),0))</f>
        <v>#N/A</v>
      </c>
      <c r="Q14" t="e">
        <f>IF(OR(ROW()-ROW(P$4)&gt;MAX(0,Q$4)+1,Q$4=""),NA(),HLOOKUP(Q$5,MODEL!$A$15:$Y$24,ROW()-ROW(P$4),0))</f>
        <v>#N/A</v>
      </c>
      <c r="R14" t="e">
        <f>IF(OR(ROW()-ROW(Q$4)&gt;MAX(0,R$4)+1,R$4=""),NA(),HLOOKUP(R$5,MODEL!$A$15:$Y$24,ROW()-ROW(Q$4),0))</f>
        <v>#N/A</v>
      </c>
      <c r="S14" t="e">
        <f>IF(OR(ROW()-ROW(R$4)&gt;MAX(0,S$4)+1,S$4=""),NA(),HLOOKUP(S$5,MODEL!$A$15:$Y$24,ROW()-ROW(R$4),0))</f>
        <v>#N/A</v>
      </c>
      <c r="T14" t="e">
        <f>IF(OR(ROW()-ROW(S$4)&gt;MAX(0,T$4)+1,T$4=""),NA(),HLOOKUP(T$5,MODEL!$A$15:$Y$24,ROW()-ROW(S$4),0))</f>
        <v>#N/A</v>
      </c>
      <c r="U14" t="e">
        <f>IF(OR(ROW()-ROW(T$4)&gt;MAX(0,U$4)+1,U$4=""),NA(),HLOOKUP(U$5,MODEL!$A$15:$Y$24,ROW()-ROW(T$4),0))</f>
        <v>#N/A</v>
      </c>
      <c r="V14" t="e">
        <f>IF(OR(ROW()-ROW(U$4)&gt;MAX(0,V$4)+1,V$4=""),NA(),HLOOKUP(V$5,MODEL!$A$15:$Y$24,ROW()-ROW(U$4),0))</f>
        <v>#N/A</v>
      </c>
      <c r="W14" t="e">
        <f>IF(OR(ROW()-ROW(V$4)&gt;MAX(0,W$4)+1,W$4=""),NA(),HLOOKUP(W$5,MODEL!$A$15:$Y$24,ROW()-ROW(V$4),0))</f>
        <v>#N/A</v>
      </c>
      <c r="X14" t="e">
        <f>IF(OR(ROW()-ROW(W$4)&gt;MAX(0,X$4)+1,X$4=""),NA(),HLOOKUP(X$5,MODEL!$A$15:$Y$24,ROW()-ROW(W$4),0))</f>
        <v>#N/A</v>
      </c>
      <c r="Y14" t="e">
        <f>IF(OR(ROW()-ROW(X$4)&gt;MAX(0,Y$4)+1,Y$4=""),NA(),HLOOKUP(Y$5,MODEL!$A$15:$Y$24,ROW()-ROW(X$4),0))</f>
        <v>#N/A</v>
      </c>
      <c r="Z14" t="e">
        <f>IF(OR(ROW()-ROW(Y$4)&gt;MAX(0,Z$4)+1,Z$4=""),NA(),HLOOKUP(Z$5,MODEL!$A$15:$Y$24,ROW()-ROW(Y$4),0))</f>
        <v>#N/A</v>
      </c>
      <c r="AA14" s="19"/>
      <c r="AB14" s="19"/>
      <c r="AC14" s="19"/>
      <c r="AD14" s="19"/>
      <c r="AE14" s="19"/>
      <c r="AF14" s="19"/>
      <c r="AG14" s="19"/>
      <c r="AH14" s="19"/>
      <c r="AI14" s="19"/>
      <c r="AJ14" s="19"/>
      <c r="AK14" s="19"/>
      <c r="AL14" s="19"/>
      <c r="AM14" s="19"/>
      <c r="AN14" s="19"/>
      <c r="AO14" s="19"/>
      <c r="AP14" s="19"/>
      <c r="AQ14" s="19"/>
      <c r="AR14" s="20"/>
    </row>
    <row r="15" spans="2:44" x14ac:dyDescent="0.25">
      <c r="AA15" s="19"/>
      <c r="AB15" s="19"/>
      <c r="AC15" s="19"/>
      <c r="AD15" s="19"/>
      <c r="AE15" s="19"/>
      <c r="AF15" s="19"/>
      <c r="AG15" s="19"/>
      <c r="AH15" s="19"/>
      <c r="AI15" s="19"/>
      <c r="AJ15" s="19"/>
      <c r="AK15" s="19"/>
      <c r="AL15" s="19"/>
      <c r="AM15" s="19"/>
      <c r="AN15" s="19"/>
      <c r="AO15" s="19"/>
      <c r="AP15" s="19"/>
      <c r="AQ15" s="19"/>
      <c r="AR15" s="20"/>
    </row>
    <row r="16" spans="2:44" x14ac:dyDescent="0.25">
      <c r="B16" t="str">
        <f ca="1">B5</f>
        <v>A</v>
      </c>
      <c r="C16" t="str">
        <f t="shared" ref="C16:Z16" ca="1" si="1">C5</f>
        <v>C</v>
      </c>
      <c r="D16" t="str">
        <f t="shared" ca="1" si="1"/>
        <v>E</v>
      </c>
      <c r="E16" t="str">
        <f t="shared" si="1"/>
        <v/>
      </c>
      <c r="F16" t="str">
        <f t="shared" si="1"/>
        <v/>
      </c>
      <c r="G16" t="str">
        <f t="shared" si="1"/>
        <v/>
      </c>
      <c r="H16" t="str">
        <f t="shared" si="1"/>
        <v/>
      </c>
      <c r="I16" t="str">
        <f t="shared" si="1"/>
        <v/>
      </c>
      <c r="J16" t="str">
        <f t="shared" si="1"/>
        <v/>
      </c>
      <c r="K16" t="str">
        <f t="shared" si="1"/>
        <v/>
      </c>
      <c r="L16" t="str">
        <f t="shared" si="1"/>
        <v/>
      </c>
      <c r="M16" t="str">
        <f t="shared" si="1"/>
        <v/>
      </c>
      <c r="N16" t="str">
        <f t="shared" si="1"/>
        <v/>
      </c>
      <c r="O16" t="str">
        <f t="shared" si="1"/>
        <v/>
      </c>
      <c r="P16" t="str">
        <f t="shared" si="1"/>
        <v/>
      </c>
      <c r="Q16" t="str">
        <f t="shared" si="1"/>
        <v/>
      </c>
      <c r="R16" t="str">
        <f t="shared" si="1"/>
        <v/>
      </c>
      <c r="S16" t="str">
        <f t="shared" si="1"/>
        <v/>
      </c>
      <c r="T16" t="str">
        <f t="shared" si="1"/>
        <v/>
      </c>
      <c r="U16" t="str">
        <f t="shared" si="1"/>
        <v/>
      </c>
      <c r="V16" t="str">
        <f t="shared" si="1"/>
        <v/>
      </c>
      <c r="W16" t="str">
        <f t="shared" si="1"/>
        <v/>
      </c>
      <c r="X16" t="str">
        <f t="shared" si="1"/>
        <v/>
      </c>
      <c r="Y16" t="str">
        <f t="shared" si="1"/>
        <v/>
      </c>
      <c r="Z16" t="str">
        <f t="shared" si="1"/>
        <v/>
      </c>
      <c r="AA16" s="19"/>
      <c r="AB16" s="19"/>
      <c r="AC16" s="19"/>
      <c r="AD16" s="19"/>
      <c r="AE16" s="19"/>
      <c r="AF16" s="19"/>
      <c r="AG16" s="19"/>
      <c r="AH16" s="19"/>
      <c r="AI16" s="19"/>
      <c r="AJ16" s="19"/>
      <c r="AK16" s="19"/>
      <c r="AL16" s="19"/>
      <c r="AM16" s="19"/>
      <c r="AN16" s="19"/>
      <c r="AO16" s="19"/>
      <c r="AP16" s="19"/>
      <c r="AQ16" s="19"/>
      <c r="AR16" s="20"/>
    </row>
    <row r="17" spans="1:44" x14ac:dyDescent="0.25">
      <c r="B17">
        <f ca="1">IF(OR(ROW()-ROW(A$15)&gt;MAX(0,B$4)+1,B$4=""),NA(),HLOOKUP(B$16,MODEL!$A$49:$Y$58,ROW()-ROW(A$15),0))</f>
        <v>6.4651721750000002</v>
      </c>
      <c r="C17">
        <f ca="1">IF(OR(ROW()-ROW(B$15)&gt;MAX(0,C$4)+1,C$4=""),NA(),HLOOKUP(C$16,MODEL!$A$49:$Y$58,ROW()-ROW(B$15),0))</f>
        <v>4.9052364718749999</v>
      </c>
      <c r="D17">
        <f ca="1">IF(OR(ROW()-ROW(C$15)&gt;MAX(0,D$4)+1,D$4=""),NA(),HLOOKUP(D$16,MODEL!$A$49:$Y$58,ROW()-ROW(C$15),0))</f>
        <v>5.5209388625000004</v>
      </c>
      <c r="E17" t="e">
        <f>IF(OR(ROW()-ROW(D$15)&gt;MAX(0,E$4)+1,E$4=""),NA(),HLOOKUP(E$16,MODEL!$A$49:$Y$58,ROW()-ROW(D$15),0))</f>
        <v>#N/A</v>
      </c>
      <c r="F17" t="e">
        <f>IF(OR(ROW()-ROW(E$15)&gt;MAX(0,F$4)+1,F$4=""),NA(),HLOOKUP(F$16,MODEL!$A$49:$Y$58,ROW()-ROW(E$15),0))</f>
        <v>#N/A</v>
      </c>
      <c r="G17" t="e">
        <f>IF(OR(ROW()-ROW(F$15)&gt;MAX(0,G$4)+1,G$4=""),NA(),HLOOKUP(G$16,MODEL!$A$49:$Y$58,ROW()-ROW(F$15),0))</f>
        <v>#N/A</v>
      </c>
      <c r="H17" t="e">
        <f>IF(OR(ROW()-ROW(G$15)&gt;MAX(0,H$4)+1,H$4=""),NA(),HLOOKUP(H$16,MODEL!$A$49:$Y$58,ROW()-ROW(G$15),0))</f>
        <v>#N/A</v>
      </c>
      <c r="I17" t="e">
        <f>IF(OR(ROW()-ROW(H$15)&gt;MAX(0,I$4)+1,I$4=""),NA(),HLOOKUP(I$16,MODEL!$A$49:$Y$58,ROW()-ROW(H$15),0))</f>
        <v>#N/A</v>
      </c>
      <c r="J17" t="e">
        <f>IF(OR(ROW()-ROW(I$15)&gt;MAX(0,J$4)+1,J$4=""),NA(),HLOOKUP(J$16,MODEL!$A$49:$Y$58,ROW()-ROW(I$15),0))</f>
        <v>#N/A</v>
      </c>
      <c r="K17" t="e">
        <f>IF(OR(ROW()-ROW(J$15)&gt;MAX(0,K$4)+1,K$4=""),NA(),HLOOKUP(K$16,MODEL!$A$49:$Y$58,ROW()-ROW(J$15),0))</f>
        <v>#N/A</v>
      </c>
      <c r="L17" t="e">
        <f>IF(OR(ROW()-ROW(K$15)&gt;MAX(0,L$4)+1,L$4=""),NA(),HLOOKUP(L$16,MODEL!$A$49:$Y$58,ROW()-ROW(K$15),0))</f>
        <v>#N/A</v>
      </c>
      <c r="M17" t="e">
        <f>IF(OR(ROW()-ROW(L$15)&gt;MAX(0,M$4)+1,M$4=""),NA(),HLOOKUP(M$16,MODEL!$A$49:$Y$58,ROW()-ROW(L$15),0))</f>
        <v>#N/A</v>
      </c>
      <c r="N17" t="e">
        <f>IF(OR(ROW()-ROW(M$15)&gt;MAX(0,N$4)+1,N$4=""),NA(),HLOOKUP(N$16,MODEL!$A$49:$Y$58,ROW()-ROW(M$15),0))</f>
        <v>#N/A</v>
      </c>
      <c r="O17" t="e">
        <f>IF(OR(ROW()-ROW(N$15)&gt;MAX(0,O$4)+1,O$4=""),NA(),HLOOKUP(O$16,MODEL!$A$49:$Y$58,ROW()-ROW(N$15),0))</f>
        <v>#N/A</v>
      </c>
      <c r="P17" t="e">
        <f>IF(OR(ROW()-ROW(O$15)&gt;MAX(0,P$4)+1,P$4=""),NA(),HLOOKUP(P$16,MODEL!$A$49:$Y$58,ROW()-ROW(O$15),0))</f>
        <v>#N/A</v>
      </c>
      <c r="Q17" t="e">
        <f>IF(OR(ROW()-ROW(P$15)&gt;MAX(0,Q$4)+1,Q$4=""),NA(),HLOOKUP(Q$16,MODEL!$A$49:$Y$58,ROW()-ROW(P$15),0))</f>
        <v>#N/A</v>
      </c>
      <c r="R17" t="e">
        <f>IF(OR(ROW()-ROW(Q$15)&gt;MAX(0,R$4)+1,R$4=""),NA(),HLOOKUP(R$16,MODEL!$A$49:$Y$58,ROW()-ROW(Q$15),0))</f>
        <v>#N/A</v>
      </c>
      <c r="S17" t="e">
        <f>IF(OR(ROW()-ROW(R$15)&gt;MAX(0,S$4)+1,S$4=""),NA(),HLOOKUP(S$16,MODEL!$A$49:$Y$58,ROW()-ROW(R$15),0))</f>
        <v>#N/A</v>
      </c>
      <c r="T17" t="e">
        <f>IF(OR(ROW()-ROW(S$15)&gt;MAX(0,T$4)+1,T$4=""),NA(),HLOOKUP(T$16,MODEL!$A$49:$Y$58,ROW()-ROW(S$15),0))</f>
        <v>#N/A</v>
      </c>
      <c r="U17" t="e">
        <f>IF(OR(ROW()-ROW(T$15)&gt;MAX(0,U$4)+1,U$4=""),NA(),HLOOKUP(U$16,MODEL!$A$49:$Y$58,ROW()-ROW(T$15),0))</f>
        <v>#N/A</v>
      </c>
      <c r="V17" t="e">
        <f>IF(OR(ROW()-ROW(U$15)&gt;MAX(0,V$4)+1,V$4=""),NA(),HLOOKUP(V$16,MODEL!$A$49:$Y$58,ROW()-ROW(U$15),0))</f>
        <v>#N/A</v>
      </c>
      <c r="W17" t="e">
        <f>IF(OR(ROW()-ROW(V$15)&gt;MAX(0,W$4)+1,W$4=""),NA(),HLOOKUP(W$16,MODEL!$A$49:$Y$58,ROW()-ROW(V$15),0))</f>
        <v>#N/A</v>
      </c>
      <c r="X17" t="e">
        <f>IF(OR(ROW()-ROW(W$15)&gt;MAX(0,X$4)+1,X$4=""),NA(),HLOOKUP(X$16,MODEL!$A$49:$Y$58,ROW()-ROW(W$15),0))</f>
        <v>#N/A</v>
      </c>
      <c r="Y17" t="e">
        <f>IF(OR(ROW()-ROW(X$15)&gt;MAX(0,Y$4)+1,Y$4=""),NA(),HLOOKUP(Y$16,MODEL!$A$49:$Y$58,ROW()-ROW(X$15),0))</f>
        <v>#N/A</v>
      </c>
      <c r="Z17" t="e">
        <f>IF(OR(ROW()-ROW(Y$15)&gt;MAX(0,Z$4)+1,Z$4=""),NA(),HLOOKUP(Z$16,MODEL!$A$49:$Y$58,ROW()-ROW(Y$15),0))</f>
        <v>#N/A</v>
      </c>
      <c r="AA17" s="19"/>
      <c r="AB17" s="19"/>
      <c r="AC17" s="19"/>
      <c r="AD17" s="19"/>
      <c r="AE17" s="19"/>
      <c r="AF17" s="19"/>
      <c r="AG17" s="19"/>
      <c r="AH17" s="19"/>
      <c r="AI17" s="19"/>
      <c r="AJ17" s="19"/>
      <c r="AK17" s="19"/>
      <c r="AL17" s="19"/>
      <c r="AM17" s="19"/>
      <c r="AN17" s="19"/>
      <c r="AO17" s="19"/>
      <c r="AP17" s="19"/>
      <c r="AQ17" s="19"/>
      <c r="AR17" s="19"/>
    </row>
    <row r="18" spans="1:44" x14ac:dyDescent="0.25">
      <c r="B18">
        <f ca="1">IF(OR(ROW()-ROW(A$15)&gt;MAX(0,B$4)+1,B$4=""),NA(),HLOOKUP(B$16,MODEL!$A$49:$Y$58,ROW()-ROW(A$15),0))</f>
        <v>5.5126858468749997</v>
      </c>
      <c r="C18">
        <f ca="1">IF(OR(ROW()-ROW(B$15)&gt;MAX(0,C$4)+1,C$4=""),NA(),HLOOKUP(C$16,MODEL!$A$49:$Y$58,ROW()-ROW(B$15),0))</f>
        <v>7.0726215500000009</v>
      </c>
      <c r="D18">
        <f ca="1">IF(OR(ROW()-ROW(C$15)&gt;MAX(0,D$4)+1,D$4=""),NA(),HLOOKUP(D$16,MODEL!$A$49:$Y$58,ROW()-ROW(C$15),0))</f>
        <v>6.4569191593749995</v>
      </c>
      <c r="E18" t="e">
        <f>IF(OR(ROW()-ROW(D$15)&gt;MAX(0,E$4)+1,E$4=""),NA(),HLOOKUP(E$16,MODEL!$A$49:$Y$58,ROW()-ROW(D$15),0))</f>
        <v>#N/A</v>
      </c>
      <c r="F18" t="e">
        <f>IF(OR(ROW()-ROW(E$15)&gt;MAX(0,F$4)+1,F$4=""),NA(),HLOOKUP(F$16,MODEL!$A$49:$Y$58,ROW()-ROW(E$15),0))</f>
        <v>#N/A</v>
      </c>
      <c r="G18" t="e">
        <f>IF(OR(ROW()-ROW(F$15)&gt;MAX(0,G$4)+1,G$4=""),NA(),HLOOKUP(G$16,MODEL!$A$49:$Y$58,ROW()-ROW(F$15),0))</f>
        <v>#N/A</v>
      </c>
      <c r="H18" t="e">
        <f>IF(OR(ROW()-ROW(G$15)&gt;MAX(0,H$4)+1,H$4=""),NA(),HLOOKUP(H$16,MODEL!$A$49:$Y$58,ROW()-ROW(G$15),0))</f>
        <v>#N/A</v>
      </c>
      <c r="I18" t="e">
        <f>IF(OR(ROW()-ROW(H$15)&gt;MAX(0,I$4)+1,I$4=""),NA(),HLOOKUP(I$16,MODEL!$A$49:$Y$58,ROW()-ROW(H$15),0))</f>
        <v>#N/A</v>
      </c>
      <c r="J18" t="e">
        <f>IF(OR(ROW()-ROW(I$15)&gt;MAX(0,J$4)+1,J$4=""),NA(),HLOOKUP(J$16,MODEL!$A$49:$Y$58,ROW()-ROW(I$15),0))</f>
        <v>#N/A</v>
      </c>
      <c r="K18" t="e">
        <f>IF(OR(ROW()-ROW(J$15)&gt;MAX(0,K$4)+1,K$4=""),NA(),HLOOKUP(K$16,MODEL!$A$49:$Y$58,ROW()-ROW(J$15),0))</f>
        <v>#N/A</v>
      </c>
      <c r="L18" t="e">
        <f>IF(OR(ROW()-ROW(K$15)&gt;MAX(0,L$4)+1,L$4=""),NA(),HLOOKUP(L$16,MODEL!$A$49:$Y$58,ROW()-ROW(K$15),0))</f>
        <v>#N/A</v>
      </c>
      <c r="M18" t="e">
        <f>IF(OR(ROW()-ROW(L$15)&gt;MAX(0,M$4)+1,M$4=""),NA(),HLOOKUP(M$16,MODEL!$A$49:$Y$58,ROW()-ROW(L$15),0))</f>
        <v>#N/A</v>
      </c>
      <c r="N18" t="e">
        <f>IF(OR(ROW()-ROW(M$15)&gt;MAX(0,N$4)+1,N$4=""),NA(),HLOOKUP(N$16,MODEL!$A$49:$Y$58,ROW()-ROW(M$15),0))</f>
        <v>#N/A</v>
      </c>
      <c r="O18" t="e">
        <f>IF(OR(ROW()-ROW(N$15)&gt;MAX(0,O$4)+1,O$4=""),NA(),HLOOKUP(O$16,MODEL!$A$49:$Y$58,ROW()-ROW(N$15),0))</f>
        <v>#N/A</v>
      </c>
      <c r="P18" t="e">
        <f>IF(OR(ROW()-ROW(O$15)&gt;MAX(0,P$4)+1,P$4=""),NA(),HLOOKUP(P$16,MODEL!$A$49:$Y$58,ROW()-ROW(O$15),0))</f>
        <v>#N/A</v>
      </c>
      <c r="Q18" t="e">
        <f>IF(OR(ROW()-ROW(P$15)&gt;MAX(0,Q$4)+1,Q$4=""),NA(),HLOOKUP(Q$16,MODEL!$A$49:$Y$58,ROW()-ROW(P$15),0))</f>
        <v>#N/A</v>
      </c>
      <c r="R18" t="e">
        <f>IF(OR(ROW()-ROW(Q$15)&gt;MAX(0,R$4)+1,R$4=""),NA(),HLOOKUP(R$16,MODEL!$A$49:$Y$58,ROW()-ROW(Q$15),0))</f>
        <v>#N/A</v>
      </c>
      <c r="S18" t="e">
        <f>IF(OR(ROW()-ROW(R$15)&gt;MAX(0,S$4)+1,S$4=""),NA(),HLOOKUP(S$16,MODEL!$A$49:$Y$58,ROW()-ROW(R$15),0))</f>
        <v>#N/A</v>
      </c>
      <c r="T18" t="e">
        <f>IF(OR(ROW()-ROW(S$15)&gt;MAX(0,T$4)+1,T$4=""),NA(),HLOOKUP(T$16,MODEL!$A$49:$Y$58,ROW()-ROW(S$15),0))</f>
        <v>#N/A</v>
      </c>
      <c r="U18" t="e">
        <f>IF(OR(ROW()-ROW(T$15)&gt;MAX(0,U$4)+1,U$4=""),NA(),HLOOKUP(U$16,MODEL!$A$49:$Y$58,ROW()-ROW(T$15),0))</f>
        <v>#N/A</v>
      </c>
      <c r="V18" t="e">
        <f>IF(OR(ROW()-ROW(U$15)&gt;MAX(0,V$4)+1,V$4=""),NA(),HLOOKUP(V$16,MODEL!$A$49:$Y$58,ROW()-ROW(U$15),0))</f>
        <v>#N/A</v>
      </c>
      <c r="W18" t="e">
        <f>IF(OR(ROW()-ROW(V$15)&gt;MAX(0,W$4)+1,W$4=""),NA(),HLOOKUP(W$16,MODEL!$A$49:$Y$58,ROW()-ROW(V$15),0))</f>
        <v>#N/A</v>
      </c>
      <c r="X18" t="e">
        <f>IF(OR(ROW()-ROW(W$15)&gt;MAX(0,X$4)+1,X$4=""),NA(),HLOOKUP(X$16,MODEL!$A$49:$Y$58,ROW()-ROW(W$15),0))</f>
        <v>#N/A</v>
      </c>
      <c r="Y18" t="e">
        <f>IF(OR(ROW()-ROW(X$15)&gt;MAX(0,Y$4)+1,Y$4=""),NA(),HLOOKUP(Y$16,MODEL!$A$49:$Y$58,ROW()-ROW(X$15),0))</f>
        <v>#N/A</v>
      </c>
      <c r="Z18" t="e">
        <f>IF(OR(ROW()-ROW(Y$15)&gt;MAX(0,Z$4)+1,Z$4=""),NA(),HLOOKUP(Z$16,MODEL!$A$49:$Y$58,ROW()-ROW(Y$15),0))</f>
        <v>#N/A</v>
      </c>
      <c r="AA18" s="19"/>
      <c r="AB18" s="19"/>
      <c r="AC18" s="19"/>
      <c r="AD18" s="19"/>
      <c r="AE18" s="19"/>
      <c r="AF18" s="19"/>
      <c r="AG18" s="19"/>
      <c r="AH18" s="19"/>
      <c r="AI18" s="19"/>
      <c r="AJ18" s="19"/>
      <c r="AK18" s="19"/>
      <c r="AL18" s="19"/>
      <c r="AM18" s="19"/>
      <c r="AN18" s="19"/>
      <c r="AO18" s="19"/>
      <c r="AP18" s="19"/>
      <c r="AQ18" s="19"/>
      <c r="AR18" s="19"/>
    </row>
    <row r="19" spans="1:44" x14ac:dyDescent="0.25">
      <c r="B19" t="e">
        <f ca="1">IF(OR(ROW()-ROW(A$15)&gt;MAX(0,B$4)+1,B$4=""),NA(),HLOOKUP(B$16,MODEL!$A$49:$Y$58,ROW()-ROW(A$15),0))</f>
        <v>#N/A</v>
      </c>
      <c r="C19" t="e">
        <f ca="1">IF(OR(ROW()-ROW(B$15)&gt;MAX(0,C$4)+1,C$4=""),NA(),HLOOKUP(C$16,MODEL!$A$49:$Y$58,ROW()-ROW(B$15),0))</f>
        <v>#N/A</v>
      </c>
      <c r="D19" t="e">
        <f ca="1">IF(OR(ROW()-ROW(C$15)&gt;MAX(0,D$4)+1,D$4=""),NA(),HLOOKUP(D$16,MODEL!$A$49:$Y$58,ROW()-ROW(C$15),0))</f>
        <v>#N/A</v>
      </c>
      <c r="E19" t="e">
        <f>IF(OR(ROW()-ROW(D$15)&gt;MAX(0,E$4)+1,E$4=""),NA(),HLOOKUP(E$16,MODEL!$A$49:$Y$58,ROW()-ROW(D$15),0))</f>
        <v>#N/A</v>
      </c>
      <c r="F19" t="e">
        <f>IF(OR(ROW()-ROW(E$15)&gt;MAX(0,F$4)+1,F$4=""),NA(),HLOOKUP(F$16,MODEL!$A$49:$Y$58,ROW()-ROW(E$15),0))</f>
        <v>#N/A</v>
      </c>
      <c r="G19" t="e">
        <f>IF(OR(ROW()-ROW(F$15)&gt;MAX(0,G$4)+1,G$4=""),NA(),HLOOKUP(G$16,MODEL!$A$49:$Y$58,ROW()-ROW(F$15),0))</f>
        <v>#N/A</v>
      </c>
      <c r="H19" t="e">
        <f>IF(OR(ROW()-ROW(G$15)&gt;MAX(0,H$4)+1,H$4=""),NA(),HLOOKUP(H$16,MODEL!$A$49:$Y$58,ROW()-ROW(G$15),0))</f>
        <v>#N/A</v>
      </c>
      <c r="I19" t="e">
        <f>IF(OR(ROW()-ROW(H$15)&gt;MAX(0,I$4)+1,I$4=""),NA(),HLOOKUP(I$16,MODEL!$A$49:$Y$58,ROW()-ROW(H$15),0))</f>
        <v>#N/A</v>
      </c>
      <c r="J19" t="e">
        <f>IF(OR(ROW()-ROW(I$15)&gt;MAX(0,J$4)+1,J$4=""),NA(),HLOOKUP(J$16,MODEL!$A$49:$Y$58,ROW()-ROW(I$15),0))</f>
        <v>#N/A</v>
      </c>
      <c r="K19" t="e">
        <f>IF(OR(ROW()-ROW(J$15)&gt;MAX(0,K$4)+1,K$4=""),NA(),HLOOKUP(K$16,MODEL!$A$49:$Y$58,ROW()-ROW(J$15),0))</f>
        <v>#N/A</v>
      </c>
      <c r="L19" t="e">
        <f>IF(OR(ROW()-ROW(K$15)&gt;MAX(0,L$4)+1,L$4=""),NA(),HLOOKUP(L$16,MODEL!$A$49:$Y$58,ROW()-ROW(K$15),0))</f>
        <v>#N/A</v>
      </c>
      <c r="M19" t="e">
        <f>IF(OR(ROW()-ROW(L$15)&gt;MAX(0,M$4)+1,M$4=""),NA(),HLOOKUP(M$16,MODEL!$A$49:$Y$58,ROW()-ROW(L$15),0))</f>
        <v>#N/A</v>
      </c>
      <c r="N19" t="e">
        <f>IF(OR(ROW()-ROW(M$15)&gt;MAX(0,N$4)+1,N$4=""),NA(),HLOOKUP(N$16,MODEL!$A$49:$Y$58,ROW()-ROW(M$15),0))</f>
        <v>#N/A</v>
      </c>
      <c r="O19" t="e">
        <f>IF(OR(ROW()-ROW(N$15)&gt;MAX(0,O$4)+1,O$4=""),NA(),HLOOKUP(O$16,MODEL!$A$49:$Y$58,ROW()-ROW(N$15),0))</f>
        <v>#N/A</v>
      </c>
      <c r="P19" t="e">
        <f>IF(OR(ROW()-ROW(O$15)&gt;MAX(0,P$4)+1,P$4=""),NA(),HLOOKUP(P$16,MODEL!$A$49:$Y$58,ROW()-ROW(O$15),0))</f>
        <v>#N/A</v>
      </c>
      <c r="Q19" t="e">
        <f>IF(OR(ROW()-ROW(P$15)&gt;MAX(0,Q$4)+1,Q$4=""),NA(),HLOOKUP(Q$16,MODEL!$A$49:$Y$58,ROW()-ROW(P$15),0))</f>
        <v>#N/A</v>
      </c>
      <c r="R19" t="e">
        <f>IF(OR(ROW()-ROW(Q$15)&gt;MAX(0,R$4)+1,R$4=""),NA(),HLOOKUP(R$16,MODEL!$A$49:$Y$58,ROW()-ROW(Q$15),0))</f>
        <v>#N/A</v>
      </c>
      <c r="S19" t="e">
        <f>IF(OR(ROW()-ROW(R$15)&gt;MAX(0,S$4)+1,S$4=""),NA(),HLOOKUP(S$16,MODEL!$A$49:$Y$58,ROW()-ROW(R$15),0))</f>
        <v>#N/A</v>
      </c>
      <c r="T19" t="e">
        <f>IF(OR(ROW()-ROW(S$15)&gt;MAX(0,T$4)+1,T$4=""),NA(),HLOOKUP(T$16,MODEL!$A$49:$Y$58,ROW()-ROW(S$15),0))</f>
        <v>#N/A</v>
      </c>
      <c r="U19" t="e">
        <f>IF(OR(ROW()-ROW(T$15)&gt;MAX(0,U$4)+1,U$4=""),NA(),HLOOKUP(U$16,MODEL!$A$49:$Y$58,ROW()-ROW(T$15),0))</f>
        <v>#N/A</v>
      </c>
      <c r="V19" t="e">
        <f>IF(OR(ROW()-ROW(U$15)&gt;MAX(0,V$4)+1,V$4=""),NA(),HLOOKUP(V$16,MODEL!$A$49:$Y$58,ROW()-ROW(U$15),0))</f>
        <v>#N/A</v>
      </c>
      <c r="W19" t="e">
        <f>IF(OR(ROW()-ROW(V$15)&gt;MAX(0,W$4)+1,W$4=""),NA(),HLOOKUP(W$16,MODEL!$A$49:$Y$58,ROW()-ROW(V$15),0))</f>
        <v>#N/A</v>
      </c>
      <c r="X19" t="e">
        <f>IF(OR(ROW()-ROW(W$15)&gt;MAX(0,X$4)+1,X$4=""),NA(),HLOOKUP(X$16,MODEL!$A$49:$Y$58,ROW()-ROW(W$15),0))</f>
        <v>#N/A</v>
      </c>
      <c r="Y19" t="e">
        <f>IF(OR(ROW()-ROW(X$15)&gt;MAX(0,Y$4)+1,Y$4=""),NA(),HLOOKUP(Y$16,MODEL!$A$49:$Y$58,ROW()-ROW(X$15),0))</f>
        <v>#N/A</v>
      </c>
      <c r="Z19" t="e">
        <f>IF(OR(ROW()-ROW(Y$15)&gt;MAX(0,Z$4)+1,Z$4=""),NA(),HLOOKUP(Z$16,MODEL!$A$49:$Y$58,ROW()-ROW(Y$15),0))</f>
        <v>#N/A</v>
      </c>
      <c r="AA19" s="19"/>
      <c r="AB19" s="19"/>
      <c r="AC19" s="19"/>
      <c r="AD19" s="19"/>
      <c r="AE19" s="19"/>
      <c r="AF19" s="19"/>
      <c r="AG19" s="19"/>
      <c r="AH19" s="19"/>
      <c r="AI19" s="19"/>
      <c r="AJ19" s="19"/>
      <c r="AK19" s="19"/>
      <c r="AL19" s="19"/>
      <c r="AM19" s="19"/>
      <c r="AN19" s="19"/>
      <c r="AO19" s="19"/>
      <c r="AP19" s="19"/>
      <c r="AQ19" s="19"/>
      <c r="AR19" s="19"/>
    </row>
    <row r="20" spans="1:44" x14ac:dyDescent="0.25">
      <c r="B20" t="e">
        <f ca="1">IF(OR(ROW()-ROW(A$15)&gt;MAX(0,B$4)+1,B$4=""),NA(),HLOOKUP(B$16,MODEL!$A$49:$Y$58,ROW()-ROW(A$15),0))</f>
        <v>#N/A</v>
      </c>
      <c r="C20" t="e">
        <f ca="1">IF(OR(ROW()-ROW(B$15)&gt;MAX(0,C$4)+1,C$4=""),NA(),HLOOKUP(C$16,MODEL!$A$49:$Y$58,ROW()-ROW(B$15),0))</f>
        <v>#N/A</v>
      </c>
      <c r="D20" t="e">
        <f ca="1">IF(OR(ROW()-ROW(C$15)&gt;MAX(0,D$4)+1,D$4=""),NA(),HLOOKUP(D$16,MODEL!$A$49:$Y$58,ROW()-ROW(C$15),0))</f>
        <v>#N/A</v>
      </c>
      <c r="E20" t="e">
        <f>IF(OR(ROW()-ROW(D$15)&gt;MAX(0,E$4)+1,E$4=""),NA(),HLOOKUP(E$16,MODEL!$A$49:$Y$58,ROW()-ROW(D$15),0))</f>
        <v>#N/A</v>
      </c>
      <c r="F20" t="e">
        <f>IF(OR(ROW()-ROW(E$15)&gt;MAX(0,F$4)+1,F$4=""),NA(),HLOOKUP(F$16,MODEL!$A$49:$Y$58,ROW()-ROW(E$15),0))</f>
        <v>#N/A</v>
      </c>
      <c r="G20" t="e">
        <f>IF(OR(ROW()-ROW(F$15)&gt;MAX(0,G$4)+1,G$4=""),NA(),HLOOKUP(G$16,MODEL!$A$49:$Y$58,ROW()-ROW(F$15),0))</f>
        <v>#N/A</v>
      </c>
      <c r="H20" t="e">
        <f>IF(OR(ROW()-ROW(G$15)&gt;MAX(0,H$4)+1,H$4=""),NA(),HLOOKUP(H$16,MODEL!$A$49:$Y$58,ROW()-ROW(G$15),0))</f>
        <v>#N/A</v>
      </c>
      <c r="I20" t="e">
        <f>IF(OR(ROW()-ROW(H$15)&gt;MAX(0,I$4)+1,I$4=""),NA(),HLOOKUP(I$16,MODEL!$A$49:$Y$58,ROW()-ROW(H$15),0))</f>
        <v>#N/A</v>
      </c>
      <c r="J20" t="e">
        <f>IF(OR(ROW()-ROW(I$15)&gt;MAX(0,J$4)+1,J$4=""),NA(),HLOOKUP(J$16,MODEL!$A$49:$Y$58,ROW()-ROW(I$15),0))</f>
        <v>#N/A</v>
      </c>
      <c r="K20" t="e">
        <f>IF(OR(ROW()-ROW(J$15)&gt;MAX(0,K$4)+1,K$4=""),NA(),HLOOKUP(K$16,MODEL!$A$49:$Y$58,ROW()-ROW(J$15),0))</f>
        <v>#N/A</v>
      </c>
      <c r="L20" t="e">
        <f>IF(OR(ROW()-ROW(K$15)&gt;MAX(0,L$4)+1,L$4=""),NA(),HLOOKUP(L$16,MODEL!$A$49:$Y$58,ROW()-ROW(K$15),0))</f>
        <v>#N/A</v>
      </c>
      <c r="M20" t="e">
        <f>IF(OR(ROW()-ROW(L$15)&gt;MAX(0,M$4)+1,M$4=""),NA(),HLOOKUP(M$16,MODEL!$A$49:$Y$58,ROW()-ROW(L$15),0))</f>
        <v>#N/A</v>
      </c>
      <c r="N20" t="e">
        <f>IF(OR(ROW()-ROW(M$15)&gt;MAX(0,N$4)+1,N$4=""),NA(),HLOOKUP(N$16,MODEL!$A$49:$Y$58,ROW()-ROW(M$15),0))</f>
        <v>#N/A</v>
      </c>
      <c r="O20" t="e">
        <f>IF(OR(ROW()-ROW(N$15)&gt;MAX(0,O$4)+1,O$4=""),NA(),HLOOKUP(O$16,MODEL!$A$49:$Y$58,ROW()-ROW(N$15),0))</f>
        <v>#N/A</v>
      </c>
      <c r="P20" t="e">
        <f>IF(OR(ROW()-ROW(O$15)&gt;MAX(0,P$4)+1,P$4=""),NA(),HLOOKUP(P$16,MODEL!$A$49:$Y$58,ROW()-ROW(O$15),0))</f>
        <v>#N/A</v>
      </c>
      <c r="Q20" t="e">
        <f>IF(OR(ROW()-ROW(P$15)&gt;MAX(0,Q$4)+1,Q$4=""),NA(),HLOOKUP(Q$16,MODEL!$A$49:$Y$58,ROW()-ROW(P$15),0))</f>
        <v>#N/A</v>
      </c>
      <c r="R20" t="e">
        <f>IF(OR(ROW()-ROW(Q$15)&gt;MAX(0,R$4)+1,R$4=""),NA(),HLOOKUP(R$16,MODEL!$A$49:$Y$58,ROW()-ROW(Q$15),0))</f>
        <v>#N/A</v>
      </c>
      <c r="S20" t="e">
        <f>IF(OR(ROW()-ROW(R$15)&gt;MAX(0,S$4)+1,S$4=""),NA(),HLOOKUP(S$16,MODEL!$A$49:$Y$58,ROW()-ROW(R$15),0))</f>
        <v>#N/A</v>
      </c>
      <c r="T20" t="e">
        <f>IF(OR(ROW()-ROW(S$15)&gt;MAX(0,T$4)+1,T$4=""),NA(),HLOOKUP(T$16,MODEL!$A$49:$Y$58,ROW()-ROW(S$15),0))</f>
        <v>#N/A</v>
      </c>
      <c r="U20" t="e">
        <f>IF(OR(ROW()-ROW(T$15)&gt;MAX(0,U$4)+1,U$4=""),NA(),HLOOKUP(U$16,MODEL!$A$49:$Y$58,ROW()-ROW(T$15),0))</f>
        <v>#N/A</v>
      </c>
      <c r="V20" t="e">
        <f>IF(OR(ROW()-ROW(U$15)&gt;MAX(0,V$4)+1,V$4=""),NA(),HLOOKUP(V$16,MODEL!$A$49:$Y$58,ROW()-ROW(U$15),0))</f>
        <v>#N/A</v>
      </c>
      <c r="W20" t="e">
        <f>IF(OR(ROW()-ROW(V$15)&gt;MAX(0,W$4)+1,W$4=""),NA(),HLOOKUP(W$16,MODEL!$A$49:$Y$58,ROW()-ROW(V$15),0))</f>
        <v>#N/A</v>
      </c>
      <c r="X20" t="e">
        <f>IF(OR(ROW()-ROW(W$15)&gt;MAX(0,X$4)+1,X$4=""),NA(),HLOOKUP(X$16,MODEL!$A$49:$Y$58,ROW()-ROW(W$15),0))</f>
        <v>#N/A</v>
      </c>
      <c r="Y20" t="e">
        <f>IF(OR(ROW()-ROW(X$15)&gt;MAX(0,Y$4)+1,Y$4=""),NA(),HLOOKUP(Y$16,MODEL!$A$49:$Y$58,ROW()-ROW(X$15),0))</f>
        <v>#N/A</v>
      </c>
      <c r="Z20" t="e">
        <f>IF(OR(ROW()-ROW(Y$15)&gt;MAX(0,Z$4)+1,Z$4=""),NA(),HLOOKUP(Z$16,MODEL!$A$49:$Y$58,ROW()-ROW(Y$15),0))</f>
        <v>#N/A</v>
      </c>
      <c r="AA20" s="19"/>
      <c r="AB20" s="19"/>
      <c r="AC20" s="19"/>
      <c r="AD20" s="19"/>
      <c r="AE20" s="19"/>
      <c r="AF20" s="19"/>
      <c r="AG20" s="19"/>
      <c r="AH20" s="19"/>
      <c r="AI20" s="19"/>
      <c r="AJ20" s="19"/>
      <c r="AK20" s="19"/>
      <c r="AL20" s="19"/>
      <c r="AM20" s="19"/>
      <c r="AN20" s="19"/>
      <c r="AO20" s="19"/>
      <c r="AP20" s="19"/>
      <c r="AQ20" s="19"/>
      <c r="AR20" s="19"/>
    </row>
    <row r="21" spans="1:44" x14ac:dyDescent="0.25">
      <c r="B21" t="e">
        <f ca="1">IF(OR(ROW()-ROW(A$15)&gt;MAX(0,B$4)+1,B$4=""),NA(),HLOOKUP(B$16,MODEL!$A$49:$Y$58,ROW()-ROW(A$15),0))</f>
        <v>#N/A</v>
      </c>
      <c r="C21" t="e">
        <f ca="1">IF(OR(ROW()-ROW(B$15)&gt;MAX(0,C$4)+1,C$4=""),NA(),HLOOKUP(C$16,MODEL!$A$49:$Y$58,ROW()-ROW(B$15),0))</f>
        <v>#N/A</v>
      </c>
      <c r="D21" t="e">
        <f ca="1">IF(OR(ROW()-ROW(C$15)&gt;MAX(0,D$4)+1,D$4=""),NA(),HLOOKUP(D$16,MODEL!$A$49:$Y$58,ROW()-ROW(C$15),0))</f>
        <v>#N/A</v>
      </c>
      <c r="E21" t="e">
        <f>IF(OR(ROW()-ROW(D$15)&gt;MAX(0,E$4)+1,E$4=""),NA(),HLOOKUP(E$16,MODEL!$A$49:$Y$58,ROW()-ROW(D$15),0))</f>
        <v>#N/A</v>
      </c>
      <c r="F21" t="e">
        <f>IF(OR(ROW()-ROW(E$15)&gt;MAX(0,F$4)+1,F$4=""),NA(),HLOOKUP(F$16,MODEL!$A$49:$Y$58,ROW()-ROW(E$15),0))</f>
        <v>#N/A</v>
      </c>
      <c r="G21" t="e">
        <f>IF(OR(ROW()-ROW(F$15)&gt;MAX(0,G$4)+1,G$4=""),NA(),HLOOKUP(G$16,MODEL!$A$49:$Y$58,ROW()-ROW(F$15),0))</f>
        <v>#N/A</v>
      </c>
      <c r="H21" t="e">
        <f>IF(OR(ROW()-ROW(G$15)&gt;MAX(0,H$4)+1,H$4=""),NA(),HLOOKUP(H$16,MODEL!$A$49:$Y$58,ROW()-ROW(G$15),0))</f>
        <v>#N/A</v>
      </c>
      <c r="I21" t="e">
        <f>IF(OR(ROW()-ROW(H$15)&gt;MAX(0,I$4)+1,I$4=""),NA(),HLOOKUP(I$16,MODEL!$A$49:$Y$58,ROW()-ROW(H$15),0))</f>
        <v>#N/A</v>
      </c>
      <c r="J21" t="e">
        <f>IF(OR(ROW()-ROW(I$15)&gt;MAX(0,J$4)+1,J$4=""),NA(),HLOOKUP(J$16,MODEL!$A$49:$Y$58,ROW()-ROW(I$15),0))</f>
        <v>#N/A</v>
      </c>
      <c r="K21" t="e">
        <f>IF(OR(ROW()-ROW(J$15)&gt;MAX(0,K$4)+1,K$4=""),NA(),HLOOKUP(K$16,MODEL!$A$49:$Y$58,ROW()-ROW(J$15),0))</f>
        <v>#N/A</v>
      </c>
      <c r="L21" t="e">
        <f>IF(OR(ROW()-ROW(K$15)&gt;MAX(0,L$4)+1,L$4=""),NA(),HLOOKUP(L$16,MODEL!$A$49:$Y$58,ROW()-ROW(K$15),0))</f>
        <v>#N/A</v>
      </c>
      <c r="M21" t="e">
        <f>IF(OR(ROW()-ROW(L$15)&gt;MAX(0,M$4)+1,M$4=""),NA(),HLOOKUP(M$16,MODEL!$A$49:$Y$58,ROW()-ROW(L$15),0))</f>
        <v>#N/A</v>
      </c>
      <c r="N21" t="e">
        <f>IF(OR(ROW()-ROW(M$15)&gt;MAX(0,N$4)+1,N$4=""),NA(),HLOOKUP(N$16,MODEL!$A$49:$Y$58,ROW()-ROW(M$15),0))</f>
        <v>#N/A</v>
      </c>
      <c r="O21" t="e">
        <f>IF(OR(ROW()-ROW(N$15)&gt;MAX(0,O$4)+1,O$4=""),NA(),HLOOKUP(O$16,MODEL!$A$49:$Y$58,ROW()-ROW(N$15),0))</f>
        <v>#N/A</v>
      </c>
      <c r="P21" t="e">
        <f>IF(OR(ROW()-ROW(O$15)&gt;MAX(0,P$4)+1,P$4=""),NA(),HLOOKUP(P$16,MODEL!$A$49:$Y$58,ROW()-ROW(O$15),0))</f>
        <v>#N/A</v>
      </c>
      <c r="Q21" t="e">
        <f>IF(OR(ROW()-ROW(P$15)&gt;MAX(0,Q$4)+1,Q$4=""),NA(),HLOOKUP(Q$16,MODEL!$A$49:$Y$58,ROW()-ROW(P$15),0))</f>
        <v>#N/A</v>
      </c>
      <c r="R21" t="e">
        <f>IF(OR(ROW()-ROW(Q$15)&gt;MAX(0,R$4)+1,R$4=""),NA(),HLOOKUP(R$16,MODEL!$A$49:$Y$58,ROW()-ROW(Q$15),0))</f>
        <v>#N/A</v>
      </c>
      <c r="S21" t="e">
        <f>IF(OR(ROW()-ROW(R$15)&gt;MAX(0,S$4)+1,S$4=""),NA(),HLOOKUP(S$16,MODEL!$A$49:$Y$58,ROW()-ROW(R$15),0))</f>
        <v>#N/A</v>
      </c>
      <c r="T21" t="e">
        <f>IF(OR(ROW()-ROW(S$15)&gt;MAX(0,T$4)+1,T$4=""),NA(),HLOOKUP(T$16,MODEL!$A$49:$Y$58,ROW()-ROW(S$15),0))</f>
        <v>#N/A</v>
      </c>
      <c r="U21" t="e">
        <f>IF(OR(ROW()-ROW(T$15)&gt;MAX(0,U$4)+1,U$4=""),NA(),HLOOKUP(U$16,MODEL!$A$49:$Y$58,ROW()-ROW(T$15),0))</f>
        <v>#N/A</v>
      </c>
      <c r="V21" t="e">
        <f>IF(OR(ROW()-ROW(U$15)&gt;MAX(0,V$4)+1,V$4=""),NA(),HLOOKUP(V$16,MODEL!$A$49:$Y$58,ROW()-ROW(U$15),0))</f>
        <v>#N/A</v>
      </c>
      <c r="W21" t="e">
        <f>IF(OR(ROW()-ROW(V$15)&gt;MAX(0,W$4)+1,W$4=""),NA(),HLOOKUP(W$16,MODEL!$A$49:$Y$58,ROW()-ROW(V$15),0))</f>
        <v>#N/A</v>
      </c>
      <c r="X21" t="e">
        <f>IF(OR(ROW()-ROW(W$15)&gt;MAX(0,X$4)+1,X$4=""),NA(),HLOOKUP(X$16,MODEL!$A$49:$Y$58,ROW()-ROW(W$15),0))</f>
        <v>#N/A</v>
      </c>
      <c r="Y21" t="e">
        <f>IF(OR(ROW()-ROW(X$15)&gt;MAX(0,Y$4)+1,Y$4=""),NA(),HLOOKUP(Y$16,MODEL!$A$49:$Y$58,ROW()-ROW(X$15),0))</f>
        <v>#N/A</v>
      </c>
      <c r="Z21" t="e">
        <f>IF(OR(ROW()-ROW(Y$15)&gt;MAX(0,Z$4)+1,Z$4=""),NA(),HLOOKUP(Z$16,MODEL!$A$49:$Y$58,ROW()-ROW(Y$15),0))</f>
        <v>#N/A</v>
      </c>
      <c r="AA21" s="19"/>
      <c r="AB21" s="19"/>
      <c r="AC21" s="19"/>
      <c r="AD21" s="19"/>
      <c r="AE21" s="19"/>
      <c r="AF21" s="19"/>
      <c r="AG21" s="19"/>
      <c r="AH21" s="19"/>
      <c r="AI21" s="19"/>
      <c r="AJ21" s="19"/>
      <c r="AK21" s="19"/>
      <c r="AL21" s="19"/>
      <c r="AM21" s="19"/>
      <c r="AN21" s="19"/>
      <c r="AO21" s="19"/>
      <c r="AP21" s="19"/>
      <c r="AQ21" s="19"/>
      <c r="AR21" s="19"/>
    </row>
    <row r="22" spans="1:44" x14ac:dyDescent="0.25">
      <c r="B22" t="e">
        <f ca="1">IF(OR(ROW()-ROW(A$15)&gt;MAX(0,B$4)+1,B$4=""),NA(),HLOOKUP(B$16,MODEL!$A$49:$Y$58,ROW()-ROW(A$15),0))</f>
        <v>#N/A</v>
      </c>
      <c r="C22" t="e">
        <f ca="1">IF(OR(ROW()-ROW(B$15)&gt;MAX(0,C$4)+1,C$4=""),NA(),HLOOKUP(C$16,MODEL!$A$49:$Y$58,ROW()-ROW(B$15),0))</f>
        <v>#N/A</v>
      </c>
      <c r="D22" t="e">
        <f ca="1">IF(OR(ROW()-ROW(C$15)&gt;MAX(0,D$4)+1,D$4=""),NA(),HLOOKUP(D$16,MODEL!$A$49:$Y$58,ROW()-ROW(C$15),0))</f>
        <v>#N/A</v>
      </c>
      <c r="E22" t="e">
        <f>IF(OR(ROW()-ROW(D$15)&gt;MAX(0,E$4)+1,E$4=""),NA(),HLOOKUP(E$16,MODEL!$A$49:$Y$58,ROW()-ROW(D$15),0))</f>
        <v>#N/A</v>
      </c>
      <c r="F22" t="e">
        <f>IF(OR(ROW()-ROW(E$15)&gt;MAX(0,F$4)+1,F$4=""),NA(),HLOOKUP(F$16,MODEL!$A$49:$Y$58,ROW()-ROW(E$15),0))</f>
        <v>#N/A</v>
      </c>
      <c r="G22" t="e">
        <f>IF(OR(ROW()-ROW(F$15)&gt;MAX(0,G$4)+1,G$4=""),NA(),HLOOKUP(G$16,MODEL!$A$49:$Y$58,ROW()-ROW(F$15),0))</f>
        <v>#N/A</v>
      </c>
      <c r="H22" t="e">
        <f>IF(OR(ROW()-ROW(G$15)&gt;MAX(0,H$4)+1,H$4=""),NA(),HLOOKUP(H$16,MODEL!$A$49:$Y$58,ROW()-ROW(G$15),0))</f>
        <v>#N/A</v>
      </c>
      <c r="I22" t="e">
        <f>IF(OR(ROW()-ROW(H$15)&gt;MAX(0,I$4)+1,I$4=""),NA(),HLOOKUP(I$16,MODEL!$A$49:$Y$58,ROW()-ROW(H$15),0))</f>
        <v>#N/A</v>
      </c>
      <c r="J22" t="e">
        <f>IF(OR(ROW()-ROW(I$15)&gt;MAX(0,J$4)+1,J$4=""),NA(),HLOOKUP(J$16,MODEL!$A$49:$Y$58,ROW()-ROW(I$15),0))</f>
        <v>#N/A</v>
      </c>
      <c r="K22" t="e">
        <f>IF(OR(ROW()-ROW(J$15)&gt;MAX(0,K$4)+1,K$4=""),NA(),HLOOKUP(K$16,MODEL!$A$49:$Y$58,ROW()-ROW(J$15),0))</f>
        <v>#N/A</v>
      </c>
      <c r="L22" t="e">
        <f>IF(OR(ROW()-ROW(K$15)&gt;MAX(0,L$4)+1,L$4=""),NA(),HLOOKUP(L$16,MODEL!$A$49:$Y$58,ROW()-ROW(K$15),0))</f>
        <v>#N/A</v>
      </c>
      <c r="M22" t="e">
        <f>IF(OR(ROW()-ROW(L$15)&gt;MAX(0,M$4)+1,M$4=""),NA(),HLOOKUP(M$16,MODEL!$A$49:$Y$58,ROW()-ROW(L$15),0))</f>
        <v>#N/A</v>
      </c>
      <c r="N22" t="e">
        <f>IF(OR(ROW()-ROW(M$15)&gt;MAX(0,N$4)+1,N$4=""),NA(),HLOOKUP(N$16,MODEL!$A$49:$Y$58,ROW()-ROW(M$15),0))</f>
        <v>#N/A</v>
      </c>
      <c r="O22" t="e">
        <f>IF(OR(ROW()-ROW(N$15)&gt;MAX(0,O$4)+1,O$4=""),NA(),HLOOKUP(O$16,MODEL!$A$49:$Y$58,ROW()-ROW(N$15),0))</f>
        <v>#N/A</v>
      </c>
      <c r="P22" t="e">
        <f>IF(OR(ROW()-ROW(O$15)&gt;MAX(0,P$4)+1,P$4=""),NA(),HLOOKUP(P$16,MODEL!$A$49:$Y$58,ROW()-ROW(O$15),0))</f>
        <v>#N/A</v>
      </c>
      <c r="Q22" t="e">
        <f>IF(OR(ROW()-ROW(P$15)&gt;MAX(0,Q$4)+1,Q$4=""),NA(),HLOOKUP(Q$16,MODEL!$A$49:$Y$58,ROW()-ROW(P$15),0))</f>
        <v>#N/A</v>
      </c>
      <c r="R22" t="e">
        <f>IF(OR(ROW()-ROW(Q$15)&gt;MAX(0,R$4)+1,R$4=""),NA(),HLOOKUP(R$16,MODEL!$A$49:$Y$58,ROW()-ROW(Q$15),0))</f>
        <v>#N/A</v>
      </c>
      <c r="S22" t="e">
        <f>IF(OR(ROW()-ROW(R$15)&gt;MAX(0,S$4)+1,S$4=""),NA(),HLOOKUP(S$16,MODEL!$A$49:$Y$58,ROW()-ROW(R$15),0))</f>
        <v>#N/A</v>
      </c>
      <c r="T22" t="e">
        <f>IF(OR(ROW()-ROW(S$15)&gt;MAX(0,T$4)+1,T$4=""),NA(),HLOOKUP(T$16,MODEL!$A$49:$Y$58,ROW()-ROW(S$15),0))</f>
        <v>#N/A</v>
      </c>
      <c r="U22" t="e">
        <f>IF(OR(ROW()-ROW(T$15)&gt;MAX(0,U$4)+1,U$4=""),NA(),HLOOKUP(U$16,MODEL!$A$49:$Y$58,ROW()-ROW(T$15),0))</f>
        <v>#N/A</v>
      </c>
      <c r="V22" t="e">
        <f>IF(OR(ROW()-ROW(U$15)&gt;MAX(0,V$4)+1,V$4=""),NA(),HLOOKUP(V$16,MODEL!$A$49:$Y$58,ROW()-ROW(U$15),0))</f>
        <v>#N/A</v>
      </c>
      <c r="W22" t="e">
        <f>IF(OR(ROW()-ROW(V$15)&gt;MAX(0,W$4)+1,W$4=""),NA(),HLOOKUP(W$16,MODEL!$A$49:$Y$58,ROW()-ROW(V$15),0))</f>
        <v>#N/A</v>
      </c>
      <c r="X22" t="e">
        <f>IF(OR(ROW()-ROW(W$15)&gt;MAX(0,X$4)+1,X$4=""),NA(),HLOOKUP(X$16,MODEL!$A$49:$Y$58,ROW()-ROW(W$15),0))</f>
        <v>#N/A</v>
      </c>
      <c r="Y22" t="e">
        <f>IF(OR(ROW()-ROW(X$15)&gt;MAX(0,Y$4)+1,Y$4=""),NA(),HLOOKUP(Y$16,MODEL!$A$49:$Y$58,ROW()-ROW(X$15),0))</f>
        <v>#N/A</v>
      </c>
      <c r="Z22" t="e">
        <f>IF(OR(ROW()-ROW(Y$15)&gt;MAX(0,Z$4)+1,Z$4=""),NA(),HLOOKUP(Z$16,MODEL!$A$49:$Y$58,ROW()-ROW(Y$15),0))</f>
        <v>#N/A</v>
      </c>
      <c r="AA22" s="19"/>
      <c r="AB22" s="19"/>
      <c r="AC22" s="19"/>
      <c r="AD22" s="19"/>
      <c r="AE22" s="19"/>
      <c r="AF22" s="19"/>
      <c r="AG22" s="19"/>
      <c r="AH22" s="19"/>
      <c r="AI22" s="19"/>
      <c r="AJ22" s="19"/>
      <c r="AK22" s="19"/>
      <c r="AL22" s="19"/>
      <c r="AM22" s="19"/>
      <c r="AN22" s="19"/>
      <c r="AO22" s="19"/>
      <c r="AP22" s="19"/>
      <c r="AQ22" s="19"/>
      <c r="AR22" s="19"/>
    </row>
    <row r="23" spans="1:44" x14ac:dyDescent="0.25">
      <c r="B23" t="e">
        <f ca="1">IF(OR(ROW()-ROW(A$15)&gt;MAX(0,B$4)+1,B$4=""),NA(),HLOOKUP(B$16,MODEL!$A$49:$Y$58,ROW()-ROW(A$15),0))</f>
        <v>#N/A</v>
      </c>
      <c r="C23" t="e">
        <f ca="1">IF(OR(ROW()-ROW(B$15)&gt;MAX(0,C$4)+1,C$4=""),NA(),HLOOKUP(C$16,MODEL!$A$49:$Y$58,ROW()-ROW(B$15),0))</f>
        <v>#N/A</v>
      </c>
      <c r="D23" t="e">
        <f ca="1">IF(OR(ROW()-ROW(C$15)&gt;MAX(0,D$4)+1,D$4=""),NA(),HLOOKUP(D$16,MODEL!$A$49:$Y$58,ROW()-ROW(C$15),0))</f>
        <v>#N/A</v>
      </c>
      <c r="E23" t="e">
        <f>IF(OR(ROW()-ROW(D$15)&gt;MAX(0,E$4)+1,E$4=""),NA(),HLOOKUP(E$16,MODEL!$A$49:$Y$58,ROW()-ROW(D$15),0))</f>
        <v>#N/A</v>
      </c>
      <c r="F23" t="e">
        <f>IF(OR(ROW()-ROW(E$15)&gt;MAX(0,F$4)+1,F$4=""),NA(),HLOOKUP(F$16,MODEL!$A$49:$Y$58,ROW()-ROW(E$15),0))</f>
        <v>#N/A</v>
      </c>
      <c r="G23" t="e">
        <f>IF(OR(ROW()-ROW(F$15)&gt;MAX(0,G$4)+1,G$4=""),NA(),HLOOKUP(G$16,MODEL!$A$49:$Y$58,ROW()-ROW(F$15),0))</f>
        <v>#N/A</v>
      </c>
      <c r="H23" t="e">
        <f>IF(OR(ROW()-ROW(G$15)&gt;MAX(0,H$4)+1,H$4=""),NA(),HLOOKUP(H$16,MODEL!$A$49:$Y$58,ROW()-ROW(G$15),0))</f>
        <v>#N/A</v>
      </c>
      <c r="I23" t="e">
        <f>IF(OR(ROW()-ROW(H$15)&gt;MAX(0,I$4)+1,I$4=""),NA(),HLOOKUP(I$16,MODEL!$A$49:$Y$58,ROW()-ROW(H$15),0))</f>
        <v>#N/A</v>
      </c>
      <c r="J23" t="e">
        <f>IF(OR(ROW()-ROW(I$15)&gt;MAX(0,J$4)+1,J$4=""),NA(),HLOOKUP(J$16,MODEL!$A$49:$Y$58,ROW()-ROW(I$15),0))</f>
        <v>#N/A</v>
      </c>
      <c r="K23" t="e">
        <f>IF(OR(ROW()-ROW(J$15)&gt;MAX(0,K$4)+1,K$4=""),NA(),HLOOKUP(K$16,MODEL!$A$49:$Y$58,ROW()-ROW(J$15),0))</f>
        <v>#N/A</v>
      </c>
      <c r="L23" t="e">
        <f>IF(OR(ROW()-ROW(K$15)&gt;MAX(0,L$4)+1,L$4=""),NA(),HLOOKUP(L$16,MODEL!$A$49:$Y$58,ROW()-ROW(K$15),0))</f>
        <v>#N/A</v>
      </c>
      <c r="M23" t="e">
        <f>IF(OR(ROW()-ROW(L$15)&gt;MAX(0,M$4)+1,M$4=""),NA(),HLOOKUP(M$16,MODEL!$A$49:$Y$58,ROW()-ROW(L$15),0))</f>
        <v>#N/A</v>
      </c>
      <c r="N23" t="e">
        <f>IF(OR(ROW()-ROW(M$15)&gt;MAX(0,N$4)+1,N$4=""),NA(),HLOOKUP(N$16,MODEL!$A$49:$Y$58,ROW()-ROW(M$15),0))</f>
        <v>#N/A</v>
      </c>
      <c r="O23" t="e">
        <f>IF(OR(ROW()-ROW(N$15)&gt;MAX(0,O$4)+1,O$4=""),NA(),HLOOKUP(O$16,MODEL!$A$49:$Y$58,ROW()-ROW(N$15),0))</f>
        <v>#N/A</v>
      </c>
      <c r="P23" t="e">
        <f>IF(OR(ROW()-ROW(O$15)&gt;MAX(0,P$4)+1,P$4=""),NA(),HLOOKUP(P$16,MODEL!$A$49:$Y$58,ROW()-ROW(O$15),0))</f>
        <v>#N/A</v>
      </c>
      <c r="Q23" t="e">
        <f>IF(OR(ROW()-ROW(P$15)&gt;MAX(0,Q$4)+1,Q$4=""),NA(),HLOOKUP(Q$16,MODEL!$A$49:$Y$58,ROW()-ROW(P$15),0))</f>
        <v>#N/A</v>
      </c>
      <c r="R23" t="e">
        <f>IF(OR(ROW()-ROW(Q$15)&gt;MAX(0,R$4)+1,R$4=""),NA(),HLOOKUP(R$16,MODEL!$A$49:$Y$58,ROW()-ROW(Q$15),0))</f>
        <v>#N/A</v>
      </c>
      <c r="S23" t="e">
        <f>IF(OR(ROW()-ROW(R$15)&gt;MAX(0,S$4)+1,S$4=""),NA(),HLOOKUP(S$16,MODEL!$A$49:$Y$58,ROW()-ROW(R$15),0))</f>
        <v>#N/A</v>
      </c>
      <c r="T23" t="e">
        <f>IF(OR(ROW()-ROW(S$15)&gt;MAX(0,T$4)+1,T$4=""),NA(),HLOOKUP(T$16,MODEL!$A$49:$Y$58,ROW()-ROW(S$15),0))</f>
        <v>#N/A</v>
      </c>
      <c r="U23" t="e">
        <f>IF(OR(ROW()-ROW(T$15)&gt;MAX(0,U$4)+1,U$4=""),NA(),HLOOKUP(U$16,MODEL!$A$49:$Y$58,ROW()-ROW(T$15),0))</f>
        <v>#N/A</v>
      </c>
      <c r="V23" t="e">
        <f>IF(OR(ROW()-ROW(U$15)&gt;MAX(0,V$4)+1,V$4=""),NA(),HLOOKUP(V$16,MODEL!$A$49:$Y$58,ROW()-ROW(U$15),0))</f>
        <v>#N/A</v>
      </c>
      <c r="W23" t="e">
        <f>IF(OR(ROW()-ROW(V$15)&gt;MAX(0,W$4)+1,W$4=""),NA(),HLOOKUP(W$16,MODEL!$A$49:$Y$58,ROW()-ROW(V$15),0))</f>
        <v>#N/A</v>
      </c>
      <c r="X23" t="e">
        <f>IF(OR(ROW()-ROW(W$15)&gt;MAX(0,X$4)+1,X$4=""),NA(),HLOOKUP(X$16,MODEL!$A$49:$Y$58,ROW()-ROW(W$15),0))</f>
        <v>#N/A</v>
      </c>
      <c r="Y23" t="e">
        <f>IF(OR(ROW()-ROW(X$15)&gt;MAX(0,Y$4)+1,Y$4=""),NA(),HLOOKUP(Y$16,MODEL!$A$49:$Y$58,ROW()-ROW(X$15),0))</f>
        <v>#N/A</v>
      </c>
      <c r="Z23" t="e">
        <f>IF(OR(ROW()-ROW(Y$15)&gt;MAX(0,Z$4)+1,Z$4=""),NA(),HLOOKUP(Z$16,MODEL!$A$49:$Y$58,ROW()-ROW(Y$15),0))</f>
        <v>#N/A</v>
      </c>
      <c r="AA23" s="19"/>
      <c r="AB23" s="19"/>
      <c r="AC23" s="19"/>
      <c r="AD23" s="19"/>
      <c r="AE23" s="19"/>
      <c r="AF23" s="19"/>
      <c r="AG23" s="19"/>
      <c r="AH23" s="19"/>
      <c r="AI23" s="19"/>
      <c r="AJ23" s="19"/>
      <c r="AK23" s="19"/>
      <c r="AL23" s="19"/>
      <c r="AM23" s="19"/>
      <c r="AN23" s="19"/>
      <c r="AO23" s="19"/>
      <c r="AP23" s="19"/>
      <c r="AQ23" s="19"/>
      <c r="AR23" s="19"/>
    </row>
    <row r="24" spans="1:44" x14ac:dyDescent="0.25">
      <c r="B24" t="e">
        <f ca="1">IF(OR(ROW()-ROW(A$15)&gt;MAX(0,B$4)+1,B$4=""),NA(),HLOOKUP(B$16,MODEL!$A$49:$Y$58,ROW()-ROW(A$15),0))</f>
        <v>#N/A</v>
      </c>
      <c r="C24" t="e">
        <f ca="1">IF(OR(ROW()-ROW(B$15)&gt;MAX(0,C$4)+1,C$4=""),NA(),HLOOKUP(C$16,MODEL!$A$49:$Y$58,ROW()-ROW(B$15),0))</f>
        <v>#N/A</v>
      </c>
      <c r="D24" t="e">
        <f ca="1">IF(OR(ROW()-ROW(C$15)&gt;MAX(0,D$4)+1,D$4=""),NA(),HLOOKUP(D$16,MODEL!$A$49:$Y$58,ROW()-ROW(C$15),0))</f>
        <v>#N/A</v>
      </c>
      <c r="E24" t="e">
        <f>IF(OR(ROW()-ROW(D$15)&gt;MAX(0,E$4)+1,E$4=""),NA(),HLOOKUP(E$16,MODEL!$A$49:$Y$58,ROW()-ROW(D$15),0))</f>
        <v>#N/A</v>
      </c>
      <c r="F24" t="e">
        <f>IF(OR(ROW()-ROW(E$15)&gt;MAX(0,F$4)+1,F$4=""),NA(),HLOOKUP(F$16,MODEL!$A$49:$Y$58,ROW()-ROW(E$15),0))</f>
        <v>#N/A</v>
      </c>
      <c r="G24" t="e">
        <f>IF(OR(ROW()-ROW(F$15)&gt;MAX(0,G$4)+1,G$4=""),NA(),HLOOKUP(G$16,MODEL!$A$49:$Y$58,ROW()-ROW(F$15),0))</f>
        <v>#N/A</v>
      </c>
      <c r="H24" t="e">
        <f>IF(OR(ROW()-ROW(G$15)&gt;MAX(0,H$4)+1,H$4=""),NA(),HLOOKUP(H$16,MODEL!$A$49:$Y$58,ROW()-ROW(G$15),0))</f>
        <v>#N/A</v>
      </c>
      <c r="I24" t="e">
        <f>IF(OR(ROW()-ROW(H$15)&gt;MAX(0,I$4)+1,I$4=""),NA(),HLOOKUP(I$16,MODEL!$A$49:$Y$58,ROW()-ROW(H$15),0))</f>
        <v>#N/A</v>
      </c>
      <c r="J24" t="e">
        <f>IF(OR(ROW()-ROW(I$15)&gt;MAX(0,J$4)+1,J$4=""),NA(),HLOOKUP(J$16,MODEL!$A$49:$Y$58,ROW()-ROW(I$15),0))</f>
        <v>#N/A</v>
      </c>
      <c r="K24" t="e">
        <f>IF(OR(ROW()-ROW(J$15)&gt;MAX(0,K$4)+1,K$4=""),NA(),HLOOKUP(K$16,MODEL!$A$49:$Y$58,ROW()-ROW(J$15),0))</f>
        <v>#N/A</v>
      </c>
      <c r="L24" t="e">
        <f>IF(OR(ROW()-ROW(K$15)&gt;MAX(0,L$4)+1,L$4=""),NA(),HLOOKUP(L$16,MODEL!$A$49:$Y$58,ROW()-ROW(K$15),0))</f>
        <v>#N/A</v>
      </c>
      <c r="M24" t="e">
        <f>IF(OR(ROW()-ROW(L$15)&gt;MAX(0,M$4)+1,M$4=""),NA(),HLOOKUP(M$16,MODEL!$A$49:$Y$58,ROW()-ROW(L$15),0))</f>
        <v>#N/A</v>
      </c>
      <c r="N24" t="e">
        <f>IF(OR(ROW()-ROW(M$15)&gt;MAX(0,N$4)+1,N$4=""),NA(),HLOOKUP(N$16,MODEL!$A$49:$Y$58,ROW()-ROW(M$15),0))</f>
        <v>#N/A</v>
      </c>
      <c r="O24" t="e">
        <f>IF(OR(ROW()-ROW(N$15)&gt;MAX(0,O$4)+1,O$4=""),NA(),HLOOKUP(O$16,MODEL!$A$49:$Y$58,ROW()-ROW(N$15),0))</f>
        <v>#N/A</v>
      </c>
      <c r="P24" t="e">
        <f>IF(OR(ROW()-ROW(O$15)&gt;MAX(0,P$4)+1,P$4=""),NA(),HLOOKUP(P$16,MODEL!$A$49:$Y$58,ROW()-ROW(O$15),0))</f>
        <v>#N/A</v>
      </c>
      <c r="Q24" t="e">
        <f>IF(OR(ROW()-ROW(P$15)&gt;MAX(0,Q$4)+1,Q$4=""),NA(),HLOOKUP(Q$16,MODEL!$A$49:$Y$58,ROW()-ROW(P$15),0))</f>
        <v>#N/A</v>
      </c>
      <c r="R24" t="e">
        <f>IF(OR(ROW()-ROW(Q$15)&gt;MAX(0,R$4)+1,R$4=""),NA(),HLOOKUP(R$16,MODEL!$A$49:$Y$58,ROW()-ROW(Q$15),0))</f>
        <v>#N/A</v>
      </c>
      <c r="S24" t="e">
        <f>IF(OR(ROW()-ROW(R$15)&gt;MAX(0,S$4)+1,S$4=""),NA(),HLOOKUP(S$16,MODEL!$A$49:$Y$58,ROW()-ROW(R$15),0))</f>
        <v>#N/A</v>
      </c>
      <c r="T24" t="e">
        <f>IF(OR(ROW()-ROW(S$15)&gt;MAX(0,T$4)+1,T$4=""),NA(),HLOOKUP(T$16,MODEL!$A$49:$Y$58,ROW()-ROW(S$15),0))</f>
        <v>#N/A</v>
      </c>
      <c r="U24" t="e">
        <f>IF(OR(ROW()-ROW(T$15)&gt;MAX(0,U$4)+1,U$4=""),NA(),HLOOKUP(U$16,MODEL!$A$49:$Y$58,ROW()-ROW(T$15),0))</f>
        <v>#N/A</v>
      </c>
      <c r="V24" t="e">
        <f>IF(OR(ROW()-ROW(U$15)&gt;MAX(0,V$4)+1,V$4=""),NA(),HLOOKUP(V$16,MODEL!$A$49:$Y$58,ROW()-ROW(U$15),0))</f>
        <v>#N/A</v>
      </c>
      <c r="W24" t="e">
        <f>IF(OR(ROW()-ROW(V$15)&gt;MAX(0,W$4)+1,W$4=""),NA(),HLOOKUP(W$16,MODEL!$A$49:$Y$58,ROW()-ROW(V$15),0))</f>
        <v>#N/A</v>
      </c>
      <c r="X24" t="e">
        <f>IF(OR(ROW()-ROW(W$15)&gt;MAX(0,X$4)+1,X$4=""),NA(),HLOOKUP(X$16,MODEL!$A$49:$Y$58,ROW()-ROW(W$15),0))</f>
        <v>#N/A</v>
      </c>
      <c r="Y24" t="e">
        <f>IF(OR(ROW()-ROW(X$15)&gt;MAX(0,Y$4)+1,Y$4=""),NA(),HLOOKUP(Y$16,MODEL!$A$49:$Y$58,ROW()-ROW(X$15),0))</f>
        <v>#N/A</v>
      </c>
      <c r="Z24" t="e">
        <f>IF(OR(ROW()-ROW(Y$15)&gt;MAX(0,Z$4)+1,Z$4=""),NA(),HLOOKUP(Z$16,MODEL!$A$49:$Y$58,ROW()-ROW(Y$15),0))</f>
        <v>#N/A</v>
      </c>
      <c r="AA24" s="19"/>
      <c r="AB24" s="19"/>
      <c r="AC24" s="19"/>
      <c r="AD24" s="19"/>
      <c r="AE24" s="19"/>
      <c r="AF24" s="19"/>
      <c r="AG24" s="19"/>
      <c r="AH24" s="19"/>
      <c r="AI24" s="19"/>
      <c r="AJ24" s="19"/>
      <c r="AK24" s="19"/>
      <c r="AL24" s="19"/>
      <c r="AM24" s="19"/>
      <c r="AN24" s="19"/>
      <c r="AO24" s="19"/>
      <c r="AP24" s="19"/>
      <c r="AQ24" s="19"/>
      <c r="AR24" s="19"/>
    </row>
    <row r="25" spans="1:44" x14ac:dyDescent="0.25">
      <c r="B25" t="e">
        <f ca="1">IF(OR(ROW()-ROW(A$15)&gt;MAX(0,B$4)+1,B$4=""),NA(),HLOOKUP(B$16,MODEL!$A$49:$Y$58,ROW()-ROW(A$15),0))</f>
        <v>#N/A</v>
      </c>
      <c r="C25" t="e">
        <f ca="1">IF(OR(ROW()-ROW(B$15)&gt;MAX(0,C$4)+1,C$4=""),NA(),HLOOKUP(C$16,MODEL!$A$49:$Y$58,ROW()-ROW(B$15),0))</f>
        <v>#N/A</v>
      </c>
      <c r="D25" t="e">
        <f ca="1">IF(OR(ROW()-ROW(C$15)&gt;MAX(0,D$4)+1,D$4=""),NA(),HLOOKUP(D$16,MODEL!$A$49:$Y$58,ROW()-ROW(C$15),0))</f>
        <v>#N/A</v>
      </c>
      <c r="E25" t="e">
        <f>IF(OR(ROW()-ROW(D$15)&gt;MAX(0,E$4)+1,E$4=""),NA(),HLOOKUP(E$16,MODEL!$A$49:$Y$58,ROW()-ROW(D$15),0))</f>
        <v>#N/A</v>
      </c>
      <c r="F25" t="e">
        <f>IF(OR(ROW()-ROW(E$15)&gt;MAX(0,F$4)+1,F$4=""),NA(),HLOOKUP(F$16,MODEL!$A$49:$Y$58,ROW()-ROW(E$15),0))</f>
        <v>#N/A</v>
      </c>
      <c r="G25" t="e">
        <f>IF(OR(ROW()-ROW(F$15)&gt;MAX(0,G$4)+1,G$4=""),NA(),HLOOKUP(G$16,MODEL!$A$49:$Y$58,ROW()-ROW(F$15),0))</f>
        <v>#N/A</v>
      </c>
      <c r="H25" t="e">
        <f>IF(OR(ROW()-ROW(G$15)&gt;MAX(0,H$4)+1,H$4=""),NA(),HLOOKUP(H$16,MODEL!$A$49:$Y$58,ROW()-ROW(G$15),0))</f>
        <v>#N/A</v>
      </c>
      <c r="I25" t="e">
        <f>IF(OR(ROW()-ROW(H$15)&gt;MAX(0,I$4)+1,I$4=""),NA(),HLOOKUP(I$16,MODEL!$A$49:$Y$58,ROW()-ROW(H$15),0))</f>
        <v>#N/A</v>
      </c>
      <c r="J25" t="e">
        <f>IF(OR(ROW()-ROW(I$15)&gt;MAX(0,J$4)+1,J$4=""),NA(),HLOOKUP(J$16,MODEL!$A$49:$Y$58,ROW()-ROW(I$15),0))</f>
        <v>#N/A</v>
      </c>
      <c r="K25" t="e">
        <f>IF(OR(ROW()-ROW(J$15)&gt;MAX(0,K$4)+1,K$4=""),NA(),HLOOKUP(K$16,MODEL!$A$49:$Y$58,ROW()-ROW(J$15),0))</f>
        <v>#N/A</v>
      </c>
      <c r="L25" t="e">
        <f>IF(OR(ROW()-ROW(K$15)&gt;MAX(0,L$4)+1,L$4=""),NA(),HLOOKUP(L$16,MODEL!$A$49:$Y$58,ROW()-ROW(K$15),0))</f>
        <v>#N/A</v>
      </c>
      <c r="M25" t="e">
        <f>IF(OR(ROW()-ROW(L$15)&gt;MAX(0,M$4)+1,M$4=""),NA(),HLOOKUP(M$16,MODEL!$A$49:$Y$58,ROW()-ROW(L$15),0))</f>
        <v>#N/A</v>
      </c>
      <c r="N25" t="e">
        <f>IF(OR(ROW()-ROW(M$15)&gt;MAX(0,N$4)+1,N$4=""),NA(),HLOOKUP(N$16,MODEL!$A$49:$Y$58,ROW()-ROW(M$15),0))</f>
        <v>#N/A</v>
      </c>
      <c r="O25" t="e">
        <f>IF(OR(ROW()-ROW(N$15)&gt;MAX(0,O$4)+1,O$4=""),NA(),HLOOKUP(O$16,MODEL!$A$49:$Y$58,ROW()-ROW(N$15),0))</f>
        <v>#N/A</v>
      </c>
      <c r="P25" t="e">
        <f>IF(OR(ROW()-ROW(O$15)&gt;MAX(0,P$4)+1,P$4=""),NA(),HLOOKUP(P$16,MODEL!$A$49:$Y$58,ROW()-ROW(O$15),0))</f>
        <v>#N/A</v>
      </c>
      <c r="Q25" t="e">
        <f>IF(OR(ROW()-ROW(P$15)&gt;MAX(0,Q$4)+1,Q$4=""),NA(),HLOOKUP(Q$16,MODEL!$A$49:$Y$58,ROW()-ROW(P$15),0))</f>
        <v>#N/A</v>
      </c>
      <c r="R25" t="e">
        <f>IF(OR(ROW()-ROW(Q$15)&gt;MAX(0,R$4)+1,R$4=""),NA(),HLOOKUP(R$16,MODEL!$A$49:$Y$58,ROW()-ROW(Q$15),0))</f>
        <v>#N/A</v>
      </c>
      <c r="S25" t="e">
        <f>IF(OR(ROW()-ROW(R$15)&gt;MAX(0,S$4)+1,S$4=""),NA(),HLOOKUP(S$16,MODEL!$A$49:$Y$58,ROW()-ROW(R$15),0))</f>
        <v>#N/A</v>
      </c>
      <c r="T25" t="e">
        <f>IF(OR(ROW()-ROW(S$15)&gt;MAX(0,T$4)+1,T$4=""),NA(),HLOOKUP(T$16,MODEL!$A$49:$Y$58,ROW()-ROW(S$15),0))</f>
        <v>#N/A</v>
      </c>
      <c r="U25" t="e">
        <f>IF(OR(ROW()-ROW(T$15)&gt;MAX(0,U$4)+1,U$4=""),NA(),HLOOKUP(U$16,MODEL!$A$49:$Y$58,ROW()-ROW(T$15),0))</f>
        <v>#N/A</v>
      </c>
      <c r="V25" t="e">
        <f>IF(OR(ROW()-ROW(U$15)&gt;MAX(0,V$4)+1,V$4=""),NA(),HLOOKUP(V$16,MODEL!$A$49:$Y$58,ROW()-ROW(U$15),0))</f>
        <v>#N/A</v>
      </c>
      <c r="W25" t="e">
        <f>IF(OR(ROW()-ROW(V$15)&gt;MAX(0,W$4)+1,W$4=""),NA(),HLOOKUP(W$16,MODEL!$A$49:$Y$58,ROW()-ROW(V$15),0))</f>
        <v>#N/A</v>
      </c>
      <c r="X25" t="e">
        <f>IF(OR(ROW()-ROW(W$15)&gt;MAX(0,X$4)+1,X$4=""),NA(),HLOOKUP(X$16,MODEL!$A$49:$Y$58,ROW()-ROW(W$15),0))</f>
        <v>#N/A</v>
      </c>
      <c r="Y25" t="e">
        <f>IF(OR(ROW()-ROW(X$15)&gt;MAX(0,Y$4)+1,Y$4=""),NA(),HLOOKUP(Y$16,MODEL!$A$49:$Y$58,ROW()-ROW(X$15),0))</f>
        <v>#N/A</v>
      </c>
      <c r="Z25" t="e">
        <f>IF(OR(ROW()-ROW(Y$15)&gt;MAX(0,Z$4)+1,Z$4=""),NA(),HLOOKUP(Z$16,MODEL!$A$49:$Y$58,ROW()-ROW(Y$15),0))</f>
        <v>#N/A</v>
      </c>
      <c r="AA25" s="19"/>
      <c r="AB25" s="19"/>
      <c r="AC25" s="19"/>
      <c r="AD25" s="19"/>
      <c r="AE25" s="19"/>
      <c r="AF25" s="19"/>
      <c r="AG25" s="19"/>
      <c r="AH25" s="19"/>
      <c r="AI25" s="19"/>
      <c r="AJ25" s="19"/>
      <c r="AK25" s="19"/>
      <c r="AL25" s="19"/>
      <c r="AM25" s="19"/>
      <c r="AN25" s="19"/>
      <c r="AO25" s="19"/>
      <c r="AP25" s="19"/>
      <c r="AQ25" s="19"/>
      <c r="AR25" s="19"/>
    </row>
    <row r="26" spans="1:44" x14ac:dyDescent="0.25">
      <c r="AA26" s="19"/>
      <c r="AB26" s="19"/>
      <c r="AC26" s="19"/>
      <c r="AD26" s="19"/>
      <c r="AE26" s="19"/>
      <c r="AF26" s="19"/>
      <c r="AG26" s="19"/>
      <c r="AH26" s="19"/>
      <c r="AI26" s="19"/>
      <c r="AJ26" s="19"/>
      <c r="AK26" s="19"/>
      <c r="AL26" s="19"/>
      <c r="AM26" s="19"/>
      <c r="AN26" s="19"/>
      <c r="AO26" s="19"/>
      <c r="AP26" s="19"/>
      <c r="AQ26" s="19"/>
      <c r="AR26" s="19"/>
    </row>
    <row r="27" spans="1:44" x14ac:dyDescent="0.25">
      <c r="A27" t="str">
        <f>IF(MODEL_MATRIX!B1="",NA(),MODEL_MATRIX!B1)</f>
        <v>Y</v>
      </c>
      <c r="B27" t="str">
        <f ca="1">B16</f>
        <v>A</v>
      </c>
      <c r="C27" t="str">
        <f t="shared" ref="C27:Z27" ca="1" si="2">C16</f>
        <v>C</v>
      </c>
      <c r="D27" t="str">
        <f t="shared" ca="1" si="2"/>
        <v>E</v>
      </c>
      <c r="E27" t="str">
        <f t="shared" si="2"/>
        <v/>
      </c>
      <c r="F27" t="str">
        <f t="shared" si="2"/>
        <v/>
      </c>
      <c r="G27" t="str">
        <f t="shared" si="2"/>
        <v/>
      </c>
      <c r="H27" t="str">
        <f t="shared" si="2"/>
        <v/>
      </c>
      <c r="I27" t="str">
        <f t="shared" si="2"/>
        <v/>
      </c>
      <c r="J27" t="str">
        <f t="shared" si="2"/>
        <v/>
      </c>
      <c r="K27" t="str">
        <f t="shared" si="2"/>
        <v/>
      </c>
      <c r="L27" t="str">
        <f t="shared" si="2"/>
        <v/>
      </c>
      <c r="M27" t="str">
        <f t="shared" si="2"/>
        <v/>
      </c>
      <c r="N27" t="str">
        <f t="shared" si="2"/>
        <v/>
      </c>
      <c r="O27" t="str">
        <f t="shared" si="2"/>
        <v/>
      </c>
      <c r="P27" t="str">
        <f t="shared" si="2"/>
        <v/>
      </c>
      <c r="Q27" t="str">
        <f t="shared" si="2"/>
        <v/>
      </c>
      <c r="R27" t="str">
        <f t="shared" si="2"/>
        <v/>
      </c>
      <c r="S27" t="str">
        <f t="shared" si="2"/>
        <v/>
      </c>
      <c r="T27" t="str">
        <f t="shared" si="2"/>
        <v/>
      </c>
      <c r="U27" t="str">
        <f t="shared" si="2"/>
        <v/>
      </c>
      <c r="V27" t="str">
        <f t="shared" si="2"/>
        <v/>
      </c>
      <c r="W27" t="str">
        <f t="shared" si="2"/>
        <v/>
      </c>
      <c r="X27" t="str">
        <f t="shared" si="2"/>
        <v/>
      </c>
      <c r="Y27" t="str">
        <f t="shared" si="2"/>
        <v/>
      </c>
      <c r="Z27" t="str">
        <f t="shared" si="2"/>
        <v/>
      </c>
      <c r="AA27" s="19"/>
      <c r="AB27" s="19"/>
      <c r="AC27" s="19"/>
      <c r="AD27" s="19"/>
      <c r="AE27" s="19"/>
      <c r="AF27" s="19"/>
      <c r="AG27" s="19"/>
      <c r="AH27" s="19"/>
      <c r="AI27" s="19"/>
      <c r="AJ27" s="19"/>
      <c r="AK27" s="19"/>
      <c r="AL27" s="19"/>
      <c r="AM27" s="19"/>
      <c r="AN27" s="19"/>
      <c r="AO27" s="19"/>
      <c r="AP27" s="19"/>
      <c r="AQ27" s="19"/>
      <c r="AR27" s="19"/>
    </row>
    <row r="28" spans="1:44" x14ac:dyDescent="0.25">
      <c r="A28">
        <f>IF(MODEL_MATRIX!B2="",NA(),MODEL_MATRIX!B2)</f>
        <v>4.2919815187500001</v>
      </c>
      <c r="B28">
        <f ca="1">IF(OR(B$27="",ISERROR($A28)),NA(),HLOOKUP(B$27,MODEL_MATRIX!$C$1:$AA$71,ROW()-ROW(A$26),0))</f>
        <v>-1</v>
      </c>
      <c r="C28">
        <f ca="1">IF(OR(C$27="",ISERROR($A28)),NA(),HLOOKUP(C$27,MODEL_MATRIX!$C$1:$AA$71,ROW()-ROW(B$26),0))</f>
        <v>-1</v>
      </c>
      <c r="D28">
        <f ca="1">IF(OR(D$27="",ISERROR($A28)),NA(),HLOOKUP(D$27,MODEL_MATRIX!$C$1:$AA$71,ROW()-ROW(C$26),0))</f>
        <v>-1</v>
      </c>
      <c r="E28" t="e">
        <f>IF(OR(E$27="",ISERROR($A28)),NA(),HLOOKUP(E$27,MODEL_MATRIX!$C$1:$AA$71,ROW()-ROW(D$26),0))</f>
        <v>#N/A</v>
      </c>
      <c r="F28" t="e">
        <f>IF(OR(F$27="",ISERROR($A28)),NA(),HLOOKUP(F$27,MODEL_MATRIX!$C$1:$AA$71,ROW()-ROW(E$26),0))</f>
        <v>#N/A</v>
      </c>
      <c r="G28" t="e">
        <f>IF(OR(G$27="",ISERROR($A28)),NA(),HLOOKUP(G$27,MODEL_MATRIX!$C$1:$AA$71,ROW()-ROW(F$26),0))</f>
        <v>#N/A</v>
      </c>
      <c r="H28" t="e">
        <f>IF(OR(H$27="",ISERROR($A28)),NA(),HLOOKUP(H$27,MODEL_MATRIX!$C$1:$AA$71,ROW()-ROW(G$26),0))</f>
        <v>#N/A</v>
      </c>
      <c r="I28" t="e">
        <f>IF(OR(I$27="",ISERROR($A28)),NA(),HLOOKUP(I$27,MODEL_MATRIX!$C$1:$AA$71,ROW()-ROW(H$26),0))</f>
        <v>#N/A</v>
      </c>
      <c r="J28" t="e">
        <f>IF(OR(J$27="",ISERROR($A28)),NA(),HLOOKUP(J$27,MODEL_MATRIX!$C$1:$AA$71,ROW()-ROW(I$26),0))</f>
        <v>#N/A</v>
      </c>
      <c r="K28" t="e">
        <f>IF(OR(K$27="",ISERROR($A28)),NA(),HLOOKUP(K$27,MODEL_MATRIX!$C$1:$AA$71,ROW()-ROW(J$26),0))</f>
        <v>#N/A</v>
      </c>
      <c r="L28" t="e">
        <f>IF(OR(L$27="",ISERROR($A28)),NA(),HLOOKUP(L$27,MODEL_MATRIX!$C$1:$AA$71,ROW()-ROW(K$26),0))</f>
        <v>#N/A</v>
      </c>
      <c r="M28" t="e">
        <f>IF(OR(M$27="",ISERROR($A28)),NA(),HLOOKUP(M$27,MODEL_MATRIX!$C$1:$AA$71,ROW()-ROW(L$26),0))</f>
        <v>#N/A</v>
      </c>
      <c r="N28" t="e">
        <f>IF(OR(N$27="",ISERROR($A28)),NA(),HLOOKUP(N$27,MODEL_MATRIX!$C$1:$AA$71,ROW()-ROW(M$26),0))</f>
        <v>#N/A</v>
      </c>
      <c r="O28" t="e">
        <f>IF(OR(O$27="",ISERROR($A28)),NA(),HLOOKUP(O$27,MODEL_MATRIX!$C$1:$AA$71,ROW()-ROW(N$26),0))</f>
        <v>#N/A</v>
      </c>
      <c r="P28" t="e">
        <f>IF(OR(P$27="",ISERROR($A28)),NA(),HLOOKUP(P$27,MODEL_MATRIX!$C$1:$AA$71,ROW()-ROW(O$26),0))</f>
        <v>#N/A</v>
      </c>
      <c r="Q28" t="e">
        <f>IF(OR(Q$27="",ISERROR($A28)),NA(),HLOOKUP(Q$27,MODEL_MATRIX!$C$1:$AA$71,ROW()-ROW(P$26),0))</f>
        <v>#N/A</v>
      </c>
      <c r="R28" t="e">
        <f>IF(OR(R$27="",ISERROR($A28)),NA(),HLOOKUP(R$27,MODEL_MATRIX!$C$1:$AA$71,ROW()-ROW(Q$26),0))</f>
        <v>#N/A</v>
      </c>
      <c r="S28" t="e">
        <f>IF(OR(S$27="",ISERROR($A28)),NA(),HLOOKUP(S$27,MODEL_MATRIX!$C$1:$AA$71,ROW()-ROW(R$26),0))</f>
        <v>#N/A</v>
      </c>
      <c r="T28" t="e">
        <f>IF(OR(T$27="",ISERROR($A28)),NA(),HLOOKUP(T$27,MODEL_MATRIX!$C$1:$AA$71,ROW()-ROW(S$26),0))</f>
        <v>#N/A</v>
      </c>
      <c r="U28" t="e">
        <f>IF(OR(U$27="",ISERROR($A28)),NA(),HLOOKUP(U$27,MODEL_MATRIX!$C$1:$AA$71,ROW()-ROW(T$26),0))</f>
        <v>#N/A</v>
      </c>
      <c r="V28" t="e">
        <f>IF(OR(V$27="",ISERROR($A28)),NA(),HLOOKUP(V$27,MODEL_MATRIX!$C$1:$AA$71,ROW()-ROW(U$26),0))</f>
        <v>#N/A</v>
      </c>
      <c r="W28" t="e">
        <f>IF(OR(W$27="",ISERROR($A28)),NA(),HLOOKUP(W$27,MODEL_MATRIX!$C$1:$AA$71,ROW()-ROW(V$26),0))</f>
        <v>#N/A</v>
      </c>
      <c r="X28" t="e">
        <f>IF(OR(X$27="",ISERROR($A28)),NA(),HLOOKUP(X$27,MODEL_MATRIX!$C$1:$AA$71,ROW()-ROW(W$26),0))</f>
        <v>#N/A</v>
      </c>
      <c r="Y28" t="e">
        <f>IF(OR(Y$27="",ISERROR($A28)),NA(),HLOOKUP(Y$27,MODEL_MATRIX!$C$1:$AA$71,ROW()-ROW(X$26),0))</f>
        <v>#N/A</v>
      </c>
      <c r="Z28" t="e">
        <f>IF(OR(Z$27="",ISERROR($A28)),NA(),HLOOKUP(Z$27,MODEL_MATRIX!$C$1:$AA$71,ROW()-ROW(Y$26),0))</f>
        <v>#N/A</v>
      </c>
      <c r="AA28" s="19"/>
      <c r="AB28" s="19"/>
      <c r="AC28" s="19"/>
      <c r="AD28" s="19"/>
      <c r="AE28" s="19"/>
      <c r="AF28" s="19"/>
      <c r="AG28" s="19"/>
      <c r="AH28" s="19"/>
      <c r="AI28" s="19"/>
      <c r="AJ28" s="19"/>
      <c r="AK28" s="19"/>
      <c r="AL28" s="19"/>
      <c r="AM28" s="19"/>
      <c r="AN28" s="19"/>
      <c r="AO28" s="19"/>
      <c r="AP28" s="19"/>
      <c r="AQ28" s="19"/>
      <c r="AR28" s="19"/>
    </row>
    <row r="29" spans="1:44" x14ac:dyDescent="0.25">
      <c r="A29">
        <f>IF(MODEL_MATRIX!B3="",NA(),MODEL_MATRIX!B3)</f>
        <v>4.00793976875</v>
      </c>
      <c r="B29">
        <f ca="1">IF(OR(B$27="",ISERROR($A29)),NA(),HLOOKUP(B$27,MODEL_MATRIX!$C$1:$AA$71,ROW()-ROW(A$26),0))</f>
        <v>1</v>
      </c>
      <c r="C29">
        <f ca="1">IF(OR(C$27="",ISERROR($A29)),NA(),HLOOKUP(C$27,MODEL_MATRIX!$C$1:$AA$71,ROW()-ROW(B$26),0))</f>
        <v>-1</v>
      </c>
      <c r="D29">
        <f ca="1">IF(OR(D$27="",ISERROR($A29)),NA(),HLOOKUP(D$27,MODEL_MATRIX!$C$1:$AA$71,ROW()-ROW(C$26),0))</f>
        <v>-1</v>
      </c>
      <c r="E29" t="e">
        <f>IF(OR(E$27="",ISERROR($A29)),NA(),HLOOKUP(E$27,MODEL_MATRIX!$C$1:$AA$71,ROW()-ROW(D$26),0))</f>
        <v>#N/A</v>
      </c>
      <c r="F29" t="e">
        <f>IF(OR(F$27="",ISERROR($A29)),NA(),HLOOKUP(F$27,MODEL_MATRIX!$C$1:$AA$71,ROW()-ROW(E$26),0))</f>
        <v>#N/A</v>
      </c>
      <c r="G29" t="e">
        <f>IF(OR(G$27="",ISERROR($A29)),NA(),HLOOKUP(G$27,MODEL_MATRIX!$C$1:$AA$71,ROW()-ROW(F$26),0))</f>
        <v>#N/A</v>
      </c>
      <c r="H29" t="e">
        <f>IF(OR(H$27="",ISERROR($A29)),NA(),HLOOKUP(H$27,MODEL_MATRIX!$C$1:$AA$71,ROW()-ROW(G$26),0))</f>
        <v>#N/A</v>
      </c>
      <c r="I29" t="e">
        <f>IF(OR(I$27="",ISERROR($A29)),NA(),HLOOKUP(I$27,MODEL_MATRIX!$C$1:$AA$71,ROW()-ROW(H$26),0))</f>
        <v>#N/A</v>
      </c>
      <c r="J29" t="e">
        <f>IF(OR(J$27="",ISERROR($A29)),NA(),HLOOKUP(J$27,MODEL_MATRIX!$C$1:$AA$71,ROW()-ROW(I$26),0))</f>
        <v>#N/A</v>
      </c>
      <c r="K29" t="e">
        <f>IF(OR(K$27="",ISERROR($A29)),NA(),HLOOKUP(K$27,MODEL_MATRIX!$C$1:$AA$71,ROW()-ROW(J$26),0))</f>
        <v>#N/A</v>
      </c>
      <c r="L29" t="e">
        <f>IF(OR(L$27="",ISERROR($A29)),NA(),HLOOKUP(L$27,MODEL_MATRIX!$C$1:$AA$71,ROW()-ROW(K$26),0))</f>
        <v>#N/A</v>
      </c>
      <c r="M29" t="e">
        <f>IF(OR(M$27="",ISERROR($A29)),NA(),HLOOKUP(M$27,MODEL_MATRIX!$C$1:$AA$71,ROW()-ROW(L$26),0))</f>
        <v>#N/A</v>
      </c>
      <c r="N29" t="e">
        <f>IF(OR(N$27="",ISERROR($A29)),NA(),HLOOKUP(N$27,MODEL_MATRIX!$C$1:$AA$71,ROW()-ROW(M$26),0))</f>
        <v>#N/A</v>
      </c>
      <c r="O29" t="e">
        <f>IF(OR(O$27="",ISERROR($A29)),NA(),HLOOKUP(O$27,MODEL_MATRIX!$C$1:$AA$71,ROW()-ROW(N$26),0))</f>
        <v>#N/A</v>
      </c>
      <c r="P29" t="e">
        <f>IF(OR(P$27="",ISERROR($A29)),NA(),HLOOKUP(P$27,MODEL_MATRIX!$C$1:$AA$71,ROW()-ROW(O$26),0))</f>
        <v>#N/A</v>
      </c>
      <c r="Q29" t="e">
        <f>IF(OR(Q$27="",ISERROR($A29)),NA(),HLOOKUP(Q$27,MODEL_MATRIX!$C$1:$AA$71,ROW()-ROW(P$26),0))</f>
        <v>#N/A</v>
      </c>
      <c r="R29" t="e">
        <f>IF(OR(R$27="",ISERROR($A29)),NA(),HLOOKUP(R$27,MODEL_MATRIX!$C$1:$AA$71,ROW()-ROW(Q$26),0))</f>
        <v>#N/A</v>
      </c>
      <c r="S29" t="e">
        <f>IF(OR(S$27="",ISERROR($A29)),NA(),HLOOKUP(S$27,MODEL_MATRIX!$C$1:$AA$71,ROW()-ROW(R$26),0))</f>
        <v>#N/A</v>
      </c>
      <c r="T29" t="e">
        <f>IF(OR(T$27="",ISERROR($A29)),NA(),HLOOKUP(T$27,MODEL_MATRIX!$C$1:$AA$71,ROW()-ROW(S$26),0))</f>
        <v>#N/A</v>
      </c>
      <c r="U29" t="e">
        <f>IF(OR(U$27="",ISERROR($A29)),NA(),HLOOKUP(U$27,MODEL_MATRIX!$C$1:$AA$71,ROW()-ROW(T$26),0))</f>
        <v>#N/A</v>
      </c>
      <c r="V29" t="e">
        <f>IF(OR(V$27="",ISERROR($A29)),NA(),HLOOKUP(V$27,MODEL_MATRIX!$C$1:$AA$71,ROW()-ROW(U$26),0))</f>
        <v>#N/A</v>
      </c>
      <c r="W29" t="e">
        <f>IF(OR(W$27="",ISERROR($A29)),NA(),HLOOKUP(W$27,MODEL_MATRIX!$C$1:$AA$71,ROW()-ROW(V$26),0))</f>
        <v>#N/A</v>
      </c>
      <c r="X29" t="e">
        <f>IF(OR(X$27="",ISERROR($A29)),NA(),HLOOKUP(X$27,MODEL_MATRIX!$C$1:$AA$71,ROW()-ROW(W$26),0))</f>
        <v>#N/A</v>
      </c>
      <c r="Y29" t="e">
        <f>IF(OR(Y$27="",ISERROR($A29)),NA(),HLOOKUP(Y$27,MODEL_MATRIX!$C$1:$AA$71,ROW()-ROW(X$26),0))</f>
        <v>#N/A</v>
      </c>
      <c r="Z29" t="e">
        <f>IF(OR(Z$27="",ISERROR($A29)),NA(),HLOOKUP(Z$27,MODEL_MATRIX!$C$1:$AA$71,ROW()-ROW(Y$26),0))</f>
        <v>#N/A</v>
      </c>
      <c r="AA29" s="19"/>
      <c r="AB29" s="19"/>
      <c r="AC29" s="19"/>
      <c r="AD29" s="19"/>
      <c r="AE29" s="19"/>
      <c r="AF29" s="19"/>
      <c r="AG29" s="19"/>
      <c r="AH29" s="19"/>
      <c r="AI29" s="19"/>
      <c r="AJ29" s="19"/>
      <c r="AK29" s="19"/>
      <c r="AL29" s="19"/>
      <c r="AM29" s="19"/>
      <c r="AN29" s="19"/>
      <c r="AO29" s="19"/>
      <c r="AP29" s="19"/>
      <c r="AQ29" s="19"/>
      <c r="AR29" s="19"/>
    </row>
    <row r="30" spans="1:44" x14ac:dyDescent="0.25">
      <c r="A30">
        <f>IF(MODEL_MATRIX!B4="",NA(),MODEL_MATRIX!B4)</f>
        <v>5.1804760187500003</v>
      </c>
      <c r="B30">
        <f ca="1">IF(OR(B$27="",ISERROR($A30)),NA(),HLOOKUP(B$27,MODEL_MATRIX!$C$1:$AA$71,ROW()-ROW(A$26),0))</f>
        <v>-1</v>
      </c>
      <c r="C30">
        <f ca="1">IF(OR(C$27="",ISERROR($A30)),NA(),HLOOKUP(C$27,MODEL_MATRIX!$C$1:$AA$71,ROW()-ROW(B$26),0))</f>
        <v>-1</v>
      </c>
      <c r="D30">
        <f ca="1">IF(OR(D$27="",ISERROR($A30)),NA(),HLOOKUP(D$27,MODEL_MATRIX!$C$1:$AA$71,ROW()-ROW(C$26),0))</f>
        <v>-1</v>
      </c>
      <c r="E30" t="e">
        <f>IF(OR(E$27="",ISERROR($A30)),NA(),HLOOKUP(E$27,MODEL_MATRIX!$C$1:$AA$71,ROW()-ROW(D$26),0))</f>
        <v>#N/A</v>
      </c>
      <c r="F30" t="e">
        <f>IF(OR(F$27="",ISERROR($A30)),NA(),HLOOKUP(F$27,MODEL_MATRIX!$C$1:$AA$71,ROW()-ROW(E$26),0))</f>
        <v>#N/A</v>
      </c>
      <c r="G30" t="e">
        <f>IF(OR(G$27="",ISERROR($A30)),NA(),HLOOKUP(G$27,MODEL_MATRIX!$C$1:$AA$71,ROW()-ROW(F$26),0))</f>
        <v>#N/A</v>
      </c>
      <c r="H30" t="e">
        <f>IF(OR(H$27="",ISERROR($A30)),NA(),HLOOKUP(H$27,MODEL_MATRIX!$C$1:$AA$71,ROW()-ROW(G$26),0))</f>
        <v>#N/A</v>
      </c>
      <c r="I30" t="e">
        <f>IF(OR(I$27="",ISERROR($A30)),NA(),HLOOKUP(I$27,MODEL_MATRIX!$C$1:$AA$71,ROW()-ROW(H$26),0))</f>
        <v>#N/A</v>
      </c>
      <c r="J30" t="e">
        <f>IF(OR(J$27="",ISERROR($A30)),NA(),HLOOKUP(J$27,MODEL_MATRIX!$C$1:$AA$71,ROW()-ROW(I$26),0))</f>
        <v>#N/A</v>
      </c>
      <c r="K30" t="e">
        <f>IF(OR(K$27="",ISERROR($A30)),NA(),HLOOKUP(K$27,MODEL_MATRIX!$C$1:$AA$71,ROW()-ROW(J$26),0))</f>
        <v>#N/A</v>
      </c>
      <c r="L30" t="e">
        <f>IF(OR(L$27="",ISERROR($A30)),NA(),HLOOKUP(L$27,MODEL_MATRIX!$C$1:$AA$71,ROW()-ROW(K$26),0))</f>
        <v>#N/A</v>
      </c>
      <c r="M30" t="e">
        <f>IF(OR(M$27="",ISERROR($A30)),NA(),HLOOKUP(M$27,MODEL_MATRIX!$C$1:$AA$71,ROW()-ROW(L$26),0))</f>
        <v>#N/A</v>
      </c>
      <c r="N30" t="e">
        <f>IF(OR(N$27="",ISERROR($A30)),NA(),HLOOKUP(N$27,MODEL_MATRIX!$C$1:$AA$71,ROW()-ROW(M$26),0))</f>
        <v>#N/A</v>
      </c>
      <c r="O30" t="e">
        <f>IF(OR(O$27="",ISERROR($A30)),NA(),HLOOKUP(O$27,MODEL_MATRIX!$C$1:$AA$71,ROW()-ROW(N$26),0))</f>
        <v>#N/A</v>
      </c>
      <c r="P30" t="e">
        <f>IF(OR(P$27="",ISERROR($A30)),NA(),HLOOKUP(P$27,MODEL_MATRIX!$C$1:$AA$71,ROW()-ROW(O$26),0))</f>
        <v>#N/A</v>
      </c>
      <c r="Q30" t="e">
        <f>IF(OR(Q$27="",ISERROR($A30)),NA(),HLOOKUP(Q$27,MODEL_MATRIX!$C$1:$AA$71,ROW()-ROW(P$26),0))</f>
        <v>#N/A</v>
      </c>
      <c r="R30" t="e">
        <f>IF(OR(R$27="",ISERROR($A30)),NA(),HLOOKUP(R$27,MODEL_MATRIX!$C$1:$AA$71,ROW()-ROW(Q$26),0))</f>
        <v>#N/A</v>
      </c>
      <c r="S30" t="e">
        <f>IF(OR(S$27="",ISERROR($A30)),NA(),HLOOKUP(S$27,MODEL_MATRIX!$C$1:$AA$71,ROW()-ROW(R$26),0))</f>
        <v>#N/A</v>
      </c>
      <c r="T30" t="e">
        <f>IF(OR(T$27="",ISERROR($A30)),NA(),HLOOKUP(T$27,MODEL_MATRIX!$C$1:$AA$71,ROW()-ROW(S$26),0))</f>
        <v>#N/A</v>
      </c>
      <c r="U30" t="e">
        <f>IF(OR(U$27="",ISERROR($A30)),NA(),HLOOKUP(U$27,MODEL_MATRIX!$C$1:$AA$71,ROW()-ROW(T$26),0))</f>
        <v>#N/A</v>
      </c>
      <c r="V30" t="e">
        <f>IF(OR(V$27="",ISERROR($A30)),NA(),HLOOKUP(V$27,MODEL_MATRIX!$C$1:$AA$71,ROW()-ROW(U$26),0))</f>
        <v>#N/A</v>
      </c>
      <c r="W30" t="e">
        <f>IF(OR(W$27="",ISERROR($A30)),NA(),HLOOKUP(W$27,MODEL_MATRIX!$C$1:$AA$71,ROW()-ROW(V$26),0))</f>
        <v>#N/A</v>
      </c>
      <c r="X30" t="e">
        <f>IF(OR(X$27="",ISERROR($A30)),NA(),HLOOKUP(X$27,MODEL_MATRIX!$C$1:$AA$71,ROW()-ROW(W$26),0))</f>
        <v>#N/A</v>
      </c>
      <c r="Y30" t="e">
        <f>IF(OR(Y$27="",ISERROR($A30)),NA(),HLOOKUP(Y$27,MODEL_MATRIX!$C$1:$AA$71,ROW()-ROW(X$26),0))</f>
        <v>#N/A</v>
      </c>
      <c r="Z30" t="e">
        <f>IF(OR(Z$27="",ISERROR($A30)),NA(),HLOOKUP(Z$27,MODEL_MATRIX!$C$1:$AA$71,ROW()-ROW(Y$26),0))</f>
        <v>#N/A</v>
      </c>
      <c r="AA30" s="19"/>
      <c r="AB30" s="19"/>
      <c r="AC30" s="19"/>
      <c r="AD30" s="19"/>
      <c r="AE30" s="19"/>
      <c r="AF30" s="19"/>
      <c r="AG30" s="19"/>
      <c r="AH30" s="19"/>
      <c r="AI30" s="19"/>
      <c r="AJ30" s="19"/>
      <c r="AK30" s="19"/>
      <c r="AL30" s="19"/>
      <c r="AM30" s="19"/>
      <c r="AN30" s="19"/>
      <c r="AO30" s="19"/>
      <c r="AP30" s="19"/>
      <c r="AQ30" s="19"/>
      <c r="AR30" s="19"/>
    </row>
    <row r="31" spans="1:44" x14ac:dyDescent="0.25">
      <c r="A31">
        <f>IF(MODEL_MATRIX!B5="",NA(),MODEL_MATRIX!B5)</f>
        <v>4.6917005187500003</v>
      </c>
      <c r="B31">
        <f ca="1">IF(OR(B$27="",ISERROR($A31)),NA(),HLOOKUP(B$27,MODEL_MATRIX!$C$1:$AA$71,ROW()-ROW(A$26),0))</f>
        <v>1</v>
      </c>
      <c r="C31">
        <f ca="1">IF(OR(C$27="",ISERROR($A31)),NA(),HLOOKUP(C$27,MODEL_MATRIX!$C$1:$AA$71,ROW()-ROW(B$26),0))</f>
        <v>-1</v>
      </c>
      <c r="D31">
        <f ca="1">IF(OR(D$27="",ISERROR($A31)),NA(),HLOOKUP(D$27,MODEL_MATRIX!$C$1:$AA$71,ROW()-ROW(C$26),0))</f>
        <v>-1</v>
      </c>
      <c r="E31" t="e">
        <f>IF(OR(E$27="",ISERROR($A31)),NA(),HLOOKUP(E$27,MODEL_MATRIX!$C$1:$AA$71,ROW()-ROW(D$26),0))</f>
        <v>#N/A</v>
      </c>
      <c r="F31" t="e">
        <f>IF(OR(F$27="",ISERROR($A31)),NA(),HLOOKUP(F$27,MODEL_MATRIX!$C$1:$AA$71,ROW()-ROW(E$26),0))</f>
        <v>#N/A</v>
      </c>
      <c r="G31" t="e">
        <f>IF(OR(G$27="",ISERROR($A31)),NA(),HLOOKUP(G$27,MODEL_MATRIX!$C$1:$AA$71,ROW()-ROW(F$26),0))</f>
        <v>#N/A</v>
      </c>
      <c r="H31" t="e">
        <f>IF(OR(H$27="",ISERROR($A31)),NA(),HLOOKUP(H$27,MODEL_MATRIX!$C$1:$AA$71,ROW()-ROW(G$26),0))</f>
        <v>#N/A</v>
      </c>
      <c r="I31" t="e">
        <f>IF(OR(I$27="",ISERROR($A31)),NA(),HLOOKUP(I$27,MODEL_MATRIX!$C$1:$AA$71,ROW()-ROW(H$26),0))</f>
        <v>#N/A</v>
      </c>
      <c r="J31" t="e">
        <f>IF(OR(J$27="",ISERROR($A31)),NA(),HLOOKUP(J$27,MODEL_MATRIX!$C$1:$AA$71,ROW()-ROW(I$26),0))</f>
        <v>#N/A</v>
      </c>
      <c r="K31" t="e">
        <f>IF(OR(K$27="",ISERROR($A31)),NA(),HLOOKUP(K$27,MODEL_MATRIX!$C$1:$AA$71,ROW()-ROW(J$26),0))</f>
        <v>#N/A</v>
      </c>
      <c r="L31" t="e">
        <f>IF(OR(L$27="",ISERROR($A31)),NA(),HLOOKUP(L$27,MODEL_MATRIX!$C$1:$AA$71,ROW()-ROW(K$26),0))</f>
        <v>#N/A</v>
      </c>
      <c r="M31" t="e">
        <f>IF(OR(M$27="",ISERROR($A31)),NA(),HLOOKUP(M$27,MODEL_MATRIX!$C$1:$AA$71,ROW()-ROW(L$26),0))</f>
        <v>#N/A</v>
      </c>
      <c r="N31" t="e">
        <f>IF(OR(N$27="",ISERROR($A31)),NA(),HLOOKUP(N$27,MODEL_MATRIX!$C$1:$AA$71,ROW()-ROW(M$26),0))</f>
        <v>#N/A</v>
      </c>
      <c r="O31" t="e">
        <f>IF(OR(O$27="",ISERROR($A31)),NA(),HLOOKUP(O$27,MODEL_MATRIX!$C$1:$AA$71,ROW()-ROW(N$26),0))</f>
        <v>#N/A</v>
      </c>
      <c r="P31" t="e">
        <f>IF(OR(P$27="",ISERROR($A31)),NA(),HLOOKUP(P$27,MODEL_MATRIX!$C$1:$AA$71,ROW()-ROW(O$26),0))</f>
        <v>#N/A</v>
      </c>
      <c r="Q31" t="e">
        <f>IF(OR(Q$27="",ISERROR($A31)),NA(),HLOOKUP(Q$27,MODEL_MATRIX!$C$1:$AA$71,ROW()-ROW(P$26),0))</f>
        <v>#N/A</v>
      </c>
      <c r="R31" t="e">
        <f>IF(OR(R$27="",ISERROR($A31)),NA(),HLOOKUP(R$27,MODEL_MATRIX!$C$1:$AA$71,ROW()-ROW(Q$26),0))</f>
        <v>#N/A</v>
      </c>
      <c r="S31" t="e">
        <f>IF(OR(S$27="",ISERROR($A31)),NA(),HLOOKUP(S$27,MODEL_MATRIX!$C$1:$AA$71,ROW()-ROW(R$26),0))</f>
        <v>#N/A</v>
      </c>
      <c r="T31" t="e">
        <f>IF(OR(T$27="",ISERROR($A31)),NA(),HLOOKUP(T$27,MODEL_MATRIX!$C$1:$AA$71,ROW()-ROW(S$26),0))</f>
        <v>#N/A</v>
      </c>
      <c r="U31" t="e">
        <f>IF(OR(U$27="",ISERROR($A31)),NA(),HLOOKUP(U$27,MODEL_MATRIX!$C$1:$AA$71,ROW()-ROW(T$26),0))</f>
        <v>#N/A</v>
      </c>
      <c r="V31" t="e">
        <f>IF(OR(V$27="",ISERROR($A31)),NA(),HLOOKUP(V$27,MODEL_MATRIX!$C$1:$AA$71,ROW()-ROW(U$26),0))</f>
        <v>#N/A</v>
      </c>
      <c r="W31" t="e">
        <f>IF(OR(W$27="",ISERROR($A31)),NA(),HLOOKUP(W$27,MODEL_MATRIX!$C$1:$AA$71,ROW()-ROW(V$26),0))</f>
        <v>#N/A</v>
      </c>
      <c r="X31" t="e">
        <f>IF(OR(X$27="",ISERROR($A31)),NA(),HLOOKUP(X$27,MODEL_MATRIX!$C$1:$AA$71,ROW()-ROW(W$26),0))</f>
        <v>#N/A</v>
      </c>
      <c r="Y31" t="e">
        <f>IF(OR(Y$27="",ISERROR($A31)),NA(),HLOOKUP(Y$27,MODEL_MATRIX!$C$1:$AA$71,ROW()-ROW(X$26),0))</f>
        <v>#N/A</v>
      </c>
      <c r="Z31" t="e">
        <f>IF(OR(Z$27="",ISERROR($A31)),NA(),HLOOKUP(Z$27,MODEL_MATRIX!$C$1:$AA$71,ROW()-ROW(Y$26),0))</f>
        <v>#N/A</v>
      </c>
      <c r="AA31" s="19"/>
      <c r="AB31" s="19"/>
      <c r="AC31" s="19"/>
      <c r="AD31" s="19"/>
      <c r="AE31" s="19"/>
      <c r="AF31" s="19"/>
      <c r="AG31" s="19"/>
      <c r="AH31" s="19"/>
      <c r="AI31" s="19"/>
      <c r="AJ31" s="19"/>
      <c r="AK31" s="19"/>
      <c r="AL31" s="19"/>
      <c r="AM31" s="19"/>
      <c r="AN31" s="19"/>
      <c r="AO31" s="19"/>
      <c r="AP31" s="19"/>
      <c r="AQ31" s="19"/>
      <c r="AR31" s="19"/>
    </row>
    <row r="32" spans="1:44" x14ac:dyDescent="0.25">
      <c r="A32">
        <f>IF(MODEL_MATRIX!B6="",NA(),MODEL_MATRIX!B6)</f>
        <v>8.5331880187499998</v>
      </c>
      <c r="B32">
        <f ca="1">IF(OR(B$27="",ISERROR($A32)),NA(),HLOOKUP(B$27,MODEL_MATRIX!$C$1:$AA$71,ROW()-ROW(A$26),0))</f>
        <v>-1</v>
      </c>
      <c r="C32">
        <f ca="1">IF(OR(C$27="",ISERROR($A32)),NA(),HLOOKUP(C$27,MODEL_MATRIX!$C$1:$AA$71,ROW()-ROW(B$26),0))</f>
        <v>1</v>
      </c>
      <c r="D32">
        <f ca="1">IF(OR(D$27="",ISERROR($A32)),NA(),HLOOKUP(D$27,MODEL_MATRIX!$C$1:$AA$71,ROW()-ROW(C$26),0))</f>
        <v>-1</v>
      </c>
      <c r="E32" t="e">
        <f>IF(OR(E$27="",ISERROR($A32)),NA(),HLOOKUP(E$27,MODEL_MATRIX!$C$1:$AA$71,ROW()-ROW(D$26),0))</f>
        <v>#N/A</v>
      </c>
      <c r="F32" t="e">
        <f>IF(OR(F$27="",ISERROR($A32)),NA(),HLOOKUP(F$27,MODEL_MATRIX!$C$1:$AA$71,ROW()-ROW(E$26),0))</f>
        <v>#N/A</v>
      </c>
      <c r="G32" t="e">
        <f>IF(OR(G$27="",ISERROR($A32)),NA(),HLOOKUP(G$27,MODEL_MATRIX!$C$1:$AA$71,ROW()-ROW(F$26),0))</f>
        <v>#N/A</v>
      </c>
      <c r="H32" t="e">
        <f>IF(OR(H$27="",ISERROR($A32)),NA(),HLOOKUP(H$27,MODEL_MATRIX!$C$1:$AA$71,ROW()-ROW(G$26),0))</f>
        <v>#N/A</v>
      </c>
      <c r="I32" t="e">
        <f>IF(OR(I$27="",ISERROR($A32)),NA(),HLOOKUP(I$27,MODEL_MATRIX!$C$1:$AA$71,ROW()-ROW(H$26),0))</f>
        <v>#N/A</v>
      </c>
      <c r="J32" t="e">
        <f>IF(OR(J$27="",ISERROR($A32)),NA(),HLOOKUP(J$27,MODEL_MATRIX!$C$1:$AA$71,ROW()-ROW(I$26),0))</f>
        <v>#N/A</v>
      </c>
      <c r="K32" t="e">
        <f>IF(OR(K$27="",ISERROR($A32)),NA(),HLOOKUP(K$27,MODEL_MATRIX!$C$1:$AA$71,ROW()-ROW(J$26),0))</f>
        <v>#N/A</v>
      </c>
      <c r="L32" t="e">
        <f>IF(OR(L$27="",ISERROR($A32)),NA(),HLOOKUP(L$27,MODEL_MATRIX!$C$1:$AA$71,ROW()-ROW(K$26),0))</f>
        <v>#N/A</v>
      </c>
      <c r="M32" t="e">
        <f>IF(OR(M$27="",ISERROR($A32)),NA(),HLOOKUP(M$27,MODEL_MATRIX!$C$1:$AA$71,ROW()-ROW(L$26),0))</f>
        <v>#N/A</v>
      </c>
      <c r="N32" t="e">
        <f>IF(OR(N$27="",ISERROR($A32)),NA(),HLOOKUP(N$27,MODEL_MATRIX!$C$1:$AA$71,ROW()-ROW(M$26),0))</f>
        <v>#N/A</v>
      </c>
      <c r="O32" t="e">
        <f>IF(OR(O$27="",ISERROR($A32)),NA(),HLOOKUP(O$27,MODEL_MATRIX!$C$1:$AA$71,ROW()-ROW(N$26),0))</f>
        <v>#N/A</v>
      </c>
      <c r="P32" t="e">
        <f>IF(OR(P$27="",ISERROR($A32)),NA(),HLOOKUP(P$27,MODEL_MATRIX!$C$1:$AA$71,ROW()-ROW(O$26),0))</f>
        <v>#N/A</v>
      </c>
      <c r="Q32" t="e">
        <f>IF(OR(Q$27="",ISERROR($A32)),NA(),HLOOKUP(Q$27,MODEL_MATRIX!$C$1:$AA$71,ROW()-ROW(P$26),0))</f>
        <v>#N/A</v>
      </c>
      <c r="R32" t="e">
        <f>IF(OR(R$27="",ISERROR($A32)),NA(),HLOOKUP(R$27,MODEL_MATRIX!$C$1:$AA$71,ROW()-ROW(Q$26),0))</f>
        <v>#N/A</v>
      </c>
      <c r="S32" t="e">
        <f>IF(OR(S$27="",ISERROR($A32)),NA(),HLOOKUP(S$27,MODEL_MATRIX!$C$1:$AA$71,ROW()-ROW(R$26),0))</f>
        <v>#N/A</v>
      </c>
      <c r="T32" t="e">
        <f>IF(OR(T$27="",ISERROR($A32)),NA(),HLOOKUP(T$27,MODEL_MATRIX!$C$1:$AA$71,ROW()-ROW(S$26),0))</f>
        <v>#N/A</v>
      </c>
      <c r="U32" t="e">
        <f>IF(OR(U$27="",ISERROR($A32)),NA(),HLOOKUP(U$27,MODEL_MATRIX!$C$1:$AA$71,ROW()-ROW(T$26),0))</f>
        <v>#N/A</v>
      </c>
      <c r="V32" t="e">
        <f>IF(OR(V$27="",ISERROR($A32)),NA(),HLOOKUP(V$27,MODEL_MATRIX!$C$1:$AA$71,ROW()-ROW(U$26),0))</f>
        <v>#N/A</v>
      </c>
      <c r="W32" t="e">
        <f>IF(OR(W$27="",ISERROR($A32)),NA(),HLOOKUP(W$27,MODEL_MATRIX!$C$1:$AA$71,ROW()-ROW(V$26),0))</f>
        <v>#N/A</v>
      </c>
      <c r="X32" t="e">
        <f>IF(OR(X$27="",ISERROR($A32)),NA(),HLOOKUP(X$27,MODEL_MATRIX!$C$1:$AA$71,ROW()-ROW(W$26),0))</f>
        <v>#N/A</v>
      </c>
      <c r="Y32" t="e">
        <f>IF(OR(Y$27="",ISERROR($A32)),NA(),HLOOKUP(Y$27,MODEL_MATRIX!$C$1:$AA$71,ROW()-ROW(X$26),0))</f>
        <v>#N/A</v>
      </c>
      <c r="Z32" t="e">
        <f>IF(OR(Z$27="",ISERROR($A32)),NA(),HLOOKUP(Z$27,MODEL_MATRIX!$C$1:$AA$71,ROW()-ROW(Y$26),0))</f>
        <v>#N/A</v>
      </c>
      <c r="AA32" s="19"/>
      <c r="AB32" s="19"/>
      <c r="AC32" s="19"/>
      <c r="AD32" s="19"/>
      <c r="AE32" s="19"/>
      <c r="AF32" s="19"/>
      <c r="AG32" s="19"/>
      <c r="AH32" s="19"/>
      <c r="AI32" s="19"/>
      <c r="AJ32" s="19"/>
      <c r="AK32" s="19"/>
      <c r="AL32" s="19"/>
      <c r="AM32" s="19"/>
      <c r="AN32" s="19"/>
      <c r="AO32" s="19"/>
      <c r="AP32" s="19"/>
      <c r="AQ32" s="19"/>
      <c r="AR32" s="19"/>
    </row>
    <row r="33" spans="1:44" x14ac:dyDescent="0.25">
      <c r="A33">
        <f>IF(MODEL_MATRIX!B7="",NA(),MODEL_MATRIX!B7)</f>
        <v>4.3121690187499997</v>
      </c>
      <c r="B33">
        <f ca="1">IF(OR(B$27="",ISERROR($A33)),NA(),HLOOKUP(B$27,MODEL_MATRIX!$C$1:$AA$71,ROW()-ROW(A$26),0))</f>
        <v>1</v>
      </c>
      <c r="C33">
        <f ca="1">IF(OR(C$27="",ISERROR($A33)),NA(),HLOOKUP(C$27,MODEL_MATRIX!$C$1:$AA$71,ROW()-ROW(B$26),0))</f>
        <v>1</v>
      </c>
      <c r="D33">
        <f ca="1">IF(OR(D$27="",ISERROR($A33)),NA(),HLOOKUP(D$27,MODEL_MATRIX!$C$1:$AA$71,ROW()-ROW(C$26),0))</f>
        <v>-1</v>
      </c>
      <c r="E33" t="e">
        <f>IF(OR(E$27="",ISERROR($A33)),NA(),HLOOKUP(E$27,MODEL_MATRIX!$C$1:$AA$71,ROW()-ROW(D$26),0))</f>
        <v>#N/A</v>
      </c>
      <c r="F33" t="e">
        <f>IF(OR(F$27="",ISERROR($A33)),NA(),HLOOKUP(F$27,MODEL_MATRIX!$C$1:$AA$71,ROW()-ROW(E$26),0))</f>
        <v>#N/A</v>
      </c>
      <c r="G33" t="e">
        <f>IF(OR(G$27="",ISERROR($A33)),NA(),HLOOKUP(G$27,MODEL_MATRIX!$C$1:$AA$71,ROW()-ROW(F$26),0))</f>
        <v>#N/A</v>
      </c>
      <c r="H33" t="e">
        <f>IF(OR(H$27="",ISERROR($A33)),NA(),HLOOKUP(H$27,MODEL_MATRIX!$C$1:$AA$71,ROW()-ROW(G$26),0))</f>
        <v>#N/A</v>
      </c>
      <c r="I33" t="e">
        <f>IF(OR(I$27="",ISERROR($A33)),NA(),HLOOKUP(I$27,MODEL_MATRIX!$C$1:$AA$71,ROW()-ROW(H$26),0))</f>
        <v>#N/A</v>
      </c>
      <c r="J33" t="e">
        <f>IF(OR(J$27="",ISERROR($A33)),NA(),HLOOKUP(J$27,MODEL_MATRIX!$C$1:$AA$71,ROW()-ROW(I$26),0))</f>
        <v>#N/A</v>
      </c>
      <c r="K33" t="e">
        <f>IF(OR(K$27="",ISERROR($A33)),NA(),HLOOKUP(K$27,MODEL_MATRIX!$C$1:$AA$71,ROW()-ROW(J$26),0))</f>
        <v>#N/A</v>
      </c>
      <c r="L33" t="e">
        <f>IF(OR(L$27="",ISERROR($A33)),NA(),HLOOKUP(L$27,MODEL_MATRIX!$C$1:$AA$71,ROW()-ROW(K$26),0))</f>
        <v>#N/A</v>
      </c>
      <c r="M33" t="e">
        <f>IF(OR(M$27="",ISERROR($A33)),NA(),HLOOKUP(M$27,MODEL_MATRIX!$C$1:$AA$71,ROW()-ROW(L$26),0))</f>
        <v>#N/A</v>
      </c>
      <c r="N33" t="e">
        <f>IF(OR(N$27="",ISERROR($A33)),NA(),HLOOKUP(N$27,MODEL_MATRIX!$C$1:$AA$71,ROW()-ROW(M$26),0))</f>
        <v>#N/A</v>
      </c>
      <c r="O33" t="e">
        <f>IF(OR(O$27="",ISERROR($A33)),NA(),HLOOKUP(O$27,MODEL_MATRIX!$C$1:$AA$71,ROW()-ROW(N$26),0))</f>
        <v>#N/A</v>
      </c>
      <c r="P33" t="e">
        <f>IF(OR(P$27="",ISERROR($A33)),NA(),HLOOKUP(P$27,MODEL_MATRIX!$C$1:$AA$71,ROW()-ROW(O$26),0))</f>
        <v>#N/A</v>
      </c>
      <c r="Q33" t="e">
        <f>IF(OR(Q$27="",ISERROR($A33)),NA(),HLOOKUP(Q$27,MODEL_MATRIX!$C$1:$AA$71,ROW()-ROW(P$26),0))</f>
        <v>#N/A</v>
      </c>
      <c r="R33" t="e">
        <f>IF(OR(R$27="",ISERROR($A33)),NA(),HLOOKUP(R$27,MODEL_MATRIX!$C$1:$AA$71,ROW()-ROW(Q$26),0))</f>
        <v>#N/A</v>
      </c>
      <c r="S33" t="e">
        <f>IF(OR(S$27="",ISERROR($A33)),NA(),HLOOKUP(S$27,MODEL_MATRIX!$C$1:$AA$71,ROW()-ROW(R$26),0))</f>
        <v>#N/A</v>
      </c>
      <c r="T33" t="e">
        <f>IF(OR(T$27="",ISERROR($A33)),NA(),HLOOKUP(T$27,MODEL_MATRIX!$C$1:$AA$71,ROW()-ROW(S$26),0))</f>
        <v>#N/A</v>
      </c>
      <c r="U33" t="e">
        <f>IF(OR(U$27="",ISERROR($A33)),NA(),HLOOKUP(U$27,MODEL_MATRIX!$C$1:$AA$71,ROW()-ROW(T$26),0))</f>
        <v>#N/A</v>
      </c>
      <c r="V33" t="e">
        <f>IF(OR(V$27="",ISERROR($A33)),NA(),HLOOKUP(V$27,MODEL_MATRIX!$C$1:$AA$71,ROW()-ROW(U$26),0))</f>
        <v>#N/A</v>
      </c>
      <c r="W33" t="e">
        <f>IF(OR(W$27="",ISERROR($A33)),NA(),HLOOKUP(W$27,MODEL_MATRIX!$C$1:$AA$71,ROW()-ROW(V$26),0))</f>
        <v>#N/A</v>
      </c>
      <c r="X33" t="e">
        <f>IF(OR(X$27="",ISERROR($A33)),NA(),HLOOKUP(X$27,MODEL_MATRIX!$C$1:$AA$71,ROW()-ROW(W$26),0))</f>
        <v>#N/A</v>
      </c>
      <c r="Y33" t="e">
        <f>IF(OR(Y$27="",ISERROR($A33)),NA(),HLOOKUP(Y$27,MODEL_MATRIX!$C$1:$AA$71,ROW()-ROW(X$26),0))</f>
        <v>#N/A</v>
      </c>
      <c r="Z33" t="e">
        <f>IF(OR(Z$27="",ISERROR($A33)),NA(),HLOOKUP(Z$27,MODEL_MATRIX!$C$1:$AA$71,ROW()-ROW(Y$26),0))</f>
        <v>#N/A</v>
      </c>
      <c r="AA33" s="19"/>
      <c r="AB33" s="19"/>
      <c r="AC33" s="19"/>
      <c r="AD33" s="19"/>
      <c r="AE33" s="19"/>
      <c r="AF33" s="19"/>
      <c r="AG33" s="19"/>
      <c r="AH33" s="19"/>
      <c r="AI33" s="19"/>
      <c r="AJ33" s="19"/>
      <c r="AK33" s="19"/>
      <c r="AL33" s="19"/>
      <c r="AM33" s="19"/>
      <c r="AN33" s="19"/>
      <c r="AO33" s="19"/>
      <c r="AP33" s="19"/>
      <c r="AQ33" s="19"/>
      <c r="AR33" s="19"/>
    </row>
    <row r="34" spans="1:44" x14ac:dyDescent="0.25">
      <c r="A34">
        <f>IF(MODEL_MATRIX!B8="",NA(),MODEL_MATRIX!B8)</f>
        <v>8.3170460187500002</v>
      </c>
      <c r="B34">
        <f ca="1">IF(OR(B$27="",ISERROR($A34)),NA(),HLOOKUP(B$27,MODEL_MATRIX!$C$1:$AA$71,ROW()-ROW(A$26),0))</f>
        <v>-1</v>
      </c>
      <c r="C34">
        <f ca="1">IF(OR(C$27="",ISERROR($A34)),NA(),HLOOKUP(C$27,MODEL_MATRIX!$C$1:$AA$71,ROW()-ROW(B$26),0))</f>
        <v>1</v>
      </c>
      <c r="D34">
        <f ca="1">IF(OR(D$27="",ISERROR($A34)),NA(),HLOOKUP(D$27,MODEL_MATRIX!$C$1:$AA$71,ROW()-ROW(C$26),0))</f>
        <v>-1</v>
      </c>
      <c r="E34" t="e">
        <f>IF(OR(E$27="",ISERROR($A34)),NA(),HLOOKUP(E$27,MODEL_MATRIX!$C$1:$AA$71,ROW()-ROW(D$26),0))</f>
        <v>#N/A</v>
      </c>
      <c r="F34" t="e">
        <f>IF(OR(F$27="",ISERROR($A34)),NA(),HLOOKUP(F$27,MODEL_MATRIX!$C$1:$AA$71,ROW()-ROW(E$26),0))</f>
        <v>#N/A</v>
      </c>
      <c r="G34" t="e">
        <f>IF(OR(G$27="",ISERROR($A34)),NA(),HLOOKUP(G$27,MODEL_MATRIX!$C$1:$AA$71,ROW()-ROW(F$26),0))</f>
        <v>#N/A</v>
      </c>
      <c r="H34" t="e">
        <f>IF(OR(H$27="",ISERROR($A34)),NA(),HLOOKUP(H$27,MODEL_MATRIX!$C$1:$AA$71,ROW()-ROW(G$26),0))</f>
        <v>#N/A</v>
      </c>
      <c r="I34" t="e">
        <f>IF(OR(I$27="",ISERROR($A34)),NA(),HLOOKUP(I$27,MODEL_MATRIX!$C$1:$AA$71,ROW()-ROW(H$26),0))</f>
        <v>#N/A</v>
      </c>
      <c r="J34" t="e">
        <f>IF(OR(J$27="",ISERROR($A34)),NA(),HLOOKUP(J$27,MODEL_MATRIX!$C$1:$AA$71,ROW()-ROW(I$26),0))</f>
        <v>#N/A</v>
      </c>
      <c r="K34" t="e">
        <f>IF(OR(K$27="",ISERROR($A34)),NA(),HLOOKUP(K$27,MODEL_MATRIX!$C$1:$AA$71,ROW()-ROW(J$26),0))</f>
        <v>#N/A</v>
      </c>
      <c r="L34" t="e">
        <f>IF(OR(L$27="",ISERROR($A34)),NA(),HLOOKUP(L$27,MODEL_MATRIX!$C$1:$AA$71,ROW()-ROW(K$26),0))</f>
        <v>#N/A</v>
      </c>
      <c r="M34" t="e">
        <f>IF(OR(M$27="",ISERROR($A34)),NA(),HLOOKUP(M$27,MODEL_MATRIX!$C$1:$AA$71,ROW()-ROW(L$26),0))</f>
        <v>#N/A</v>
      </c>
      <c r="N34" t="e">
        <f>IF(OR(N$27="",ISERROR($A34)),NA(),HLOOKUP(N$27,MODEL_MATRIX!$C$1:$AA$71,ROW()-ROW(M$26),0))</f>
        <v>#N/A</v>
      </c>
      <c r="O34" t="e">
        <f>IF(OR(O$27="",ISERROR($A34)),NA(),HLOOKUP(O$27,MODEL_MATRIX!$C$1:$AA$71,ROW()-ROW(N$26),0))</f>
        <v>#N/A</v>
      </c>
      <c r="P34" t="e">
        <f>IF(OR(P$27="",ISERROR($A34)),NA(),HLOOKUP(P$27,MODEL_MATRIX!$C$1:$AA$71,ROW()-ROW(O$26),0))</f>
        <v>#N/A</v>
      </c>
      <c r="Q34" t="e">
        <f>IF(OR(Q$27="",ISERROR($A34)),NA(),HLOOKUP(Q$27,MODEL_MATRIX!$C$1:$AA$71,ROW()-ROW(P$26),0))</f>
        <v>#N/A</v>
      </c>
      <c r="R34" t="e">
        <f>IF(OR(R$27="",ISERROR($A34)),NA(),HLOOKUP(R$27,MODEL_MATRIX!$C$1:$AA$71,ROW()-ROW(Q$26),0))</f>
        <v>#N/A</v>
      </c>
      <c r="S34" t="e">
        <f>IF(OR(S$27="",ISERROR($A34)),NA(),HLOOKUP(S$27,MODEL_MATRIX!$C$1:$AA$71,ROW()-ROW(R$26),0))</f>
        <v>#N/A</v>
      </c>
      <c r="T34" t="e">
        <f>IF(OR(T$27="",ISERROR($A34)),NA(),HLOOKUP(T$27,MODEL_MATRIX!$C$1:$AA$71,ROW()-ROW(S$26),0))</f>
        <v>#N/A</v>
      </c>
      <c r="U34" t="e">
        <f>IF(OR(U$27="",ISERROR($A34)),NA(),HLOOKUP(U$27,MODEL_MATRIX!$C$1:$AA$71,ROW()-ROW(T$26),0))</f>
        <v>#N/A</v>
      </c>
      <c r="V34" t="e">
        <f>IF(OR(V$27="",ISERROR($A34)),NA(),HLOOKUP(V$27,MODEL_MATRIX!$C$1:$AA$71,ROW()-ROW(U$26),0))</f>
        <v>#N/A</v>
      </c>
      <c r="W34" t="e">
        <f>IF(OR(W$27="",ISERROR($A34)),NA(),HLOOKUP(W$27,MODEL_MATRIX!$C$1:$AA$71,ROW()-ROW(V$26),0))</f>
        <v>#N/A</v>
      </c>
      <c r="X34" t="e">
        <f>IF(OR(X$27="",ISERROR($A34)),NA(),HLOOKUP(X$27,MODEL_MATRIX!$C$1:$AA$71,ROW()-ROW(W$26),0))</f>
        <v>#N/A</v>
      </c>
      <c r="Y34" t="e">
        <f>IF(OR(Y$27="",ISERROR($A34)),NA(),HLOOKUP(Y$27,MODEL_MATRIX!$C$1:$AA$71,ROW()-ROW(X$26),0))</f>
        <v>#N/A</v>
      </c>
      <c r="Z34" t="e">
        <f>IF(OR(Z$27="",ISERROR($A34)),NA(),HLOOKUP(Z$27,MODEL_MATRIX!$C$1:$AA$71,ROW()-ROW(Y$26),0))</f>
        <v>#N/A</v>
      </c>
      <c r="AA34" s="19"/>
      <c r="AB34" s="19"/>
      <c r="AC34" s="19"/>
      <c r="AD34" s="19"/>
      <c r="AE34" s="19"/>
      <c r="AF34" s="19"/>
      <c r="AG34" s="19"/>
      <c r="AH34" s="19"/>
      <c r="AI34" s="19"/>
      <c r="AJ34" s="19"/>
      <c r="AK34" s="19"/>
      <c r="AL34" s="19"/>
      <c r="AM34" s="19"/>
      <c r="AN34" s="19"/>
      <c r="AO34" s="19"/>
      <c r="AP34" s="19"/>
      <c r="AQ34" s="19"/>
    </row>
    <row r="35" spans="1:44" x14ac:dyDescent="0.25">
      <c r="A35">
        <f>IF(MODEL_MATRIX!B9="",NA(),MODEL_MATRIX!B9)</f>
        <v>4.2429670187499999</v>
      </c>
      <c r="B35">
        <f ca="1">IF(OR(B$27="",ISERROR($A35)),NA(),HLOOKUP(B$27,MODEL_MATRIX!$C$1:$AA$71,ROW()-ROW(A$26),0))</f>
        <v>1</v>
      </c>
      <c r="C35">
        <f ca="1">IF(OR(C$27="",ISERROR($A35)),NA(),HLOOKUP(C$27,MODEL_MATRIX!$C$1:$AA$71,ROW()-ROW(B$26),0))</f>
        <v>1</v>
      </c>
      <c r="D35">
        <f ca="1">IF(OR(D$27="",ISERROR($A35)),NA(),HLOOKUP(D$27,MODEL_MATRIX!$C$1:$AA$71,ROW()-ROW(C$26),0))</f>
        <v>-1</v>
      </c>
      <c r="E35" t="e">
        <f>IF(OR(E$27="",ISERROR($A35)),NA(),HLOOKUP(E$27,MODEL_MATRIX!$C$1:$AA$71,ROW()-ROW(D$26),0))</f>
        <v>#N/A</v>
      </c>
      <c r="F35" t="e">
        <f>IF(OR(F$27="",ISERROR($A35)),NA(),HLOOKUP(F$27,MODEL_MATRIX!$C$1:$AA$71,ROW()-ROW(E$26),0))</f>
        <v>#N/A</v>
      </c>
      <c r="G35" t="e">
        <f>IF(OR(G$27="",ISERROR($A35)),NA(),HLOOKUP(G$27,MODEL_MATRIX!$C$1:$AA$71,ROW()-ROW(F$26),0))</f>
        <v>#N/A</v>
      </c>
      <c r="H35" t="e">
        <f>IF(OR(H$27="",ISERROR($A35)),NA(),HLOOKUP(H$27,MODEL_MATRIX!$C$1:$AA$71,ROW()-ROW(G$26),0))</f>
        <v>#N/A</v>
      </c>
      <c r="I35" t="e">
        <f>IF(OR(I$27="",ISERROR($A35)),NA(),HLOOKUP(I$27,MODEL_MATRIX!$C$1:$AA$71,ROW()-ROW(H$26),0))</f>
        <v>#N/A</v>
      </c>
      <c r="J35" t="e">
        <f>IF(OR(J$27="",ISERROR($A35)),NA(),HLOOKUP(J$27,MODEL_MATRIX!$C$1:$AA$71,ROW()-ROW(I$26),0))</f>
        <v>#N/A</v>
      </c>
      <c r="K35" t="e">
        <f>IF(OR(K$27="",ISERROR($A35)),NA(),HLOOKUP(K$27,MODEL_MATRIX!$C$1:$AA$71,ROW()-ROW(J$26),0))</f>
        <v>#N/A</v>
      </c>
      <c r="L35" t="e">
        <f>IF(OR(L$27="",ISERROR($A35)),NA(),HLOOKUP(L$27,MODEL_MATRIX!$C$1:$AA$71,ROW()-ROW(K$26),0))</f>
        <v>#N/A</v>
      </c>
      <c r="M35" t="e">
        <f>IF(OR(M$27="",ISERROR($A35)),NA(),HLOOKUP(M$27,MODEL_MATRIX!$C$1:$AA$71,ROW()-ROW(L$26),0))</f>
        <v>#N/A</v>
      </c>
      <c r="N35" t="e">
        <f>IF(OR(N$27="",ISERROR($A35)),NA(),HLOOKUP(N$27,MODEL_MATRIX!$C$1:$AA$71,ROW()-ROW(M$26),0))</f>
        <v>#N/A</v>
      </c>
      <c r="O35" t="e">
        <f>IF(OR(O$27="",ISERROR($A35)),NA(),HLOOKUP(O$27,MODEL_MATRIX!$C$1:$AA$71,ROW()-ROW(N$26),0))</f>
        <v>#N/A</v>
      </c>
      <c r="P35" t="e">
        <f>IF(OR(P$27="",ISERROR($A35)),NA(),HLOOKUP(P$27,MODEL_MATRIX!$C$1:$AA$71,ROW()-ROW(O$26),0))</f>
        <v>#N/A</v>
      </c>
      <c r="Q35" t="e">
        <f>IF(OR(Q$27="",ISERROR($A35)),NA(),HLOOKUP(Q$27,MODEL_MATRIX!$C$1:$AA$71,ROW()-ROW(P$26),0))</f>
        <v>#N/A</v>
      </c>
      <c r="R35" t="e">
        <f>IF(OR(R$27="",ISERROR($A35)),NA(),HLOOKUP(R$27,MODEL_MATRIX!$C$1:$AA$71,ROW()-ROW(Q$26),0))</f>
        <v>#N/A</v>
      </c>
      <c r="S35" t="e">
        <f>IF(OR(S$27="",ISERROR($A35)),NA(),HLOOKUP(S$27,MODEL_MATRIX!$C$1:$AA$71,ROW()-ROW(R$26),0))</f>
        <v>#N/A</v>
      </c>
      <c r="T35" t="e">
        <f>IF(OR(T$27="",ISERROR($A35)),NA(),HLOOKUP(T$27,MODEL_MATRIX!$C$1:$AA$71,ROW()-ROW(S$26),0))</f>
        <v>#N/A</v>
      </c>
      <c r="U35" t="e">
        <f>IF(OR(U$27="",ISERROR($A35)),NA(),HLOOKUP(U$27,MODEL_MATRIX!$C$1:$AA$71,ROW()-ROW(T$26),0))</f>
        <v>#N/A</v>
      </c>
      <c r="V35" t="e">
        <f>IF(OR(V$27="",ISERROR($A35)),NA(),HLOOKUP(V$27,MODEL_MATRIX!$C$1:$AA$71,ROW()-ROW(U$26),0))</f>
        <v>#N/A</v>
      </c>
      <c r="W35" t="e">
        <f>IF(OR(W$27="",ISERROR($A35)),NA(),HLOOKUP(W$27,MODEL_MATRIX!$C$1:$AA$71,ROW()-ROW(V$26),0))</f>
        <v>#N/A</v>
      </c>
      <c r="X35" t="e">
        <f>IF(OR(X$27="",ISERROR($A35)),NA(),HLOOKUP(X$27,MODEL_MATRIX!$C$1:$AA$71,ROW()-ROW(W$26),0))</f>
        <v>#N/A</v>
      </c>
      <c r="Y35" t="e">
        <f>IF(OR(Y$27="",ISERROR($A35)),NA(),HLOOKUP(Y$27,MODEL_MATRIX!$C$1:$AA$71,ROW()-ROW(X$26),0))</f>
        <v>#N/A</v>
      </c>
      <c r="Z35" t="e">
        <f>IF(OR(Z$27="",ISERROR($A35)),NA(),HLOOKUP(Z$27,MODEL_MATRIX!$C$1:$AA$71,ROW()-ROW(Y$26),0))</f>
        <v>#N/A</v>
      </c>
      <c r="AA35" s="19"/>
      <c r="AB35" s="19"/>
      <c r="AC35" s="19"/>
      <c r="AD35" s="19"/>
      <c r="AE35" s="19"/>
      <c r="AF35" s="19"/>
      <c r="AG35" s="19"/>
      <c r="AH35" s="19"/>
      <c r="AI35" s="19"/>
      <c r="AJ35" s="19"/>
      <c r="AK35" s="19"/>
      <c r="AL35" s="19"/>
      <c r="AM35" s="19"/>
      <c r="AN35" s="19"/>
      <c r="AO35" s="19"/>
      <c r="AP35" s="19"/>
      <c r="AQ35" s="19"/>
    </row>
    <row r="36" spans="1:44" x14ac:dyDescent="0.25">
      <c r="A36">
        <f>IF(MODEL_MATRIX!B10="",NA(),MODEL_MATRIX!B10)</f>
        <v>4.7379400187499998</v>
      </c>
      <c r="B36">
        <f ca="1">IF(OR(B$27="",ISERROR($A36)),NA(),HLOOKUP(B$27,MODEL_MATRIX!$C$1:$AA$71,ROW()-ROW(A$26),0))</f>
        <v>-1</v>
      </c>
      <c r="C36">
        <f ca="1">IF(OR(C$27="",ISERROR($A36)),NA(),HLOOKUP(C$27,MODEL_MATRIX!$C$1:$AA$71,ROW()-ROW(B$26),0))</f>
        <v>-1</v>
      </c>
      <c r="D36">
        <f ca="1">IF(OR(D$27="",ISERROR($A36)),NA(),HLOOKUP(D$27,MODEL_MATRIX!$C$1:$AA$71,ROW()-ROW(C$26),0))</f>
        <v>-1</v>
      </c>
      <c r="E36" t="e">
        <f>IF(OR(E$27="",ISERROR($A36)),NA(),HLOOKUP(E$27,MODEL_MATRIX!$C$1:$AA$71,ROW()-ROW(D$26),0))</f>
        <v>#N/A</v>
      </c>
      <c r="F36" t="e">
        <f>IF(OR(F$27="",ISERROR($A36)),NA(),HLOOKUP(F$27,MODEL_MATRIX!$C$1:$AA$71,ROW()-ROW(E$26),0))</f>
        <v>#N/A</v>
      </c>
      <c r="G36" t="e">
        <f>IF(OR(G$27="",ISERROR($A36)),NA(),HLOOKUP(G$27,MODEL_MATRIX!$C$1:$AA$71,ROW()-ROW(F$26),0))</f>
        <v>#N/A</v>
      </c>
      <c r="H36" t="e">
        <f>IF(OR(H$27="",ISERROR($A36)),NA(),HLOOKUP(H$27,MODEL_MATRIX!$C$1:$AA$71,ROW()-ROW(G$26),0))</f>
        <v>#N/A</v>
      </c>
      <c r="I36" t="e">
        <f>IF(OR(I$27="",ISERROR($A36)),NA(),HLOOKUP(I$27,MODEL_MATRIX!$C$1:$AA$71,ROW()-ROW(H$26),0))</f>
        <v>#N/A</v>
      </c>
      <c r="J36" t="e">
        <f>IF(OR(J$27="",ISERROR($A36)),NA(),HLOOKUP(J$27,MODEL_MATRIX!$C$1:$AA$71,ROW()-ROW(I$26),0))</f>
        <v>#N/A</v>
      </c>
      <c r="K36" t="e">
        <f>IF(OR(K$27="",ISERROR($A36)),NA(),HLOOKUP(K$27,MODEL_MATRIX!$C$1:$AA$71,ROW()-ROW(J$26),0))</f>
        <v>#N/A</v>
      </c>
      <c r="L36" t="e">
        <f>IF(OR(L$27="",ISERROR($A36)),NA(),HLOOKUP(L$27,MODEL_MATRIX!$C$1:$AA$71,ROW()-ROW(K$26),0))</f>
        <v>#N/A</v>
      </c>
      <c r="M36" t="e">
        <f>IF(OR(M$27="",ISERROR($A36)),NA(),HLOOKUP(M$27,MODEL_MATRIX!$C$1:$AA$71,ROW()-ROW(L$26),0))</f>
        <v>#N/A</v>
      </c>
      <c r="N36" t="e">
        <f>IF(OR(N$27="",ISERROR($A36)),NA(),HLOOKUP(N$27,MODEL_MATRIX!$C$1:$AA$71,ROW()-ROW(M$26),0))</f>
        <v>#N/A</v>
      </c>
      <c r="O36" t="e">
        <f>IF(OR(O$27="",ISERROR($A36)),NA(),HLOOKUP(O$27,MODEL_MATRIX!$C$1:$AA$71,ROW()-ROW(N$26),0))</f>
        <v>#N/A</v>
      </c>
      <c r="P36" t="e">
        <f>IF(OR(P$27="",ISERROR($A36)),NA(),HLOOKUP(P$27,MODEL_MATRIX!$C$1:$AA$71,ROW()-ROW(O$26),0))</f>
        <v>#N/A</v>
      </c>
      <c r="Q36" t="e">
        <f>IF(OR(Q$27="",ISERROR($A36)),NA(),HLOOKUP(Q$27,MODEL_MATRIX!$C$1:$AA$71,ROW()-ROW(P$26),0))</f>
        <v>#N/A</v>
      </c>
      <c r="R36" t="e">
        <f>IF(OR(R$27="",ISERROR($A36)),NA(),HLOOKUP(R$27,MODEL_MATRIX!$C$1:$AA$71,ROW()-ROW(Q$26),0))</f>
        <v>#N/A</v>
      </c>
      <c r="S36" t="e">
        <f>IF(OR(S$27="",ISERROR($A36)),NA(),HLOOKUP(S$27,MODEL_MATRIX!$C$1:$AA$71,ROW()-ROW(R$26),0))</f>
        <v>#N/A</v>
      </c>
      <c r="T36" t="e">
        <f>IF(OR(T$27="",ISERROR($A36)),NA(),HLOOKUP(T$27,MODEL_MATRIX!$C$1:$AA$71,ROW()-ROW(S$26),0))</f>
        <v>#N/A</v>
      </c>
      <c r="U36" t="e">
        <f>IF(OR(U$27="",ISERROR($A36)),NA(),HLOOKUP(U$27,MODEL_MATRIX!$C$1:$AA$71,ROW()-ROW(T$26),0))</f>
        <v>#N/A</v>
      </c>
      <c r="V36" t="e">
        <f>IF(OR(V$27="",ISERROR($A36)),NA(),HLOOKUP(V$27,MODEL_MATRIX!$C$1:$AA$71,ROW()-ROW(U$26),0))</f>
        <v>#N/A</v>
      </c>
      <c r="W36" t="e">
        <f>IF(OR(W$27="",ISERROR($A36)),NA(),HLOOKUP(W$27,MODEL_MATRIX!$C$1:$AA$71,ROW()-ROW(V$26),0))</f>
        <v>#N/A</v>
      </c>
      <c r="X36" t="e">
        <f>IF(OR(X$27="",ISERROR($A36)),NA(),HLOOKUP(X$27,MODEL_MATRIX!$C$1:$AA$71,ROW()-ROW(W$26),0))</f>
        <v>#N/A</v>
      </c>
      <c r="Y36" t="e">
        <f>IF(OR(Y$27="",ISERROR($A36)),NA(),HLOOKUP(Y$27,MODEL_MATRIX!$C$1:$AA$71,ROW()-ROW(X$26),0))</f>
        <v>#N/A</v>
      </c>
      <c r="Z36" t="e">
        <f>IF(OR(Z$27="",ISERROR($A36)),NA(),HLOOKUP(Z$27,MODEL_MATRIX!$C$1:$AA$71,ROW()-ROW(Y$26),0))</f>
        <v>#N/A</v>
      </c>
      <c r="AA36" s="19"/>
      <c r="AB36" s="19"/>
      <c r="AC36" s="19"/>
      <c r="AD36" s="19"/>
      <c r="AE36" s="19"/>
      <c r="AF36" s="19"/>
      <c r="AG36" s="19"/>
      <c r="AH36" s="19"/>
      <c r="AI36" s="19"/>
      <c r="AJ36" s="19"/>
      <c r="AK36" s="19"/>
      <c r="AL36" s="19"/>
      <c r="AM36" s="19"/>
      <c r="AN36" s="19"/>
      <c r="AO36" s="19"/>
      <c r="AP36" s="19"/>
      <c r="AQ36" s="19"/>
    </row>
    <row r="37" spans="1:44" x14ac:dyDescent="0.25">
      <c r="A37">
        <f>IF(MODEL_MATRIX!B11="",NA(),MODEL_MATRIX!B11)</f>
        <v>3.8313652687499999</v>
      </c>
      <c r="B37">
        <f ca="1">IF(OR(B$27="",ISERROR($A37)),NA(),HLOOKUP(B$27,MODEL_MATRIX!$C$1:$AA$71,ROW()-ROW(A$26),0))</f>
        <v>1</v>
      </c>
      <c r="C37">
        <f ca="1">IF(OR(C$27="",ISERROR($A37)),NA(),HLOOKUP(C$27,MODEL_MATRIX!$C$1:$AA$71,ROW()-ROW(B$26),0))</f>
        <v>-1</v>
      </c>
      <c r="D37">
        <f ca="1">IF(OR(D$27="",ISERROR($A37)),NA(),HLOOKUP(D$27,MODEL_MATRIX!$C$1:$AA$71,ROW()-ROW(C$26),0))</f>
        <v>-1</v>
      </c>
      <c r="E37" t="e">
        <f>IF(OR(E$27="",ISERROR($A37)),NA(),HLOOKUP(E$27,MODEL_MATRIX!$C$1:$AA$71,ROW()-ROW(D$26),0))</f>
        <v>#N/A</v>
      </c>
      <c r="F37" t="e">
        <f>IF(OR(F$27="",ISERROR($A37)),NA(),HLOOKUP(F$27,MODEL_MATRIX!$C$1:$AA$71,ROW()-ROW(E$26),0))</f>
        <v>#N/A</v>
      </c>
      <c r="G37" t="e">
        <f>IF(OR(G$27="",ISERROR($A37)),NA(),HLOOKUP(G$27,MODEL_MATRIX!$C$1:$AA$71,ROW()-ROW(F$26),0))</f>
        <v>#N/A</v>
      </c>
      <c r="H37" t="e">
        <f>IF(OR(H$27="",ISERROR($A37)),NA(),HLOOKUP(H$27,MODEL_MATRIX!$C$1:$AA$71,ROW()-ROW(G$26),0))</f>
        <v>#N/A</v>
      </c>
      <c r="I37" t="e">
        <f>IF(OR(I$27="",ISERROR($A37)),NA(),HLOOKUP(I$27,MODEL_MATRIX!$C$1:$AA$71,ROW()-ROW(H$26),0))</f>
        <v>#N/A</v>
      </c>
      <c r="J37" t="e">
        <f>IF(OR(J$27="",ISERROR($A37)),NA(),HLOOKUP(J$27,MODEL_MATRIX!$C$1:$AA$71,ROW()-ROW(I$26),0))</f>
        <v>#N/A</v>
      </c>
      <c r="K37" t="e">
        <f>IF(OR(K$27="",ISERROR($A37)),NA(),HLOOKUP(K$27,MODEL_MATRIX!$C$1:$AA$71,ROW()-ROW(J$26),0))</f>
        <v>#N/A</v>
      </c>
      <c r="L37" t="e">
        <f>IF(OR(L$27="",ISERROR($A37)),NA(),HLOOKUP(L$27,MODEL_MATRIX!$C$1:$AA$71,ROW()-ROW(K$26),0))</f>
        <v>#N/A</v>
      </c>
      <c r="M37" t="e">
        <f>IF(OR(M$27="",ISERROR($A37)),NA(),HLOOKUP(M$27,MODEL_MATRIX!$C$1:$AA$71,ROW()-ROW(L$26),0))</f>
        <v>#N/A</v>
      </c>
      <c r="N37" t="e">
        <f>IF(OR(N$27="",ISERROR($A37)),NA(),HLOOKUP(N$27,MODEL_MATRIX!$C$1:$AA$71,ROW()-ROW(M$26),0))</f>
        <v>#N/A</v>
      </c>
      <c r="O37" t="e">
        <f>IF(OR(O$27="",ISERROR($A37)),NA(),HLOOKUP(O$27,MODEL_MATRIX!$C$1:$AA$71,ROW()-ROW(N$26),0))</f>
        <v>#N/A</v>
      </c>
      <c r="P37" t="e">
        <f>IF(OR(P$27="",ISERROR($A37)),NA(),HLOOKUP(P$27,MODEL_MATRIX!$C$1:$AA$71,ROW()-ROW(O$26),0))</f>
        <v>#N/A</v>
      </c>
      <c r="Q37" t="e">
        <f>IF(OR(Q$27="",ISERROR($A37)),NA(),HLOOKUP(Q$27,MODEL_MATRIX!$C$1:$AA$71,ROW()-ROW(P$26),0))</f>
        <v>#N/A</v>
      </c>
      <c r="R37" t="e">
        <f>IF(OR(R$27="",ISERROR($A37)),NA(),HLOOKUP(R$27,MODEL_MATRIX!$C$1:$AA$71,ROW()-ROW(Q$26),0))</f>
        <v>#N/A</v>
      </c>
      <c r="S37" t="e">
        <f>IF(OR(S$27="",ISERROR($A37)),NA(),HLOOKUP(S$27,MODEL_MATRIX!$C$1:$AA$71,ROW()-ROW(R$26),0))</f>
        <v>#N/A</v>
      </c>
      <c r="T37" t="e">
        <f>IF(OR(T$27="",ISERROR($A37)),NA(),HLOOKUP(T$27,MODEL_MATRIX!$C$1:$AA$71,ROW()-ROW(S$26),0))</f>
        <v>#N/A</v>
      </c>
      <c r="U37" t="e">
        <f>IF(OR(U$27="",ISERROR($A37)),NA(),HLOOKUP(U$27,MODEL_MATRIX!$C$1:$AA$71,ROW()-ROW(T$26),0))</f>
        <v>#N/A</v>
      </c>
      <c r="V37" t="e">
        <f>IF(OR(V$27="",ISERROR($A37)),NA(),HLOOKUP(V$27,MODEL_MATRIX!$C$1:$AA$71,ROW()-ROW(U$26),0))</f>
        <v>#N/A</v>
      </c>
      <c r="W37" t="e">
        <f>IF(OR(W$27="",ISERROR($A37)),NA(),HLOOKUP(W$27,MODEL_MATRIX!$C$1:$AA$71,ROW()-ROW(V$26),0))</f>
        <v>#N/A</v>
      </c>
      <c r="X37" t="e">
        <f>IF(OR(X$27="",ISERROR($A37)),NA(),HLOOKUP(X$27,MODEL_MATRIX!$C$1:$AA$71,ROW()-ROW(W$26),0))</f>
        <v>#N/A</v>
      </c>
      <c r="Y37" t="e">
        <f>IF(OR(Y$27="",ISERROR($A37)),NA(),HLOOKUP(Y$27,MODEL_MATRIX!$C$1:$AA$71,ROW()-ROW(X$26),0))</f>
        <v>#N/A</v>
      </c>
      <c r="Z37" t="e">
        <f>IF(OR(Z$27="",ISERROR($A37)),NA(),HLOOKUP(Z$27,MODEL_MATRIX!$C$1:$AA$71,ROW()-ROW(Y$26),0))</f>
        <v>#N/A</v>
      </c>
      <c r="AA37" s="19"/>
      <c r="AB37" s="19"/>
      <c r="AC37" s="19"/>
      <c r="AD37" s="19"/>
      <c r="AE37" s="19"/>
      <c r="AF37" s="19"/>
      <c r="AG37" s="19"/>
      <c r="AH37" s="19"/>
      <c r="AI37" s="19"/>
      <c r="AJ37" s="19"/>
      <c r="AK37" s="19"/>
      <c r="AL37" s="19"/>
      <c r="AM37" s="19"/>
      <c r="AN37" s="19"/>
      <c r="AO37" s="19"/>
      <c r="AP37" s="19"/>
      <c r="AQ37" s="19"/>
    </row>
    <row r="38" spans="1:44" x14ac:dyDescent="0.25">
      <c r="A38">
        <f>IF(MODEL_MATRIX!B12="",NA(),MODEL_MATRIX!B12)</f>
        <v>5.4280640187499998</v>
      </c>
      <c r="B38">
        <f ca="1">IF(OR(B$27="",ISERROR($A38)),NA(),HLOOKUP(B$27,MODEL_MATRIX!$C$1:$AA$71,ROW()-ROW(A$26),0))</f>
        <v>-1</v>
      </c>
      <c r="C38">
        <f ca="1">IF(OR(C$27="",ISERROR($A38)),NA(),HLOOKUP(C$27,MODEL_MATRIX!$C$1:$AA$71,ROW()-ROW(B$26),0))</f>
        <v>-1</v>
      </c>
      <c r="D38">
        <f ca="1">IF(OR(D$27="",ISERROR($A38)),NA(),HLOOKUP(D$27,MODEL_MATRIX!$C$1:$AA$71,ROW()-ROW(C$26),0))</f>
        <v>-1</v>
      </c>
      <c r="E38" t="e">
        <f>IF(OR(E$27="",ISERROR($A38)),NA(),HLOOKUP(E$27,MODEL_MATRIX!$C$1:$AA$71,ROW()-ROW(D$26),0))</f>
        <v>#N/A</v>
      </c>
      <c r="F38" t="e">
        <f>IF(OR(F$27="",ISERROR($A38)),NA(),HLOOKUP(F$27,MODEL_MATRIX!$C$1:$AA$71,ROW()-ROW(E$26),0))</f>
        <v>#N/A</v>
      </c>
      <c r="G38" t="e">
        <f>IF(OR(G$27="",ISERROR($A38)),NA(),HLOOKUP(G$27,MODEL_MATRIX!$C$1:$AA$71,ROW()-ROW(F$26),0))</f>
        <v>#N/A</v>
      </c>
      <c r="H38" t="e">
        <f>IF(OR(H$27="",ISERROR($A38)),NA(),HLOOKUP(H$27,MODEL_MATRIX!$C$1:$AA$71,ROW()-ROW(G$26),0))</f>
        <v>#N/A</v>
      </c>
      <c r="I38" t="e">
        <f>IF(OR(I$27="",ISERROR($A38)),NA(),HLOOKUP(I$27,MODEL_MATRIX!$C$1:$AA$71,ROW()-ROW(H$26),0))</f>
        <v>#N/A</v>
      </c>
      <c r="J38" t="e">
        <f>IF(OR(J$27="",ISERROR($A38)),NA(),HLOOKUP(J$27,MODEL_MATRIX!$C$1:$AA$71,ROW()-ROW(I$26),0))</f>
        <v>#N/A</v>
      </c>
      <c r="K38" t="e">
        <f>IF(OR(K$27="",ISERROR($A38)),NA(),HLOOKUP(K$27,MODEL_MATRIX!$C$1:$AA$71,ROW()-ROW(J$26),0))</f>
        <v>#N/A</v>
      </c>
      <c r="L38" t="e">
        <f>IF(OR(L$27="",ISERROR($A38)),NA(),HLOOKUP(L$27,MODEL_MATRIX!$C$1:$AA$71,ROW()-ROW(K$26),0))</f>
        <v>#N/A</v>
      </c>
      <c r="M38" t="e">
        <f>IF(OR(M$27="",ISERROR($A38)),NA(),HLOOKUP(M$27,MODEL_MATRIX!$C$1:$AA$71,ROW()-ROW(L$26),0))</f>
        <v>#N/A</v>
      </c>
      <c r="N38" t="e">
        <f>IF(OR(N$27="",ISERROR($A38)),NA(),HLOOKUP(N$27,MODEL_MATRIX!$C$1:$AA$71,ROW()-ROW(M$26),0))</f>
        <v>#N/A</v>
      </c>
      <c r="O38" t="e">
        <f>IF(OR(O$27="",ISERROR($A38)),NA(),HLOOKUP(O$27,MODEL_MATRIX!$C$1:$AA$71,ROW()-ROW(N$26),0))</f>
        <v>#N/A</v>
      </c>
      <c r="P38" t="e">
        <f>IF(OR(P$27="",ISERROR($A38)),NA(),HLOOKUP(P$27,MODEL_MATRIX!$C$1:$AA$71,ROW()-ROW(O$26),0))</f>
        <v>#N/A</v>
      </c>
      <c r="Q38" t="e">
        <f>IF(OR(Q$27="",ISERROR($A38)),NA(),HLOOKUP(Q$27,MODEL_MATRIX!$C$1:$AA$71,ROW()-ROW(P$26),0))</f>
        <v>#N/A</v>
      </c>
      <c r="R38" t="e">
        <f>IF(OR(R$27="",ISERROR($A38)),NA(),HLOOKUP(R$27,MODEL_MATRIX!$C$1:$AA$71,ROW()-ROW(Q$26),0))</f>
        <v>#N/A</v>
      </c>
      <c r="S38" t="e">
        <f>IF(OR(S$27="",ISERROR($A38)),NA(),HLOOKUP(S$27,MODEL_MATRIX!$C$1:$AA$71,ROW()-ROW(R$26),0))</f>
        <v>#N/A</v>
      </c>
      <c r="T38" t="e">
        <f>IF(OR(T$27="",ISERROR($A38)),NA(),HLOOKUP(T$27,MODEL_MATRIX!$C$1:$AA$71,ROW()-ROW(S$26),0))</f>
        <v>#N/A</v>
      </c>
      <c r="U38" t="e">
        <f>IF(OR(U$27="",ISERROR($A38)),NA(),HLOOKUP(U$27,MODEL_MATRIX!$C$1:$AA$71,ROW()-ROW(T$26),0))</f>
        <v>#N/A</v>
      </c>
      <c r="V38" t="e">
        <f>IF(OR(V$27="",ISERROR($A38)),NA(),HLOOKUP(V$27,MODEL_MATRIX!$C$1:$AA$71,ROW()-ROW(U$26),0))</f>
        <v>#N/A</v>
      </c>
      <c r="W38" t="e">
        <f>IF(OR(W$27="",ISERROR($A38)),NA(),HLOOKUP(W$27,MODEL_MATRIX!$C$1:$AA$71,ROW()-ROW(V$26),0))</f>
        <v>#N/A</v>
      </c>
      <c r="X38" t="e">
        <f>IF(OR(X$27="",ISERROR($A38)),NA(),HLOOKUP(X$27,MODEL_MATRIX!$C$1:$AA$71,ROW()-ROW(W$26),0))</f>
        <v>#N/A</v>
      </c>
      <c r="Y38" t="e">
        <f>IF(OR(Y$27="",ISERROR($A38)),NA(),HLOOKUP(Y$27,MODEL_MATRIX!$C$1:$AA$71,ROW()-ROW(X$26),0))</f>
        <v>#N/A</v>
      </c>
      <c r="Z38" t="e">
        <f>IF(OR(Z$27="",ISERROR($A38)),NA(),HLOOKUP(Z$27,MODEL_MATRIX!$C$1:$AA$71,ROW()-ROW(Y$26),0))</f>
        <v>#N/A</v>
      </c>
      <c r="AA38" s="19"/>
      <c r="AB38" s="19"/>
      <c r="AC38" s="19"/>
      <c r="AD38" s="19"/>
      <c r="AE38" s="19"/>
      <c r="AF38" s="19"/>
      <c r="AG38" s="19"/>
      <c r="AH38" s="19"/>
      <c r="AI38" s="19"/>
      <c r="AJ38" s="19"/>
      <c r="AK38" s="19"/>
      <c r="AL38" s="19"/>
      <c r="AM38" s="19"/>
      <c r="AN38" s="19"/>
      <c r="AO38" s="19"/>
      <c r="AP38" s="19"/>
      <c r="AQ38" s="19"/>
    </row>
    <row r="39" spans="1:44" x14ac:dyDescent="0.25">
      <c r="A39">
        <f>IF(MODEL_MATRIX!B13="",NA(),MODEL_MATRIX!B13)</f>
        <v>4.8226030187499997</v>
      </c>
      <c r="B39">
        <f ca="1">IF(OR(B$27="",ISERROR($A39)),NA(),HLOOKUP(B$27,MODEL_MATRIX!$C$1:$AA$71,ROW()-ROW(A$26),0))</f>
        <v>1</v>
      </c>
      <c r="C39">
        <f ca="1">IF(OR(C$27="",ISERROR($A39)),NA(),HLOOKUP(C$27,MODEL_MATRIX!$C$1:$AA$71,ROW()-ROW(B$26),0))</f>
        <v>-1</v>
      </c>
      <c r="D39">
        <f ca="1">IF(OR(D$27="",ISERROR($A39)),NA(),HLOOKUP(D$27,MODEL_MATRIX!$C$1:$AA$71,ROW()-ROW(C$26),0))</f>
        <v>-1</v>
      </c>
      <c r="E39" t="e">
        <f>IF(OR(E$27="",ISERROR($A39)),NA(),HLOOKUP(E$27,MODEL_MATRIX!$C$1:$AA$71,ROW()-ROW(D$26),0))</f>
        <v>#N/A</v>
      </c>
      <c r="F39" t="e">
        <f>IF(OR(F$27="",ISERROR($A39)),NA(),HLOOKUP(F$27,MODEL_MATRIX!$C$1:$AA$71,ROW()-ROW(E$26),0))</f>
        <v>#N/A</v>
      </c>
      <c r="G39" t="e">
        <f>IF(OR(G$27="",ISERROR($A39)),NA(),HLOOKUP(G$27,MODEL_MATRIX!$C$1:$AA$71,ROW()-ROW(F$26),0))</f>
        <v>#N/A</v>
      </c>
      <c r="H39" t="e">
        <f>IF(OR(H$27="",ISERROR($A39)),NA(),HLOOKUP(H$27,MODEL_MATRIX!$C$1:$AA$71,ROW()-ROW(G$26),0))</f>
        <v>#N/A</v>
      </c>
      <c r="I39" t="e">
        <f>IF(OR(I$27="",ISERROR($A39)),NA(),HLOOKUP(I$27,MODEL_MATRIX!$C$1:$AA$71,ROW()-ROW(H$26),0))</f>
        <v>#N/A</v>
      </c>
      <c r="J39" t="e">
        <f>IF(OR(J$27="",ISERROR($A39)),NA(),HLOOKUP(J$27,MODEL_MATRIX!$C$1:$AA$71,ROW()-ROW(I$26),0))</f>
        <v>#N/A</v>
      </c>
      <c r="K39" t="e">
        <f>IF(OR(K$27="",ISERROR($A39)),NA(),HLOOKUP(K$27,MODEL_MATRIX!$C$1:$AA$71,ROW()-ROW(J$26),0))</f>
        <v>#N/A</v>
      </c>
      <c r="L39" t="e">
        <f>IF(OR(L$27="",ISERROR($A39)),NA(),HLOOKUP(L$27,MODEL_MATRIX!$C$1:$AA$71,ROW()-ROW(K$26),0))</f>
        <v>#N/A</v>
      </c>
      <c r="M39" t="e">
        <f>IF(OR(M$27="",ISERROR($A39)),NA(),HLOOKUP(M$27,MODEL_MATRIX!$C$1:$AA$71,ROW()-ROW(L$26),0))</f>
        <v>#N/A</v>
      </c>
      <c r="N39" t="e">
        <f>IF(OR(N$27="",ISERROR($A39)),NA(),HLOOKUP(N$27,MODEL_MATRIX!$C$1:$AA$71,ROW()-ROW(M$26),0))</f>
        <v>#N/A</v>
      </c>
      <c r="O39" t="e">
        <f>IF(OR(O$27="",ISERROR($A39)),NA(),HLOOKUP(O$27,MODEL_MATRIX!$C$1:$AA$71,ROW()-ROW(N$26),0))</f>
        <v>#N/A</v>
      </c>
      <c r="P39" t="e">
        <f>IF(OR(P$27="",ISERROR($A39)),NA(),HLOOKUP(P$27,MODEL_MATRIX!$C$1:$AA$71,ROW()-ROW(O$26),0))</f>
        <v>#N/A</v>
      </c>
      <c r="Q39" t="e">
        <f>IF(OR(Q$27="",ISERROR($A39)),NA(),HLOOKUP(Q$27,MODEL_MATRIX!$C$1:$AA$71,ROW()-ROW(P$26),0))</f>
        <v>#N/A</v>
      </c>
      <c r="R39" t="e">
        <f>IF(OR(R$27="",ISERROR($A39)),NA(),HLOOKUP(R$27,MODEL_MATRIX!$C$1:$AA$71,ROW()-ROW(Q$26),0))</f>
        <v>#N/A</v>
      </c>
      <c r="S39" t="e">
        <f>IF(OR(S$27="",ISERROR($A39)),NA(),HLOOKUP(S$27,MODEL_MATRIX!$C$1:$AA$71,ROW()-ROW(R$26),0))</f>
        <v>#N/A</v>
      </c>
      <c r="T39" t="e">
        <f>IF(OR(T$27="",ISERROR($A39)),NA(),HLOOKUP(T$27,MODEL_MATRIX!$C$1:$AA$71,ROW()-ROW(S$26),0))</f>
        <v>#N/A</v>
      </c>
      <c r="U39" t="e">
        <f>IF(OR(U$27="",ISERROR($A39)),NA(),HLOOKUP(U$27,MODEL_MATRIX!$C$1:$AA$71,ROW()-ROW(T$26),0))</f>
        <v>#N/A</v>
      </c>
      <c r="V39" t="e">
        <f>IF(OR(V$27="",ISERROR($A39)),NA(),HLOOKUP(V$27,MODEL_MATRIX!$C$1:$AA$71,ROW()-ROW(U$26),0))</f>
        <v>#N/A</v>
      </c>
      <c r="W39" t="e">
        <f>IF(OR(W$27="",ISERROR($A39)),NA(),HLOOKUP(W$27,MODEL_MATRIX!$C$1:$AA$71,ROW()-ROW(V$26),0))</f>
        <v>#N/A</v>
      </c>
      <c r="X39" t="e">
        <f>IF(OR(X$27="",ISERROR($A39)),NA(),HLOOKUP(X$27,MODEL_MATRIX!$C$1:$AA$71,ROW()-ROW(W$26),0))</f>
        <v>#N/A</v>
      </c>
      <c r="Y39" t="e">
        <f>IF(OR(Y$27="",ISERROR($A39)),NA(),HLOOKUP(Y$27,MODEL_MATRIX!$C$1:$AA$71,ROW()-ROW(X$26),0))</f>
        <v>#N/A</v>
      </c>
      <c r="Z39" t="e">
        <f>IF(OR(Z$27="",ISERROR($A39)),NA(),HLOOKUP(Z$27,MODEL_MATRIX!$C$1:$AA$71,ROW()-ROW(Y$26),0))</f>
        <v>#N/A</v>
      </c>
    </row>
    <row r="40" spans="1:44" hidden="1" x14ac:dyDescent="0.25">
      <c r="A40">
        <f>IF(MODEL_MATRIX!B14="",NA(),MODEL_MATRIX!B14)</f>
        <v>7.74115001875</v>
      </c>
      <c r="B40">
        <f ca="1">IF(OR(B$27="",ISERROR($A40)),NA(),HLOOKUP(B$27,MODEL_MATRIX!$C$1:$AA$71,ROW()-ROW(A$26),0))</f>
        <v>-1</v>
      </c>
      <c r="C40">
        <f ca="1">IF(OR(C$27="",ISERROR($A40)),NA(),HLOOKUP(C$27,MODEL_MATRIX!$C$1:$AA$71,ROW()-ROW(B$26),0))</f>
        <v>1</v>
      </c>
      <c r="D40">
        <f ca="1">IF(OR(D$27="",ISERROR($A40)),NA(),HLOOKUP(D$27,MODEL_MATRIX!$C$1:$AA$71,ROW()-ROW(C$26),0))</f>
        <v>-1</v>
      </c>
      <c r="E40" t="e">
        <f>IF(OR(E$27="",ISERROR($A40)),NA(),HLOOKUP(E$27,MODEL_MATRIX!$C$1:$AA$71,ROW()-ROW(D$26),0))</f>
        <v>#N/A</v>
      </c>
      <c r="F40" t="e">
        <f>IF(OR(F$27="",ISERROR($A40)),NA(),HLOOKUP(F$27,MODEL_MATRIX!$C$1:$AA$71,ROW()-ROW(E$26),0))</f>
        <v>#N/A</v>
      </c>
      <c r="G40" t="e">
        <f>IF(OR(G$27="",ISERROR($A40)),NA(),HLOOKUP(G$27,MODEL_MATRIX!$C$1:$AA$71,ROW()-ROW(F$26),0))</f>
        <v>#N/A</v>
      </c>
      <c r="H40" t="e">
        <f>IF(OR(H$27="",ISERROR($A40)),NA(),HLOOKUP(H$27,MODEL_MATRIX!$C$1:$AA$71,ROW()-ROW(G$26),0))</f>
        <v>#N/A</v>
      </c>
      <c r="I40" t="e">
        <f>IF(OR(I$27="",ISERROR($A40)),NA(),HLOOKUP(I$27,MODEL_MATRIX!$C$1:$AA$71,ROW()-ROW(H$26),0))</f>
        <v>#N/A</v>
      </c>
      <c r="J40" t="e">
        <f>IF(OR(J$27="",ISERROR($A40)),NA(),HLOOKUP(J$27,MODEL_MATRIX!$C$1:$AA$71,ROW()-ROW(I$26),0))</f>
        <v>#N/A</v>
      </c>
      <c r="K40" t="e">
        <f>IF(OR(K$27="",ISERROR($A40)),NA(),HLOOKUP(K$27,MODEL_MATRIX!$C$1:$AA$71,ROW()-ROW(J$26),0))</f>
        <v>#N/A</v>
      </c>
      <c r="L40" t="e">
        <f>IF(OR(L$27="",ISERROR($A40)),NA(),HLOOKUP(L$27,MODEL_MATRIX!$C$1:$AA$71,ROW()-ROW(K$26),0))</f>
        <v>#N/A</v>
      </c>
      <c r="M40" t="e">
        <f>IF(OR(M$27="",ISERROR($A40)),NA(),HLOOKUP(M$27,MODEL_MATRIX!$C$1:$AA$71,ROW()-ROW(L$26),0))</f>
        <v>#N/A</v>
      </c>
      <c r="N40" t="e">
        <f>IF(OR(N$27="",ISERROR($A40)),NA(),HLOOKUP(N$27,MODEL_MATRIX!$C$1:$AA$71,ROW()-ROW(M$26),0))</f>
        <v>#N/A</v>
      </c>
      <c r="O40" t="e">
        <f>IF(OR(O$27="",ISERROR($A40)),NA(),HLOOKUP(O$27,MODEL_MATRIX!$C$1:$AA$71,ROW()-ROW(N$26),0))</f>
        <v>#N/A</v>
      </c>
      <c r="P40" t="e">
        <f>IF(OR(P$27="",ISERROR($A40)),NA(),HLOOKUP(P$27,MODEL_MATRIX!$C$1:$AA$71,ROW()-ROW(O$26),0))</f>
        <v>#N/A</v>
      </c>
      <c r="Q40" t="e">
        <f>IF(OR(Q$27="",ISERROR($A40)),NA(),HLOOKUP(Q$27,MODEL_MATRIX!$C$1:$AA$71,ROW()-ROW(P$26),0))</f>
        <v>#N/A</v>
      </c>
      <c r="R40" t="e">
        <f>IF(OR(R$27="",ISERROR($A40)),NA(),HLOOKUP(R$27,MODEL_MATRIX!$C$1:$AA$71,ROW()-ROW(Q$26),0))</f>
        <v>#N/A</v>
      </c>
      <c r="S40" t="e">
        <f>IF(OR(S$27="",ISERROR($A40)),NA(),HLOOKUP(S$27,MODEL_MATRIX!$C$1:$AA$71,ROW()-ROW(R$26),0))</f>
        <v>#N/A</v>
      </c>
      <c r="T40" t="e">
        <f>IF(OR(T$27="",ISERROR($A40)),NA(),HLOOKUP(T$27,MODEL_MATRIX!$C$1:$AA$71,ROW()-ROW(S$26),0))</f>
        <v>#N/A</v>
      </c>
      <c r="U40" t="e">
        <f>IF(OR(U$27="",ISERROR($A40)),NA(),HLOOKUP(U$27,MODEL_MATRIX!$C$1:$AA$71,ROW()-ROW(T$26),0))</f>
        <v>#N/A</v>
      </c>
      <c r="V40" t="e">
        <f>IF(OR(V$27="",ISERROR($A40)),NA(),HLOOKUP(V$27,MODEL_MATRIX!$C$1:$AA$71,ROW()-ROW(U$26),0))</f>
        <v>#N/A</v>
      </c>
      <c r="W40" t="e">
        <f>IF(OR(W$27="",ISERROR($A40)),NA(),HLOOKUP(W$27,MODEL_MATRIX!$C$1:$AA$71,ROW()-ROW(V$26),0))</f>
        <v>#N/A</v>
      </c>
      <c r="X40" t="e">
        <f>IF(OR(X$27="",ISERROR($A40)),NA(),HLOOKUP(X$27,MODEL_MATRIX!$C$1:$AA$71,ROW()-ROW(W$26),0))</f>
        <v>#N/A</v>
      </c>
      <c r="Y40" t="e">
        <f>IF(OR(Y$27="",ISERROR($A40)),NA(),HLOOKUP(Y$27,MODEL_MATRIX!$C$1:$AA$71,ROW()-ROW(X$26),0))</f>
        <v>#N/A</v>
      </c>
      <c r="Z40" t="e">
        <f>IF(OR(Z$27="",ISERROR($A40)),NA(),HLOOKUP(Z$27,MODEL_MATRIX!$C$1:$AA$71,ROW()-ROW(Y$26),0))</f>
        <v>#N/A</v>
      </c>
    </row>
    <row r="41" spans="1:44" hidden="1" x14ac:dyDescent="0.25">
      <c r="A41">
        <f>IF(MODEL_MATRIX!B15="",NA(),MODEL_MATRIX!B15)</f>
        <v>5.2487835187499998</v>
      </c>
      <c r="B41">
        <f ca="1">IF(OR(B$27="",ISERROR($A41)),NA(),HLOOKUP(B$27,MODEL_MATRIX!$C$1:$AA$71,ROW()-ROW(A$26),0))</f>
        <v>1</v>
      </c>
      <c r="C41">
        <f ca="1">IF(OR(C$27="",ISERROR($A41)),NA(),HLOOKUP(C$27,MODEL_MATRIX!$C$1:$AA$71,ROW()-ROW(B$26),0))</f>
        <v>1</v>
      </c>
      <c r="D41">
        <f ca="1">IF(OR(D$27="",ISERROR($A41)),NA(),HLOOKUP(D$27,MODEL_MATRIX!$C$1:$AA$71,ROW()-ROW(C$26),0))</f>
        <v>-1</v>
      </c>
      <c r="E41" t="e">
        <f>IF(OR(E$27="",ISERROR($A41)),NA(),HLOOKUP(E$27,MODEL_MATRIX!$C$1:$AA$71,ROW()-ROW(D$26),0))</f>
        <v>#N/A</v>
      </c>
      <c r="F41" t="e">
        <f>IF(OR(F$27="",ISERROR($A41)),NA(),HLOOKUP(F$27,MODEL_MATRIX!$C$1:$AA$71,ROW()-ROW(E$26),0))</f>
        <v>#N/A</v>
      </c>
      <c r="G41" t="e">
        <f>IF(OR(G$27="",ISERROR($A41)),NA(),HLOOKUP(G$27,MODEL_MATRIX!$C$1:$AA$71,ROW()-ROW(F$26),0))</f>
        <v>#N/A</v>
      </c>
      <c r="H41" t="e">
        <f>IF(OR(H$27="",ISERROR($A41)),NA(),HLOOKUP(H$27,MODEL_MATRIX!$C$1:$AA$71,ROW()-ROW(G$26),0))</f>
        <v>#N/A</v>
      </c>
      <c r="I41" t="e">
        <f>IF(OR(I$27="",ISERROR($A41)),NA(),HLOOKUP(I$27,MODEL_MATRIX!$C$1:$AA$71,ROW()-ROW(H$26),0))</f>
        <v>#N/A</v>
      </c>
      <c r="J41" t="e">
        <f>IF(OR(J$27="",ISERROR($A41)),NA(),HLOOKUP(J$27,MODEL_MATRIX!$C$1:$AA$71,ROW()-ROW(I$26),0))</f>
        <v>#N/A</v>
      </c>
      <c r="K41" t="e">
        <f>IF(OR(K$27="",ISERROR($A41)),NA(),HLOOKUP(K$27,MODEL_MATRIX!$C$1:$AA$71,ROW()-ROW(J$26),0))</f>
        <v>#N/A</v>
      </c>
      <c r="L41" t="e">
        <f>IF(OR(L$27="",ISERROR($A41)),NA(),HLOOKUP(L$27,MODEL_MATRIX!$C$1:$AA$71,ROW()-ROW(K$26),0))</f>
        <v>#N/A</v>
      </c>
      <c r="M41" t="e">
        <f>IF(OR(M$27="",ISERROR($A41)),NA(),HLOOKUP(M$27,MODEL_MATRIX!$C$1:$AA$71,ROW()-ROW(L$26),0))</f>
        <v>#N/A</v>
      </c>
      <c r="N41" t="e">
        <f>IF(OR(N$27="",ISERROR($A41)),NA(),HLOOKUP(N$27,MODEL_MATRIX!$C$1:$AA$71,ROW()-ROW(M$26),0))</f>
        <v>#N/A</v>
      </c>
      <c r="O41" t="e">
        <f>IF(OR(O$27="",ISERROR($A41)),NA(),HLOOKUP(O$27,MODEL_MATRIX!$C$1:$AA$71,ROW()-ROW(N$26),0))</f>
        <v>#N/A</v>
      </c>
      <c r="P41" t="e">
        <f>IF(OR(P$27="",ISERROR($A41)),NA(),HLOOKUP(P$27,MODEL_MATRIX!$C$1:$AA$71,ROW()-ROW(O$26),0))</f>
        <v>#N/A</v>
      </c>
      <c r="Q41" t="e">
        <f>IF(OR(Q$27="",ISERROR($A41)),NA(),HLOOKUP(Q$27,MODEL_MATRIX!$C$1:$AA$71,ROW()-ROW(P$26),0))</f>
        <v>#N/A</v>
      </c>
      <c r="R41" t="e">
        <f>IF(OR(R$27="",ISERROR($A41)),NA(),HLOOKUP(R$27,MODEL_MATRIX!$C$1:$AA$71,ROW()-ROW(Q$26),0))</f>
        <v>#N/A</v>
      </c>
      <c r="S41" t="e">
        <f>IF(OR(S$27="",ISERROR($A41)),NA(),HLOOKUP(S$27,MODEL_MATRIX!$C$1:$AA$71,ROW()-ROW(R$26),0))</f>
        <v>#N/A</v>
      </c>
      <c r="T41" t="e">
        <f>IF(OR(T$27="",ISERROR($A41)),NA(),HLOOKUP(T$27,MODEL_MATRIX!$C$1:$AA$71,ROW()-ROW(S$26),0))</f>
        <v>#N/A</v>
      </c>
      <c r="U41" t="e">
        <f>IF(OR(U$27="",ISERROR($A41)),NA(),HLOOKUP(U$27,MODEL_MATRIX!$C$1:$AA$71,ROW()-ROW(T$26),0))</f>
        <v>#N/A</v>
      </c>
      <c r="V41" t="e">
        <f>IF(OR(V$27="",ISERROR($A41)),NA(),HLOOKUP(V$27,MODEL_MATRIX!$C$1:$AA$71,ROW()-ROW(U$26),0))</f>
        <v>#N/A</v>
      </c>
      <c r="W41" t="e">
        <f>IF(OR(W$27="",ISERROR($A41)),NA(),HLOOKUP(W$27,MODEL_MATRIX!$C$1:$AA$71,ROW()-ROW(V$26),0))</f>
        <v>#N/A</v>
      </c>
      <c r="X41" t="e">
        <f>IF(OR(X$27="",ISERROR($A41)),NA(),HLOOKUP(X$27,MODEL_MATRIX!$C$1:$AA$71,ROW()-ROW(W$26),0))</f>
        <v>#N/A</v>
      </c>
      <c r="Y41" t="e">
        <f>IF(OR(Y$27="",ISERROR($A41)),NA(),HLOOKUP(Y$27,MODEL_MATRIX!$C$1:$AA$71,ROW()-ROW(X$26),0))</f>
        <v>#N/A</v>
      </c>
      <c r="Z41" t="e">
        <f>IF(OR(Z$27="",ISERROR($A41)),NA(),HLOOKUP(Z$27,MODEL_MATRIX!$C$1:$AA$71,ROW()-ROW(Y$26),0))</f>
        <v>#N/A</v>
      </c>
    </row>
    <row r="42" spans="1:44" hidden="1" x14ac:dyDescent="0.25">
      <c r="A42">
        <f>IF(MODEL_MATRIX!B16="",NA(),MODEL_MATRIX!B16)</f>
        <v>7.0982790187499996</v>
      </c>
      <c r="B42">
        <f ca="1">IF(OR(B$27="",ISERROR($A42)),NA(),HLOOKUP(B$27,MODEL_MATRIX!$C$1:$AA$71,ROW()-ROW(A$26),0))</f>
        <v>-1</v>
      </c>
      <c r="C42">
        <f ca="1">IF(OR(C$27="",ISERROR($A42)),NA(),HLOOKUP(C$27,MODEL_MATRIX!$C$1:$AA$71,ROW()-ROW(B$26),0))</f>
        <v>1</v>
      </c>
      <c r="D42">
        <f ca="1">IF(OR(D$27="",ISERROR($A42)),NA(),HLOOKUP(D$27,MODEL_MATRIX!$C$1:$AA$71,ROW()-ROW(C$26),0))</f>
        <v>-1</v>
      </c>
      <c r="E42" t="e">
        <f>IF(OR(E$27="",ISERROR($A42)),NA(),HLOOKUP(E$27,MODEL_MATRIX!$C$1:$AA$71,ROW()-ROW(D$26),0))</f>
        <v>#N/A</v>
      </c>
      <c r="F42" t="e">
        <f>IF(OR(F$27="",ISERROR($A42)),NA(),HLOOKUP(F$27,MODEL_MATRIX!$C$1:$AA$71,ROW()-ROW(E$26),0))</f>
        <v>#N/A</v>
      </c>
      <c r="G42" t="e">
        <f>IF(OR(G$27="",ISERROR($A42)),NA(),HLOOKUP(G$27,MODEL_MATRIX!$C$1:$AA$71,ROW()-ROW(F$26),0))</f>
        <v>#N/A</v>
      </c>
      <c r="H42" t="e">
        <f>IF(OR(H$27="",ISERROR($A42)),NA(),HLOOKUP(H$27,MODEL_MATRIX!$C$1:$AA$71,ROW()-ROW(G$26),0))</f>
        <v>#N/A</v>
      </c>
      <c r="I42" t="e">
        <f>IF(OR(I$27="",ISERROR($A42)),NA(),HLOOKUP(I$27,MODEL_MATRIX!$C$1:$AA$71,ROW()-ROW(H$26),0))</f>
        <v>#N/A</v>
      </c>
      <c r="J42" t="e">
        <f>IF(OR(J$27="",ISERROR($A42)),NA(),HLOOKUP(J$27,MODEL_MATRIX!$C$1:$AA$71,ROW()-ROW(I$26),0))</f>
        <v>#N/A</v>
      </c>
      <c r="K42" t="e">
        <f>IF(OR(K$27="",ISERROR($A42)),NA(),HLOOKUP(K$27,MODEL_MATRIX!$C$1:$AA$71,ROW()-ROW(J$26),0))</f>
        <v>#N/A</v>
      </c>
      <c r="L42" t="e">
        <f>IF(OR(L$27="",ISERROR($A42)),NA(),HLOOKUP(L$27,MODEL_MATRIX!$C$1:$AA$71,ROW()-ROW(K$26),0))</f>
        <v>#N/A</v>
      </c>
      <c r="M42" t="e">
        <f>IF(OR(M$27="",ISERROR($A42)),NA(),HLOOKUP(M$27,MODEL_MATRIX!$C$1:$AA$71,ROW()-ROW(L$26),0))</f>
        <v>#N/A</v>
      </c>
      <c r="N42" t="e">
        <f>IF(OR(N$27="",ISERROR($A42)),NA(),HLOOKUP(N$27,MODEL_MATRIX!$C$1:$AA$71,ROW()-ROW(M$26),0))</f>
        <v>#N/A</v>
      </c>
      <c r="O42" t="e">
        <f>IF(OR(O$27="",ISERROR($A42)),NA(),HLOOKUP(O$27,MODEL_MATRIX!$C$1:$AA$71,ROW()-ROW(N$26),0))</f>
        <v>#N/A</v>
      </c>
      <c r="P42" t="e">
        <f>IF(OR(P$27="",ISERROR($A42)),NA(),HLOOKUP(P$27,MODEL_MATRIX!$C$1:$AA$71,ROW()-ROW(O$26),0))</f>
        <v>#N/A</v>
      </c>
      <c r="Q42" t="e">
        <f>IF(OR(Q$27="",ISERROR($A42)),NA(),HLOOKUP(Q$27,MODEL_MATRIX!$C$1:$AA$71,ROW()-ROW(P$26),0))</f>
        <v>#N/A</v>
      </c>
      <c r="R42" t="e">
        <f>IF(OR(R$27="",ISERROR($A42)),NA(),HLOOKUP(R$27,MODEL_MATRIX!$C$1:$AA$71,ROW()-ROW(Q$26),0))</f>
        <v>#N/A</v>
      </c>
      <c r="S42" t="e">
        <f>IF(OR(S$27="",ISERROR($A42)),NA(),HLOOKUP(S$27,MODEL_MATRIX!$C$1:$AA$71,ROW()-ROW(R$26),0))</f>
        <v>#N/A</v>
      </c>
      <c r="T42" t="e">
        <f>IF(OR(T$27="",ISERROR($A42)),NA(),HLOOKUP(T$27,MODEL_MATRIX!$C$1:$AA$71,ROW()-ROW(S$26),0))</f>
        <v>#N/A</v>
      </c>
      <c r="U42" t="e">
        <f>IF(OR(U$27="",ISERROR($A42)),NA(),HLOOKUP(U$27,MODEL_MATRIX!$C$1:$AA$71,ROW()-ROW(T$26),0))</f>
        <v>#N/A</v>
      </c>
      <c r="V42" t="e">
        <f>IF(OR(V$27="",ISERROR($A42)),NA(),HLOOKUP(V$27,MODEL_MATRIX!$C$1:$AA$71,ROW()-ROW(U$26),0))</f>
        <v>#N/A</v>
      </c>
      <c r="W42" t="e">
        <f>IF(OR(W$27="",ISERROR($A42)),NA(),HLOOKUP(W$27,MODEL_MATRIX!$C$1:$AA$71,ROW()-ROW(V$26),0))</f>
        <v>#N/A</v>
      </c>
      <c r="X42" t="e">
        <f>IF(OR(X$27="",ISERROR($A42)),NA(),HLOOKUP(X$27,MODEL_MATRIX!$C$1:$AA$71,ROW()-ROW(W$26),0))</f>
        <v>#N/A</v>
      </c>
      <c r="Y42" t="e">
        <f>IF(OR(Y$27="",ISERROR($A42)),NA(),HLOOKUP(Y$27,MODEL_MATRIX!$C$1:$AA$71,ROW()-ROW(X$26),0))</f>
        <v>#N/A</v>
      </c>
      <c r="Z42" t="e">
        <f>IF(OR(Z$27="",ISERROR($A42)),NA(),HLOOKUP(Z$27,MODEL_MATRIX!$C$1:$AA$71,ROW()-ROW(Y$26),0))</f>
        <v>#N/A</v>
      </c>
    </row>
    <row r="43" spans="1:44" hidden="1" x14ac:dyDescent="0.25">
      <c r="A43">
        <f>IF(MODEL_MATRIX!B17="",NA(),MODEL_MATRIX!B17)</f>
        <v>5.84936901875</v>
      </c>
      <c r="B43">
        <f ca="1">IF(OR(B$27="",ISERROR($A43)),NA(),HLOOKUP(B$27,MODEL_MATRIX!$C$1:$AA$71,ROW()-ROW(A$26),0))</f>
        <v>1</v>
      </c>
      <c r="C43">
        <f ca="1">IF(OR(C$27="",ISERROR($A43)),NA(),HLOOKUP(C$27,MODEL_MATRIX!$C$1:$AA$71,ROW()-ROW(B$26),0))</f>
        <v>1</v>
      </c>
      <c r="D43">
        <f ca="1">IF(OR(D$27="",ISERROR($A43)),NA(),HLOOKUP(D$27,MODEL_MATRIX!$C$1:$AA$71,ROW()-ROW(C$26),0))</f>
        <v>-1</v>
      </c>
      <c r="E43" t="e">
        <f>IF(OR(E$27="",ISERROR($A43)),NA(),HLOOKUP(E$27,MODEL_MATRIX!$C$1:$AA$71,ROW()-ROW(D$26),0))</f>
        <v>#N/A</v>
      </c>
      <c r="F43" t="e">
        <f>IF(OR(F$27="",ISERROR($A43)),NA(),HLOOKUP(F$27,MODEL_MATRIX!$C$1:$AA$71,ROW()-ROW(E$26),0))</f>
        <v>#N/A</v>
      </c>
      <c r="G43" t="e">
        <f>IF(OR(G$27="",ISERROR($A43)),NA(),HLOOKUP(G$27,MODEL_MATRIX!$C$1:$AA$71,ROW()-ROW(F$26),0))</f>
        <v>#N/A</v>
      </c>
      <c r="H43" t="e">
        <f>IF(OR(H$27="",ISERROR($A43)),NA(),HLOOKUP(H$27,MODEL_MATRIX!$C$1:$AA$71,ROW()-ROW(G$26),0))</f>
        <v>#N/A</v>
      </c>
      <c r="I43" t="e">
        <f>IF(OR(I$27="",ISERROR($A43)),NA(),HLOOKUP(I$27,MODEL_MATRIX!$C$1:$AA$71,ROW()-ROW(H$26),0))</f>
        <v>#N/A</v>
      </c>
      <c r="J43" t="e">
        <f>IF(OR(J$27="",ISERROR($A43)),NA(),HLOOKUP(J$27,MODEL_MATRIX!$C$1:$AA$71,ROW()-ROW(I$26),0))</f>
        <v>#N/A</v>
      </c>
      <c r="K43" t="e">
        <f>IF(OR(K$27="",ISERROR($A43)),NA(),HLOOKUP(K$27,MODEL_MATRIX!$C$1:$AA$71,ROW()-ROW(J$26),0))</f>
        <v>#N/A</v>
      </c>
      <c r="L43" t="e">
        <f>IF(OR(L$27="",ISERROR($A43)),NA(),HLOOKUP(L$27,MODEL_MATRIX!$C$1:$AA$71,ROW()-ROW(K$26),0))</f>
        <v>#N/A</v>
      </c>
      <c r="M43" t="e">
        <f>IF(OR(M$27="",ISERROR($A43)),NA(),HLOOKUP(M$27,MODEL_MATRIX!$C$1:$AA$71,ROW()-ROW(L$26),0))</f>
        <v>#N/A</v>
      </c>
      <c r="N43" t="e">
        <f>IF(OR(N$27="",ISERROR($A43)),NA(),HLOOKUP(N$27,MODEL_MATRIX!$C$1:$AA$71,ROW()-ROW(M$26),0))</f>
        <v>#N/A</v>
      </c>
      <c r="O43" t="e">
        <f>IF(OR(O$27="",ISERROR($A43)),NA(),HLOOKUP(O$27,MODEL_MATRIX!$C$1:$AA$71,ROW()-ROW(N$26),0))</f>
        <v>#N/A</v>
      </c>
      <c r="P43" t="e">
        <f>IF(OR(P$27="",ISERROR($A43)),NA(),HLOOKUP(P$27,MODEL_MATRIX!$C$1:$AA$71,ROW()-ROW(O$26),0))</f>
        <v>#N/A</v>
      </c>
      <c r="Q43" t="e">
        <f>IF(OR(Q$27="",ISERROR($A43)),NA(),HLOOKUP(Q$27,MODEL_MATRIX!$C$1:$AA$71,ROW()-ROW(P$26),0))</f>
        <v>#N/A</v>
      </c>
      <c r="R43" t="e">
        <f>IF(OR(R$27="",ISERROR($A43)),NA(),HLOOKUP(R$27,MODEL_MATRIX!$C$1:$AA$71,ROW()-ROW(Q$26),0))</f>
        <v>#N/A</v>
      </c>
      <c r="S43" t="e">
        <f>IF(OR(S$27="",ISERROR($A43)),NA(),HLOOKUP(S$27,MODEL_MATRIX!$C$1:$AA$71,ROW()-ROW(R$26),0))</f>
        <v>#N/A</v>
      </c>
      <c r="T43" t="e">
        <f>IF(OR(T$27="",ISERROR($A43)),NA(),HLOOKUP(T$27,MODEL_MATRIX!$C$1:$AA$71,ROW()-ROW(S$26),0))</f>
        <v>#N/A</v>
      </c>
      <c r="U43" t="e">
        <f>IF(OR(U$27="",ISERROR($A43)),NA(),HLOOKUP(U$27,MODEL_MATRIX!$C$1:$AA$71,ROW()-ROW(T$26),0))</f>
        <v>#N/A</v>
      </c>
      <c r="V43" t="e">
        <f>IF(OR(V$27="",ISERROR($A43)),NA(),HLOOKUP(V$27,MODEL_MATRIX!$C$1:$AA$71,ROW()-ROW(U$26),0))</f>
        <v>#N/A</v>
      </c>
      <c r="W43" t="e">
        <f>IF(OR(W$27="",ISERROR($A43)),NA(),HLOOKUP(W$27,MODEL_MATRIX!$C$1:$AA$71,ROW()-ROW(V$26),0))</f>
        <v>#N/A</v>
      </c>
      <c r="X43" t="e">
        <f>IF(OR(X$27="",ISERROR($A43)),NA(),HLOOKUP(X$27,MODEL_MATRIX!$C$1:$AA$71,ROW()-ROW(W$26),0))</f>
        <v>#N/A</v>
      </c>
      <c r="Y43" t="e">
        <f>IF(OR(Y$27="",ISERROR($A43)),NA(),HLOOKUP(Y$27,MODEL_MATRIX!$C$1:$AA$71,ROW()-ROW(X$26),0))</f>
        <v>#N/A</v>
      </c>
      <c r="Z43" t="e">
        <f>IF(OR(Z$27="",ISERROR($A43)),NA(),HLOOKUP(Z$27,MODEL_MATRIX!$C$1:$AA$71,ROW()-ROW(Y$26),0))</f>
        <v>#N/A</v>
      </c>
    </row>
    <row r="44" spans="1:44" hidden="1" x14ac:dyDescent="0.25">
      <c r="A44">
        <f>IF(MODEL_MATRIX!B18="",NA(),MODEL_MATRIX!B18)</f>
        <v>4.5330400187500004</v>
      </c>
      <c r="B44">
        <f ca="1">IF(OR(B$27="",ISERROR($A44)),NA(),HLOOKUP(B$27,MODEL_MATRIX!$C$1:$AA$71,ROW()-ROW(A$26),0))</f>
        <v>-1</v>
      </c>
      <c r="C44">
        <f ca="1">IF(OR(C$27="",ISERROR($A44)),NA(),HLOOKUP(C$27,MODEL_MATRIX!$C$1:$AA$71,ROW()-ROW(B$26),0))</f>
        <v>-1</v>
      </c>
      <c r="D44">
        <f ca="1">IF(OR(D$27="",ISERROR($A44)),NA(),HLOOKUP(D$27,MODEL_MATRIX!$C$1:$AA$71,ROW()-ROW(C$26),0))</f>
        <v>1</v>
      </c>
      <c r="E44" t="e">
        <f>IF(OR(E$27="",ISERROR($A44)),NA(),HLOOKUP(E$27,MODEL_MATRIX!$C$1:$AA$71,ROW()-ROW(D$26),0))</f>
        <v>#N/A</v>
      </c>
      <c r="F44" t="e">
        <f>IF(OR(F$27="",ISERROR($A44)),NA(),HLOOKUP(F$27,MODEL_MATRIX!$C$1:$AA$71,ROW()-ROW(E$26),0))</f>
        <v>#N/A</v>
      </c>
      <c r="G44" t="e">
        <f>IF(OR(G$27="",ISERROR($A44)),NA(),HLOOKUP(G$27,MODEL_MATRIX!$C$1:$AA$71,ROW()-ROW(F$26),0))</f>
        <v>#N/A</v>
      </c>
      <c r="H44" t="e">
        <f>IF(OR(H$27="",ISERROR($A44)),NA(),HLOOKUP(H$27,MODEL_MATRIX!$C$1:$AA$71,ROW()-ROW(G$26),0))</f>
        <v>#N/A</v>
      </c>
      <c r="I44" t="e">
        <f>IF(OR(I$27="",ISERROR($A44)),NA(),HLOOKUP(I$27,MODEL_MATRIX!$C$1:$AA$71,ROW()-ROW(H$26),0))</f>
        <v>#N/A</v>
      </c>
      <c r="J44" t="e">
        <f>IF(OR(J$27="",ISERROR($A44)),NA(),HLOOKUP(J$27,MODEL_MATRIX!$C$1:$AA$71,ROW()-ROW(I$26),0))</f>
        <v>#N/A</v>
      </c>
      <c r="K44" t="e">
        <f>IF(OR(K$27="",ISERROR($A44)),NA(),HLOOKUP(K$27,MODEL_MATRIX!$C$1:$AA$71,ROW()-ROW(J$26),0))</f>
        <v>#N/A</v>
      </c>
      <c r="L44" t="e">
        <f>IF(OR(L$27="",ISERROR($A44)),NA(),HLOOKUP(L$27,MODEL_MATRIX!$C$1:$AA$71,ROW()-ROW(K$26),0))</f>
        <v>#N/A</v>
      </c>
      <c r="M44" t="e">
        <f>IF(OR(M$27="",ISERROR($A44)),NA(),HLOOKUP(M$27,MODEL_MATRIX!$C$1:$AA$71,ROW()-ROW(L$26),0))</f>
        <v>#N/A</v>
      </c>
      <c r="N44" t="e">
        <f>IF(OR(N$27="",ISERROR($A44)),NA(),HLOOKUP(N$27,MODEL_MATRIX!$C$1:$AA$71,ROW()-ROW(M$26),0))</f>
        <v>#N/A</v>
      </c>
      <c r="O44" t="e">
        <f>IF(OR(O$27="",ISERROR($A44)),NA(),HLOOKUP(O$27,MODEL_MATRIX!$C$1:$AA$71,ROW()-ROW(N$26),0))</f>
        <v>#N/A</v>
      </c>
      <c r="P44" t="e">
        <f>IF(OR(P$27="",ISERROR($A44)),NA(),HLOOKUP(P$27,MODEL_MATRIX!$C$1:$AA$71,ROW()-ROW(O$26),0))</f>
        <v>#N/A</v>
      </c>
      <c r="Q44" t="e">
        <f>IF(OR(Q$27="",ISERROR($A44)),NA(),HLOOKUP(Q$27,MODEL_MATRIX!$C$1:$AA$71,ROW()-ROW(P$26),0))</f>
        <v>#N/A</v>
      </c>
      <c r="R44" t="e">
        <f>IF(OR(R$27="",ISERROR($A44)),NA(),HLOOKUP(R$27,MODEL_MATRIX!$C$1:$AA$71,ROW()-ROW(Q$26),0))</f>
        <v>#N/A</v>
      </c>
      <c r="S44" t="e">
        <f>IF(OR(S$27="",ISERROR($A44)),NA(),HLOOKUP(S$27,MODEL_MATRIX!$C$1:$AA$71,ROW()-ROW(R$26),0))</f>
        <v>#N/A</v>
      </c>
      <c r="T44" t="e">
        <f>IF(OR(T$27="",ISERROR($A44)),NA(),HLOOKUP(T$27,MODEL_MATRIX!$C$1:$AA$71,ROW()-ROW(S$26),0))</f>
        <v>#N/A</v>
      </c>
      <c r="U44" t="e">
        <f>IF(OR(U$27="",ISERROR($A44)),NA(),HLOOKUP(U$27,MODEL_MATRIX!$C$1:$AA$71,ROW()-ROW(T$26),0))</f>
        <v>#N/A</v>
      </c>
      <c r="V44" t="e">
        <f>IF(OR(V$27="",ISERROR($A44)),NA(),HLOOKUP(V$27,MODEL_MATRIX!$C$1:$AA$71,ROW()-ROW(U$26),0))</f>
        <v>#N/A</v>
      </c>
      <c r="W44" t="e">
        <f>IF(OR(W$27="",ISERROR($A44)),NA(),HLOOKUP(W$27,MODEL_MATRIX!$C$1:$AA$71,ROW()-ROW(V$26),0))</f>
        <v>#N/A</v>
      </c>
      <c r="X44" t="e">
        <f>IF(OR(X$27="",ISERROR($A44)),NA(),HLOOKUP(X$27,MODEL_MATRIX!$C$1:$AA$71,ROW()-ROW(W$26),0))</f>
        <v>#N/A</v>
      </c>
      <c r="Y44" t="e">
        <f>IF(OR(Y$27="",ISERROR($A44)),NA(),HLOOKUP(Y$27,MODEL_MATRIX!$C$1:$AA$71,ROW()-ROW(X$26),0))</f>
        <v>#N/A</v>
      </c>
      <c r="Z44" t="e">
        <f>IF(OR(Z$27="",ISERROR($A44)),NA(),HLOOKUP(Z$27,MODEL_MATRIX!$C$1:$AA$71,ROW()-ROW(Y$26),0))</f>
        <v>#N/A</v>
      </c>
    </row>
    <row r="45" spans="1:44" hidden="1" x14ac:dyDescent="0.25">
      <c r="A45">
        <f>IF(MODEL_MATRIX!B19="",NA(),MODEL_MATRIX!B19)</f>
        <v>5.7342475187500002</v>
      </c>
      <c r="B45">
        <f ca="1">IF(OR(B$27="",ISERROR($A45)),NA(),HLOOKUP(B$27,MODEL_MATRIX!$C$1:$AA$71,ROW()-ROW(A$26),0))</f>
        <v>1</v>
      </c>
      <c r="C45">
        <f ca="1">IF(OR(C$27="",ISERROR($A45)),NA(),HLOOKUP(C$27,MODEL_MATRIX!$C$1:$AA$71,ROW()-ROW(B$26),0))</f>
        <v>-1</v>
      </c>
      <c r="D45">
        <f ca="1">IF(OR(D$27="",ISERROR($A45)),NA(),HLOOKUP(D$27,MODEL_MATRIX!$C$1:$AA$71,ROW()-ROW(C$26),0))</f>
        <v>1</v>
      </c>
      <c r="E45" t="e">
        <f>IF(OR(E$27="",ISERROR($A45)),NA(),HLOOKUP(E$27,MODEL_MATRIX!$C$1:$AA$71,ROW()-ROW(D$26),0))</f>
        <v>#N/A</v>
      </c>
      <c r="F45" t="e">
        <f>IF(OR(F$27="",ISERROR($A45)),NA(),HLOOKUP(F$27,MODEL_MATRIX!$C$1:$AA$71,ROW()-ROW(E$26),0))</f>
        <v>#N/A</v>
      </c>
      <c r="G45" t="e">
        <f>IF(OR(G$27="",ISERROR($A45)),NA(),HLOOKUP(G$27,MODEL_MATRIX!$C$1:$AA$71,ROW()-ROW(F$26),0))</f>
        <v>#N/A</v>
      </c>
      <c r="H45" t="e">
        <f>IF(OR(H$27="",ISERROR($A45)),NA(),HLOOKUP(H$27,MODEL_MATRIX!$C$1:$AA$71,ROW()-ROW(G$26),0))</f>
        <v>#N/A</v>
      </c>
      <c r="I45" t="e">
        <f>IF(OR(I$27="",ISERROR($A45)),NA(),HLOOKUP(I$27,MODEL_MATRIX!$C$1:$AA$71,ROW()-ROW(H$26),0))</f>
        <v>#N/A</v>
      </c>
      <c r="J45" t="e">
        <f>IF(OR(J$27="",ISERROR($A45)),NA(),HLOOKUP(J$27,MODEL_MATRIX!$C$1:$AA$71,ROW()-ROW(I$26),0))</f>
        <v>#N/A</v>
      </c>
      <c r="K45" t="e">
        <f>IF(OR(K$27="",ISERROR($A45)),NA(),HLOOKUP(K$27,MODEL_MATRIX!$C$1:$AA$71,ROW()-ROW(J$26),0))</f>
        <v>#N/A</v>
      </c>
      <c r="L45" t="e">
        <f>IF(OR(L$27="",ISERROR($A45)),NA(),HLOOKUP(L$27,MODEL_MATRIX!$C$1:$AA$71,ROW()-ROW(K$26),0))</f>
        <v>#N/A</v>
      </c>
      <c r="M45" t="e">
        <f>IF(OR(M$27="",ISERROR($A45)),NA(),HLOOKUP(M$27,MODEL_MATRIX!$C$1:$AA$71,ROW()-ROW(L$26),0))</f>
        <v>#N/A</v>
      </c>
      <c r="N45" t="e">
        <f>IF(OR(N$27="",ISERROR($A45)),NA(),HLOOKUP(N$27,MODEL_MATRIX!$C$1:$AA$71,ROW()-ROW(M$26),0))</f>
        <v>#N/A</v>
      </c>
      <c r="O45" t="e">
        <f>IF(OR(O$27="",ISERROR($A45)),NA(),HLOOKUP(O$27,MODEL_MATRIX!$C$1:$AA$71,ROW()-ROW(N$26),0))</f>
        <v>#N/A</v>
      </c>
      <c r="P45" t="e">
        <f>IF(OR(P$27="",ISERROR($A45)),NA(),HLOOKUP(P$27,MODEL_MATRIX!$C$1:$AA$71,ROW()-ROW(O$26),0))</f>
        <v>#N/A</v>
      </c>
      <c r="Q45" t="e">
        <f>IF(OR(Q$27="",ISERROR($A45)),NA(),HLOOKUP(Q$27,MODEL_MATRIX!$C$1:$AA$71,ROW()-ROW(P$26),0))</f>
        <v>#N/A</v>
      </c>
      <c r="R45" t="e">
        <f>IF(OR(R$27="",ISERROR($A45)),NA(),HLOOKUP(R$27,MODEL_MATRIX!$C$1:$AA$71,ROW()-ROW(Q$26),0))</f>
        <v>#N/A</v>
      </c>
      <c r="S45" t="e">
        <f>IF(OR(S$27="",ISERROR($A45)),NA(),HLOOKUP(S$27,MODEL_MATRIX!$C$1:$AA$71,ROW()-ROW(R$26),0))</f>
        <v>#N/A</v>
      </c>
      <c r="T45" t="e">
        <f>IF(OR(T$27="",ISERROR($A45)),NA(),HLOOKUP(T$27,MODEL_MATRIX!$C$1:$AA$71,ROW()-ROW(S$26),0))</f>
        <v>#N/A</v>
      </c>
      <c r="U45" t="e">
        <f>IF(OR(U$27="",ISERROR($A45)),NA(),HLOOKUP(U$27,MODEL_MATRIX!$C$1:$AA$71,ROW()-ROW(T$26),0))</f>
        <v>#N/A</v>
      </c>
      <c r="V45" t="e">
        <f>IF(OR(V$27="",ISERROR($A45)),NA(),HLOOKUP(V$27,MODEL_MATRIX!$C$1:$AA$71,ROW()-ROW(U$26),0))</f>
        <v>#N/A</v>
      </c>
      <c r="W45" t="e">
        <f>IF(OR(W$27="",ISERROR($A45)),NA(),HLOOKUP(W$27,MODEL_MATRIX!$C$1:$AA$71,ROW()-ROW(V$26),0))</f>
        <v>#N/A</v>
      </c>
      <c r="X45" t="e">
        <f>IF(OR(X$27="",ISERROR($A45)),NA(),HLOOKUP(X$27,MODEL_MATRIX!$C$1:$AA$71,ROW()-ROW(W$26),0))</f>
        <v>#N/A</v>
      </c>
      <c r="Y45" t="e">
        <f>IF(OR(Y$27="",ISERROR($A45)),NA(),HLOOKUP(Y$27,MODEL_MATRIX!$C$1:$AA$71,ROW()-ROW(X$26),0))</f>
        <v>#N/A</v>
      </c>
      <c r="Z45" t="e">
        <f>IF(OR(Z$27="",ISERROR($A45)),NA(),HLOOKUP(Z$27,MODEL_MATRIX!$C$1:$AA$71,ROW()-ROW(Y$26),0))</f>
        <v>#N/A</v>
      </c>
    </row>
    <row r="46" spans="1:44" hidden="1" x14ac:dyDescent="0.25">
      <c r="A46">
        <f>IF(MODEL_MATRIX!B20="",NA(),MODEL_MATRIX!B20)</f>
        <v>5.8781730187500001</v>
      </c>
      <c r="B46">
        <f ca="1">IF(OR(B$27="",ISERROR($A46)),NA(),HLOOKUP(B$27,MODEL_MATRIX!$C$1:$AA$71,ROW()-ROW(A$26),0))</f>
        <v>-1</v>
      </c>
      <c r="C46">
        <f ca="1">IF(OR(C$27="",ISERROR($A46)),NA(),HLOOKUP(C$27,MODEL_MATRIX!$C$1:$AA$71,ROW()-ROW(B$26),0))</f>
        <v>-1</v>
      </c>
      <c r="D46">
        <f ca="1">IF(OR(D$27="",ISERROR($A46)),NA(),HLOOKUP(D$27,MODEL_MATRIX!$C$1:$AA$71,ROW()-ROW(C$26),0))</f>
        <v>1</v>
      </c>
      <c r="E46" t="e">
        <f>IF(OR(E$27="",ISERROR($A46)),NA(),HLOOKUP(E$27,MODEL_MATRIX!$C$1:$AA$71,ROW()-ROW(D$26),0))</f>
        <v>#N/A</v>
      </c>
      <c r="F46" t="e">
        <f>IF(OR(F$27="",ISERROR($A46)),NA(),HLOOKUP(F$27,MODEL_MATRIX!$C$1:$AA$71,ROW()-ROW(E$26),0))</f>
        <v>#N/A</v>
      </c>
      <c r="G46" t="e">
        <f>IF(OR(G$27="",ISERROR($A46)),NA(),HLOOKUP(G$27,MODEL_MATRIX!$C$1:$AA$71,ROW()-ROW(F$26),0))</f>
        <v>#N/A</v>
      </c>
      <c r="H46" t="e">
        <f>IF(OR(H$27="",ISERROR($A46)),NA(),HLOOKUP(H$27,MODEL_MATRIX!$C$1:$AA$71,ROW()-ROW(G$26),0))</f>
        <v>#N/A</v>
      </c>
      <c r="I46" t="e">
        <f>IF(OR(I$27="",ISERROR($A46)),NA(),HLOOKUP(I$27,MODEL_MATRIX!$C$1:$AA$71,ROW()-ROW(H$26),0))</f>
        <v>#N/A</v>
      </c>
      <c r="J46" t="e">
        <f>IF(OR(J$27="",ISERROR($A46)),NA(),HLOOKUP(J$27,MODEL_MATRIX!$C$1:$AA$71,ROW()-ROW(I$26),0))</f>
        <v>#N/A</v>
      </c>
      <c r="K46" t="e">
        <f>IF(OR(K$27="",ISERROR($A46)),NA(),HLOOKUP(K$27,MODEL_MATRIX!$C$1:$AA$71,ROW()-ROW(J$26),0))</f>
        <v>#N/A</v>
      </c>
      <c r="L46" t="e">
        <f>IF(OR(L$27="",ISERROR($A46)),NA(),HLOOKUP(L$27,MODEL_MATRIX!$C$1:$AA$71,ROW()-ROW(K$26),0))</f>
        <v>#N/A</v>
      </c>
      <c r="M46" t="e">
        <f>IF(OR(M$27="",ISERROR($A46)),NA(),HLOOKUP(M$27,MODEL_MATRIX!$C$1:$AA$71,ROW()-ROW(L$26),0))</f>
        <v>#N/A</v>
      </c>
      <c r="N46" t="e">
        <f>IF(OR(N$27="",ISERROR($A46)),NA(),HLOOKUP(N$27,MODEL_MATRIX!$C$1:$AA$71,ROW()-ROW(M$26),0))</f>
        <v>#N/A</v>
      </c>
      <c r="O46" t="e">
        <f>IF(OR(O$27="",ISERROR($A46)),NA(),HLOOKUP(O$27,MODEL_MATRIX!$C$1:$AA$71,ROW()-ROW(N$26),0))</f>
        <v>#N/A</v>
      </c>
      <c r="P46" t="e">
        <f>IF(OR(P$27="",ISERROR($A46)),NA(),HLOOKUP(P$27,MODEL_MATRIX!$C$1:$AA$71,ROW()-ROW(O$26),0))</f>
        <v>#N/A</v>
      </c>
      <c r="Q46" t="e">
        <f>IF(OR(Q$27="",ISERROR($A46)),NA(),HLOOKUP(Q$27,MODEL_MATRIX!$C$1:$AA$71,ROW()-ROW(P$26),0))</f>
        <v>#N/A</v>
      </c>
      <c r="R46" t="e">
        <f>IF(OR(R$27="",ISERROR($A46)),NA(),HLOOKUP(R$27,MODEL_MATRIX!$C$1:$AA$71,ROW()-ROW(Q$26),0))</f>
        <v>#N/A</v>
      </c>
      <c r="S46" t="e">
        <f>IF(OR(S$27="",ISERROR($A46)),NA(),HLOOKUP(S$27,MODEL_MATRIX!$C$1:$AA$71,ROW()-ROW(R$26),0))</f>
        <v>#N/A</v>
      </c>
      <c r="T46" t="e">
        <f>IF(OR(T$27="",ISERROR($A46)),NA(),HLOOKUP(T$27,MODEL_MATRIX!$C$1:$AA$71,ROW()-ROW(S$26),0))</f>
        <v>#N/A</v>
      </c>
      <c r="U46" t="e">
        <f>IF(OR(U$27="",ISERROR($A46)),NA(),HLOOKUP(U$27,MODEL_MATRIX!$C$1:$AA$71,ROW()-ROW(T$26),0))</f>
        <v>#N/A</v>
      </c>
      <c r="V46" t="e">
        <f>IF(OR(V$27="",ISERROR($A46)),NA(),HLOOKUP(V$27,MODEL_MATRIX!$C$1:$AA$71,ROW()-ROW(U$26),0))</f>
        <v>#N/A</v>
      </c>
      <c r="W46" t="e">
        <f>IF(OR(W$27="",ISERROR($A46)),NA(),HLOOKUP(W$27,MODEL_MATRIX!$C$1:$AA$71,ROW()-ROW(V$26),0))</f>
        <v>#N/A</v>
      </c>
      <c r="X46" t="e">
        <f>IF(OR(X$27="",ISERROR($A46)),NA(),HLOOKUP(X$27,MODEL_MATRIX!$C$1:$AA$71,ROW()-ROW(W$26),0))</f>
        <v>#N/A</v>
      </c>
      <c r="Y46" t="e">
        <f>IF(OR(Y$27="",ISERROR($A46)),NA(),HLOOKUP(Y$27,MODEL_MATRIX!$C$1:$AA$71,ROW()-ROW(X$26),0))</f>
        <v>#N/A</v>
      </c>
      <c r="Z46" t="e">
        <f>IF(OR(Z$27="",ISERROR($A46)),NA(),HLOOKUP(Z$27,MODEL_MATRIX!$C$1:$AA$71,ROW()-ROW(Y$26),0))</f>
        <v>#N/A</v>
      </c>
    </row>
    <row r="47" spans="1:44" hidden="1" x14ac:dyDescent="0.25">
      <c r="A47">
        <f>IF(MODEL_MATRIX!B21="",NA(),MODEL_MATRIX!B21)</f>
        <v>5.2625435187500003</v>
      </c>
      <c r="B47">
        <f ca="1">IF(OR(B$27="",ISERROR($A47)),NA(),HLOOKUP(B$27,MODEL_MATRIX!$C$1:$AA$71,ROW()-ROW(A$26),0))</f>
        <v>1</v>
      </c>
      <c r="C47">
        <f ca="1">IF(OR(C$27="",ISERROR($A47)),NA(),HLOOKUP(C$27,MODEL_MATRIX!$C$1:$AA$71,ROW()-ROW(B$26),0))</f>
        <v>-1</v>
      </c>
      <c r="D47">
        <f ca="1">IF(OR(D$27="",ISERROR($A47)),NA(),HLOOKUP(D$27,MODEL_MATRIX!$C$1:$AA$71,ROW()-ROW(C$26),0))</f>
        <v>1</v>
      </c>
      <c r="E47" t="e">
        <f>IF(OR(E$27="",ISERROR($A47)),NA(),HLOOKUP(E$27,MODEL_MATRIX!$C$1:$AA$71,ROW()-ROW(D$26),0))</f>
        <v>#N/A</v>
      </c>
      <c r="F47" t="e">
        <f>IF(OR(F$27="",ISERROR($A47)),NA(),HLOOKUP(F$27,MODEL_MATRIX!$C$1:$AA$71,ROW()-ROW(E$26),0))</f>
        <v>#N/A</v>
      </c>
      <c r="G47" t="e">
        <f>IF(OR(G$27="",ISERROR($A47)),NA(),HLOOKUP(G$27,MODEL_MATRIX!$C$1:$AA$71,ROW()-ROW(F$26),0))</f>
        <v>#N/A</v>
      </c>
      <c r="H47" t="e">
        <f>IF(OR(H$27="",ISERROR($A47)),NA(),HLOOKUP(H$27,MODEL_MATRIX!$C$1:$AA$71,ROW()-ROW(G$26),0))</f>
        <v>#N/A</v>
      </c>
      <c r="I47" t="e">
        <f>IF(OR(I$27="",ISERROR($A47)),NA(),HLOOKUP(I$27,MODEL_MATRIX!$C$1:$AA$71,ROW()-ROW(H$26),0))</f>
        <v>#N/A</v>
      </c>
      <c r="J47" t="e">
        <f>IF(OR(J$27="",ISERROR($A47)),NA(),HLOOKUP(J$27,MODEL_MATRIX!$C$1:$AA$71,ROW()-ROW(I$26),0))</f>
        <v>#N/A</v>
      </c>
      <c r="K47" t="e">
        <f>IF(OR(K$27="",ISERROR($A47)),NA(),HLOOKUP(K$27,MODEL_MATRIX!$C$1:$AA$71,ROW()-ROW(J$26),0))</f>
        <v>#N/A</v>
      </c>
      <c r="L47" t="e">
        <f>IF(OR(L$27="",ISERROR($A47)),NA(),HLOOKUP(L$27,MODEL_MATRIX!$C$1:$AA$71,ROW()-ROW(K$26),0))</f>
        <v>#N/A</v>
      </c>
      <c r="M47" t="e">
        <f>IF(OR(M$27="",ISERROR($A47)),NA(),HLOOKUP(M$27,MODEL_MATRIX!$C$1:$AA$71,ROW()-ROW(L$26),0))</f>
        <v>#N/A</v>
      </c>
      <c r="N47" t="e">
        <f>IF(OR(N$27="",ISERROR($A47)),NA(),HLOOKUP(N$27,MODEL_MATRIX!$C$1:$AA$71,ROW()-ROW(M$26),0))</f>
        <v>#N/A</v>
      </c>
      <c r="O47" t="e">
        <f>IF(OR(O$27="",ISERROR($A47)),NA(),HLOOKUP(O$27,MODEL_MATRIX!$C$1:$AA$71,ROW()-ROW(N$26),0))</f>
        <v>#N/A</v>
      </c>
      <c r="P47" t="e">
        <f>IF(OR(P$27="",ISERROR($A47)),NA(),HLOOKUP(P$27,MODEL_MATRIX!$C$1:$AA$71,ROW()-ROW(O$26),0))</f>
        <v>#N/A</v>
      </c>
      <c r="Q47" t="e">
        <f>IF(OR(Q$27="",ISERROR($A47)),NA(),HLOOKUP(Q$27,MODEL_MATRIX!$C$1:$AA$71,ROW()-ROW(P$26),0))</f>
        <v>#N/A</v>
      </c>
      <c r="R47" t="e">
        <f>IF(OR(R$27="",ISERROR($A47)),NA(),HLOOKUP(R$27,MODEL_MATRIX!$C$1:$AA$71,ROW()-ROW(Q$26),0))</f>
        <v>#N/A</v>
      </c>
      <c r="S47" t="e">
        <f>IF(OR(S$27="",ISERROR($A47)),NA(),HLOOKUP(S$27,MODEL_MATRIX!$C$1:$AA$71,ROW()-ROW(R$26),0))</f>
        <v>#N/A</v>
      </c>
      <c r="T47" t="e">
        <f>IF(OR(T$27="",ISERROR($A47)),NA(),HLOOKUP(T$27,MODEL_MATRIX!$C$1:$AA$71,ROW()-ROW(S$26),0))</f>
        <v>#N/A</v>
      </c>
      <c r="U47" t="e">
        <f>IF(OR(U$27="",ISERROR($A47)),NA(),HLOOKUP(U$27,MODEL_MATRIX!$C$1:$AA$71,ROW()-ROW(T$26),0))</f>
        <v>#N/A</v>
      </c>
      <c r="V47" t="e">
        <f>IF(OR(V$27="",ISERROR($A47)),NA(),HLOOKUP(V$27,MODEL_MATRIX!$C$1:$AA$71,ROW()-ROW(U$26),0))</f>
        <v>#N/A</v>
      </c>
      <c r="W47" t="e">
        <f>IF(OR(W$27="",ISERROR($A47)),NA(),HLOOKUP(W$27,MODEL_MATRIX!$C$1:$AA$71,ROW()-ROW(V$26),0))</f>
        <v>#N/A</v>
      </c>
      <c r="X47" t="e">
        <f>IF(OR(X$27="",ISERROR($A47)),NA(),HLOOKUP(X$27,MODEL_MATRIX!$C$1:$AA$71,ROW()-ROW(W$26),0))</f>
        <v>#N/A</v>
      </c>
      <c r="Y47" t="e">
        <f>IF(OR(Y$27="",ISERROR($A47)),NA(),HLOOKUP(Y$27,MODEL_MATRIX!$C$1:$AA$71,ROW()-ROW(X$26),0))</f>
        <v>#N/A</v>
      </c>
      <c r="Z47" t="e">
        <f>IF(OR(Z$27="",ISERROR($A47)),NA(),HLOOKUP(Z$27,MODEL_MATRIX!$C$1:$AA$71,ROW()-ROW(Y$26),0))</f>
        <v>#N/A</v>
      </c>
    </row>
    <row r="48" spans="1:44" hidden="1" x14ac:dyDescent="0.25">
      <c r="A48">
        <f>IF(MODEL_MATRIX!B22="",NA(),MODEL_MATRIX!B22)</f>
        <v>6.6597015187500004</v>
      </c>
      <c r="B48">
        <f ca="1">IF(OR(B$27="",ISERROR($A48)),NA(),HLOOKUP(B$27,MODEL_MATRIX!$C$1:$AA$71,ROW()-ROW(A$26),0))</f>
        <v>-1</v>
      </c>
      <c r="C48">
        <f ca="1">IF(OR(C$27="",ISERROR($A48)),NA(),HLOOKUP(C$27,MODEL_MATRIX!$C$1:$AA$71,ROW()-ROW(B$26),0))</f>
        <v>1</v>
      </c>
      <c r="D48">
        <f ca="1">IF(OR(D$27="",ISERROR($A48)),NA(),HLOOKUP(D$27,MODEL_MATRIX!$C$1:$AA$71,ROW()-ROW(C$26),0))</f>
        <v>1</v>
      </c>
      <c r="E48" t="e">
        <f>IF(OR(E$27="",ISERROR($A48)),NA(),HLOOKUP(E$27,MODEL_MATRIX!$C$1:$AA$71,ROW()-ROW(D$26),0))</f>
        <v>#N/A</v>
      </c>
      <c r="F48" t="e">
        <f>IF(OR(F$27="",ISERROR($A48)),NA(),HLOOKUP(F$27,MODEL_MATRIX!$C$1:$AA$71,ROW()-ROW(E$26),0))</f>
        <v>#N/A</v>
      </c>
      <c r="G48" t="e">
        <f>IF(OR(G$27="",ISERROR($A48)),NA(),HLOOKUP(G$27,MODEL_MATRIX!$C$1:$AA$71,ROW()-ROW(F$26),0))</f>
        <v>#N/A</v>
      </c>
      <c r="H48" t="e">
        <f>IF(OR(H$27="",ISERROR($A48)),NA(),HLOOKUP(H$27,MODEL_MATRIX!$C$1:$AA$71,ROW()-ROW(G$26),0))</f>
        <v>#N/A</v>
      </c>
      <c r="I48" t="e">
        <f>IF(OR(I$27="",ISERROR($A48)),NA(),HLOOKUP(I$27,MODEL_MATRIX!$C$1:$AA$71,ROW()-ROW(H$26),0))</f>
        <v>#N/A</v>
      </c>
      <c r="J48" t="e">
        <f>IF(OR(J$27="",ISERROR($A48)),NA(),HLOOKUP(J$27,MODEL_MATRIX!$C$1:$AA$71,ROW()-ROW(I$26),0))</f>
        <v>#N/A</v>
      </c>
      <c r="K48" t="e">
        <f>IF(OR(K$27="",ISERROR($A48)),NA(),HLOOKUP(K$27,MODEL_MATRIX!$C$1:$AA$71,ROW()-ROW(J$26),0))</f>
        <v>#N/A</v>
      </c>
      <c r="L48" t="e">
        <f>IF(OR(L$27="",ISERROR($A48)),NA(),HLOOKUP(L$27,MODEL_MATRIX!$C$1:$AA$71,ROW()-ROW(K$26),0))</f>
        <v>#N/A</v>
      </c>
      <c r="M48" t="e">
        <f>IF(OR(M$27="",ISERROR($A48)),NA(),HLOOKUP(M$27,MODEL_MATRIX!$C$1:$AA$71,ROW()-ROW(L$26),0))</f>
        <v>#N/A</v>
      </c>
      <c r="N48" t="e">
        <f>IF(OR(N$27="",ISERROR($A48)),NA(),HLOOKUP(N$27,MODEL_MATRIX!$C$1:$AA$71,ROW()-ROW(M$26),0))</f>
        <v>#N/A</v>
      </c>
      <c r="O48" t="e">
        <f>IF(OR(O$27="",ISERROR($A48)),NA(),HLOOKUP(O$27,MODEL_MATRIX!$C$1:$AA$71,ROW()-ROW(N$26),0))</f>
        <v>#N/A</v>
      </c>
      <c r="P48" t="e">
        <f>IF(OR(P$27="",ISERROR($A48)),NA(),HLOOKUP(P$27,MODEL_MATRIX!$C$1:$AA$71,ROW()-ROW(O$26),0))</f>
        <v>#N/A</v>
      </c>
      <c r="Q48" t="e">
        <f>IF(OR(Q$27="",ISERROR($A48)),NA(),HLOOKUP(Q$27,MODEL_MATRIX!$C$1:$AA$71,ROW()-ROW(P$26),0))</f>
        <v>#N/A</v>
      </c>
      <c r="R48" t="e">
        <f>IF(OR(R$27="",ISERROR($A48)),NA(),HLOOKUP(R$27,MODEL_MATRIX!$C$1:$AA$71,ROW()-ROW(Q$26),0))</f>
        <v>#N/A</v>
      </c>
      <c r="S48" t="e">
        <f>IF(OR(S$27="",ISERROR($A48)),NA(),HLOOKUP(S$27,MODEL_MATRIX!$C$1:$AA$71,ROW()-ROW(R$26),0))</f>
        <v>#N/A</v>
      </c>
      <c r="T48" t="e">
        <f>IF(OR(T$27="",ISERROR($A48)),NA(),HLOOKUP(T$27,MODEL_MATRIX!$C$1:$AA$71,ROW()-ROW(S$26),0))</f>
        <v>#N/A</v>
      </c>
      <c r="U48" t="e">
        <f>IF(OR(U$27="",ISERROR($A48)),NA(),HLOOKUP(U$27,MODEL_MATRIX!$C$1:$AA$71,ROW()-ROW(T$26),0))</f>
        <v>#N/A</v>
      </c>
      <c r="V48" t="e">
        <f>IF(OR(V$27="",ISERROR($A48)),NA(),HLOOKUP(V$27,MODEL_MATRIX!$C$1:$AA$71,ROW()-ROW(U$26),0))</f>
        <v>#N/A</v>
      </c>
      <c r="W48" t="e">
        <f>IF(OR(W$27="",ISERROR($A48)),NA(),HLOOKUP(W$27,MODEL_MATRIX!$C$1:$AA$71,ROW()-ROW(V$26),0))</f>
        <v>#N/A</v>
      </c>
      <c r="X48" t="e">
        <f>IF(OR(X$27="",ISERROR($A48)),NA(),HLOOKUP(X$27,MODEL_MATRIX!$C$1:$AA$71,ROW()-ROW(W$26),0))</f>
        <v>#N/A</v>
      </c>
      <c r="Y48" t="e">
        <f>IF(OR(Y$27="",ISERROR($A48)),NA(),HLOOKUP(Y$27,MODEL_MATRIX!$C$1:$AA$71,ROW()-ROW(X$26),0))</f>
        <v>#N/A</v>
      </c>
      <c r="Z48" t="e">
        <f>IF(OR(Z$27="",ISERROR($A48)),NA(),HLOOKUP(Z$27,MODEL_MATRIX!$C$1:$AA$71,ROW()-ROW(Y$26),0))</f>
        <v>#N/A</v>
      </c>
    </row>
    <row r="49" spans="1:26" hidden="1" x14ac:dyDescent="0.25">
      <c r="A49">
        <f>IF(MODEL_MATRIX!B23="",NA(),MODEL_MATRIX!B23)</f>
        <v>8.10153251875</v>
      </c>
      <c r="B49">
        <f ca="1">IF(OR(B$27="",ISERROR($A49)),NA(),HLOOKUP(B$27,MODEL_MATRIX!$C$1:$AA$71,ROW()-ROW(A$26),0))</f>
        <v>1</v>
      </c>
      <c r="C49">
        <f ca="1">IF(OR(C$27="",ISERROR($A49)),NA(),HLOOKUP(C$27,MODEL_MATRIX!$C$1:$AA$71,ROW()-ROW(B$26),0))</f>
        <v>1</v>
      </c>
      <c r="D49">
        <f ca="1">IF(OR(D$27="",ISERROR($A49)),NA(),HLOOKUP(D$27,MODEL_MATRIX!$C$1:$AA$71,ROW()-ROW(C$26),0))</f>
        <v>1</v>
      </c>
      <c r="E49" t="e">
        <f>IF(OR(E$27="",ISERROR($A49)),NA(),HLOOKUP(E$27,MODEL_MATRIX!$C$1:$AA$71,ROW()-ROW(D$26),0))</f>
        <v>#N/A</v>
      </c>
      <c r="F49" t="e">
        <f>IF(OR(F$27="",ISERROR($A49)),NA(),HLOOKUP(F$27,MODEL_MATRIX!$C$1:$AA$71,ROW()-ROW(E$26),0))</f>
        <v>#N/A</v>
      </c>
      <c r="G49" t="e">
        <f>IF(OR(G$27="",ISERROR($A49)),NA(),HLOOKUP(G$27,MODEL_MATRIX!$C$1:$AA$71,ROW()-ROW(F$26),0))</f>
        <v>#N/A</v>
      </c>
      <c r="H49" t="e">
        <f>IF(OR(H$27="",ISERROR($A49)),NA(),HLOOKUP(H$27,MODEL_MATRIX!$C$1:$AA$71,ROW()-ROW(G$26),0))</f>
        <v>#N/A</v>
      </c>
      <c r="I49" t="e">
        <f>IF(OR(I$27="",ISERROR($A49)),NA(),HLOOKUP(I$27,MODEL_MATRIX!$C$1:$AA$71,ROW()-ROW(H$26),0))</f>
        <v>#N/A</v>
      </c>
      <c r="J49" t="e">
        <f>IF(OR(J$27="",ISERROR($A49)),NA(),HLOOKUP(J$27,MODEL_MATRIX!$C$1:$AA$71,ROW()-ROW(I$26),0))</f>
        <v>#N/A</v>
      </c>
      <c r="K49" t="e">
        <f>IF(OR(K$27="",ISERROR($A49)),NA(),HLOOKUP(K$27,MODEL_MATRIX!$C$1:$AA$71,ROW()-ROW(J$26),0))</f>
        <v>#N/A</v>
      </c>
      <c r="L49" t="e">
        <f>IF(OR(L$27="",ISERROR($A49)),NA(),HLOOKUP(L$27,MODEL_MATRIX!$C$1:$AA$71,ROW()-ROW(K$26),0))</f>
        <v>#N/A</v>
      </c>
      <c r="M49" t="e">
        <f>IF(OR(M$27="",ISERROR($A49)),NA(),HLOOKUP(M$27,MODEL_MATRIX!$C$1:$AA$71,ROW()-ROW(L$26),0))</f>
        <v>#N/A</v>
      </c>
      <c r="N49" t="e">
        <f>IF(OR(N$27="",ISERROR($A49)),NA(),HLOOKUP(N$27,MODEL_MATRIX!$C$1:$AA$71,ROW()-ROW(M$26),0))</f>
        <v>#N/A</v>
      </c>
      <c r="O49" t="e">
        <f>IF(OR(O$27="",ISERROR($A49)),NA(),HLOOKUP(O$27,MODEL_MATRIX!$C$1:$AA$71,ROW()-ROW(N$26),0))</f>
        <v>#N/A</v>
      </c>
      <c r="P49" t="e">
        <f>IF(OR(P$27="",ISERROR($A49)),NA(),HLOOKUP(P$27,MODEL_MATRIX!$C$1:$AA$71,ROW()-ROW(O$26),0))</f>
        <v>#N/A</v>
      </c>
      <c r="Q49" t="e">
        <f>IF(OR(Q$27="",ISERROR($A49)),NA(),HLOOKUP(Q$27,MODEL_MATRIX!$C$1:$AA$71,ROW()-ROW(P$26),0))</f>
        <v>#N/A</v>
      </c>
      <c r="R49" t="e">
        <f>IF(OR(R$27="",ISERROR($A49)),NA(),HLOOKUP(R$27,MODEL_MATRIX!$C$1:$AA$71,ROW()-ROW(Q$26),0))</f>
        <v>#N/A</v>
      </c>
      <c r="S49" t="e">
        <f>IF(OR(S$27="",ISERROR($A49)),NA(),HLOOKUP(S$27,MODEL_MATRIX!$C$1:$AA$71,ROW()-ROW(R$26),0))</f>
        <v>#N/A</v>
      </c>
      <c r="T49" t="e">
        <f>IF(OR(T$27="",ISERROR($A49)),NA(),HLOOKUP(T$27,MODEL_MATRIX!$C$1:$AA$71,ROW()-ROW(S$26),0))</f>
        <v>#N/A</v>
      </c>
      <c r="U49" t="e">
        <f>IF(OR(U$27="",ISERROR($A49)),NA(),HLOOKUP(U$27,MODEL_MATRIX!$C$1:$AA$71,ROW()-ROW(T$26),0))</f>
        <v>#N/A</v>
      </c>
      <c r="V49" t="e">
        <f>IF(OR(V$27="",ISERROR($A49)),NA(),HLOOKUP(V$27,MODEL_MATRIX!$C$1:$AA$71,ROW()-ROW(U$26),0))</f>
        <v>#N/A</v>
      </c>
      <c r="W49" t="e">
        <f>IF(OR(W$27="",ISERROR($A49)),NA(),HLOOKUP(W$27,MODEL_MATRIX!$C$1:$AA$71,ROW()-ROW(V$26),0))</f>
        <v>#N/A</v>
      </c>
      <c r="X49" t="e">
        <f>IF(OR(X$27="",ISERROR($A49)),NA(),HLOOKUP(X$27,MODEL_MATRIX!$C$1:$AA$71,ROW()-ROW(W$26),0))</f>
        <v>#N/A</v>
      </c>
      <c r="Y49" t="e">
        <f>IF(OR(Y$27="",ISERROR($A49)),NA(),HLOOKUP(Y$27,MODEL_MATRIX!$C$1:$AA$71,ROW()-ROW(X$26),0))</f>
        <v>#N/A</v>
      </c>
      <c r="Z49" t="e">
        <f>IF(OR(Z$27="",ISERROR($A49)),NA(),HLOOKUP(Z$27,MODEL_MATRIX!$C$1:$AA$71,ROW()-ROW(Y$26),0))</f>
        <v>#N/A</v>
      </c>
    </row>
    <row r="50" spans="1:26" hidden="1" x14ac:dyDescent="0.25">
      <c r="A50">
        <f>IF(MODEL_MATRIX!B24="",NA(),MODEL_MATRIX!B24)</f>
        <v>8.9268260187500008</v>
      </c>
      <c r="B50">
        <f ca="1">IF(OR(B$27="",ISERROR($A50)),NA(),HLOOKUP(B$27,MODEL_MATRIX!$C$1:$AA$71,ROW()-ROW(A$26),0))</f>
        <v>-1</v>
      </c>
      <c r="C50">
        <f ca="1">IF(OR(C$27="",ISERROR($A50)),NA(),HLOOKUP(C$27,MODEL_MATRIX!$C$1:$AA$71,ROW()-ROW(B$26),0))</f>
        <v>1</v>
      </c>
      <c r="D50">
        <f ca="1">IF(OR(D$27="",ISERROR($A50)),NA(),HLOOKUP(D$27,MODEL_MATRIX!$C$1:$AA$71,ROW()-ROW(C$26),0))</f>
        <v>1</v>
      </c>
      <c r="E50" t="e">
        <f>IF(OR(E$27="",ISERROR($A50)),NA(),HLOOKUP(E$27,MODEL_MATRIX!$C$1:$AA$71,ROW()-ROW(D$26),0))</f>
        <v>#N/A</v>
      </c>
      <c r="F50" t="e">
        <f>IF(OR(F$27="",ISERROR($A50)),NA(),HLOOKUP(F$27,MODEL_MATRIX!$C$1:$AA$71,ROW()-ROW(E$26),0))</f>
        <v>#N/A</v>
      </c>
      <c r="G50" t="e">
        <f>IF(OR(G$27="",ISERROR($A50)),NA(),HLOOKUP(G$27,MODEL_MATRIX!$C$1:$AA$71,ROW()-ROW(F$26),0))</f>
        <v>#N/A</v>
      </c>
      <c r="H50" t="e">
        <f>IF(OR(H$27="",ISERROR($A50)),NA(),HLOOKUP(H$27,MODEL_MATRIX!$C$1:$AA$71,ROW()-ROW(G$26),0))</f>
        <v>#N/A</v>
      </c>
      <c r="I50" t="e">
        <f>IF(OR(I$27="",ISERROR($A50)),NA(),HLOOKUP(I$27,MODEL_MATRIX!$C$1:$AA$71,ROW()-ROW(H$26),0))</f>
        <v>#N/A</v>
      </c>
      <c r="J50" t="e">
        <f>IF(OR(J$27="",ISERROR($A50)),NA(),HLOOKUP(J$27,MODEL_MATRIX!$C$1:$AA$71,ROW()-ROW(I$26),0))</f>
        <v>#N/A</v>
      </c>
      <c r="K50" t="e">
        <f>IF(OR(K$27="",ISERROR($A50)),NA(),HLOOKUP(K$27,MODEL_MATRIX!$C$1:$AA$71,ROW()-ROW(J$26),0))</f>
        <v>#N/A</v>
      </c>
      <c r="L50" t="e">
        <f>IF(OR(L$27="",ISERROR($A50)),NA(),HLOOKUP(L$27,MODEL_MATRIX!$C$1:$AA$71,ROW()-ROW(K$26),0))</f>
        <v>#N/A</v>
      </c>
      <c r="M50" t="e">
        <f>IF(OR(M$27="",ISERROR($A50)),NA(),HLOOKUP(M$27,MODEL_MATRIX!$C$1:$AA$71,ROW()-ROW(L$26),0))</f>
        <v>#N/A</v>
      </c>
      <c r="N50" t="e">
        <f>IF(OR(N$27="",ISERROR($A50)),NA(),HLOOKUP(N$27,MODEL_MATRIX!$C$1:$AA$71,ROW()-ROW(M$26),0))</f>
        <v>#N/A</v>
      </c>
      <c r="O50" t="e">
        <f>IF(OR(O$27="",ISERROR($A50)),NA(),HLOOKUP(O$27,MODEL_MATRIX!$C$1:$AA$71,ROW()-ROW(N$26),0))</f>
        <v>#N/A</v>
      </c>
      <c r="P50" t="e">
        <f>IF(OR(P$27="",ISERROR($A50)),NA(),HLOOKUP(P$27,MODEL_MATRIX!$C$1:$AA$71,ROW()-ROW(O$26),0))</f>
        <v>#N/A</v>
      </c>
      <c r="Q50" t="e">
        <f>IF(OR(Q$27="",ISERROR($A50)),NA(),HLOOKUP(Q$27,MODEL_MATRIX!$C$1:$AA$71,ROW()-ROW(P$26),0))</f>
        <v>#N/A</v>
      </c>
      <c r="R50" t="e">
        <f>IF(OR(R$27="",ISERROR($A50)),NA(),HLOOKUP(R$27,MODEL_MATRIX!$C$1:$AA$71,ROW()-ROW(Q$26),0))</f>
        <v>#N/A</v>
      </c>
      <c r="S50" t="e">
        <f>IF(OR(S$27="",ISERROR($A50)),NA(),HLOOKUP(S$27,MODEL_MATRIX!$C$1:$AA$71,ROW()-ROW(R$26),0))</f>
        <v>#N/A</v>
      </c>
      <c r="T50" t="e">
        <f>IF(OR(T$27="",ISERROR($A50)),NA(),HLOOKUP(T$27,MODEL_MATRIX!$C$1:$AA$71,ROW()-ROW(S$26),0))</f>
        <v>#N/A</v>
      </c>
      <c r="U50" t="e">
        <f>IF(OR(U$27="",ISERROR($A50)),NA(),HLOOKUP(U$27,MODEL_MATRIX!$C$1:$AA$71,ROW()-ROW(T$26),0))</f>
        <v>#N/A</v>
      </c>
      <c r="V50" t="e">
        <f>IF(OR(V$27="",ISERROR($A50)),NA(),HLOOKUP(V$27,MODEL_MATRIX!$C$1:$AA$71,ROW()-ROW(U$26),0))</f>
        <v>#N/A</v>
      </c>
      <c r="W50" t="e">
        <f>IF(OR(W$27="",ISERROR($A50)),NA(),HLOOKUP(W$27,MODEL_MATRIX!$C$1:$AA$71,ROW()-ROW(V$26),0))</f>
        <v>#N/A</v>
      </c>
      <c r="X50" t="e">
        <f>IF(OR(X$27="",ISERROR($A50)),NA(),HLOOKUP(X$27,MODEL_MATRIX!$C$1:$AA$71,ROW()-ROW(W$26),0))</f>
        <v>#N/A</v>
      </c>
      <c r="Y50" t="e">
        <f>IF(OR(Y$27="",ISERROR($A50)),NA(),HLOOKUP(Y$27,MODEL_MATRIX!$C$1:$AA$71,ROW()-ROW(X$26),0))</f>
        <v>#N/A</v>
      </c>
      <c r="Z50" t="e">
        <f>IF(OR(Z$27="",ISERROR($A50)),NA(),HLOOKUP(Z$27,MODEL_MATRIX!$C$1:$AA$71,ROW()-ROW(Y$26),0))</f>
        <v>#N/A</v>
      </c>
    </row>
    <row r="51" spans="1:26" hidden="1" x14ac:dyDescent="0.25">
      <c r="A51">
        <f>IF(MODEL_MATRIX!B25="",NA(),MODEL_MATRIX!B25)</f>
        <v>7.0592920187499999</v>
      </c>
      <c r="B51">
        <f ca="1">IF(OR(B$27="",ISERROR($A51)),NA(),HLOOKUP(B$27,MODEL_MATRIX!$C$1:$AA$71,ROW()-ROW(A$26),0))</f>
        <v>1</v>
      </c>
      <c r="C51">
        <f ca="1">IF(OR(C$27="",ISERROR($A51)),NA(),HLOOKUP(C$27,MODEL_MATRIX!$C$1:$AA$71,ROW()-ROW(B$26),0))</f>
        <v>1</v>
      </c>
      <c r="D51">
        <f ca="1">IF(OR(D$27="",ISERROR($A51)),NA(),HLOOKUP(D$27,MODEL_MATRIX!$C$1:$AA$71,ROW()-ROW(C$26),0))</f>
        <v>1</v>
      </c>
      <c r="E51" t="e">
        <f>IF(OR(E$27="",ISERROR($A51)),NA(),HLOOKUP(E$27,MODEL_MATRIX!$C$1:$AA$71,ROW()-ROW(D$26),0))</f>
        <v>#N/A</v>
      </c>
      <c r="F51" t="e">
        <f>IF(OR(F$27="",ISERROR($A51)),NA(),HLOOKUP(F$27,MODEL_MATRIX!$C$1:$AA$71,ROW()-ROW(E$26),0))</f>
        <v>#N/A</v>
      </c>
      <c r="G51" t="e">
        <f>IF(OR(G$27="",ISERROR($A51)),NA(),HLOOKUP(G$27,MODEL_MATRIX!$C$1:$AA$71,ROW()-ROW(F$26),0))</f>
        <v>#N/A</v>
      </c>
      <c r="H51" t="e">
        <f>IF(OR(H$27="",ISERROR($A51)),NA(),HLOOKUP(H$27,MODEL_MATRIX!$C$1:$AA$71,ROW()-ROW(G$26),0))</f>
        <v>#N/A</v>
      </c>
      <c r="I51" t="e">
        <f>IF(OR(I$27="",ISERROR($A51)),NA(),HLOOKUP(I$27,MODEL_MATRIX!$C$1:$AA$71,ROW()-ROW(H$26),0))</f>
        <v>#N/A</v>
      </c>
      <c r="J51" t="e">
        <f>IF(OR(J$27="",ISERROR($A51)),NA(),HLOOKUP(J$27,MODEL_MATRIX!$C$1:$AA$71,ROW()-ROW(I$26),0))</f>
        <v>#N/A</v>
      </c>
      <c r="K51" t="e">
        <f>IF(OR(K$27="",ISERROR($A51)),NA(),HLOOKUP(K$27,MODEL_MATRIX!$C$1:$AA$71,ROW()-ROW(J$26),0))</f>
        <v>#N/A</v>
      </c>
      <c r="L51" t="e">
        <f>IF(OR(L$27="",ISERROR($A51)),NA(),HLOOKUP(L$27,MODEL_MATRIX!$C$1:$AA$71,ROW()-ROW(K$26),0))</f>
        <v>#N/A</v>
      </c>
      <c r="M51" t="e">
        <f>IF(OR(M$27="",ISERROR($A51)),NA(),HLOOKUP(M$27,MODEL_MATRIX!$C$1:$AA$71,ROW()-ROW(L$26),0))</f>
        <v>#N/A</v>
      </c>
      <c r="N51" t="e">
        <f>IF(OR(N$27="",ISERROR($A51)),NA(),HLOOKUP(N$27,MODEL_MATRIX!$C$1:$AA$71,ROW()-ROW(M$26),0))</f>
        <v>#N/A</v>
      </c>
      <c r="O51" t="e">
        <f>IF(OR(O$27="",ISERROR($A51)),NA(),HLOOKUP(O$27,MODEL_MATRIX!$C$1:$AA$71,ROW()-ROW(N$26),0))</f>
        <v>#N/A</v>
      </c>
      <c r="P51" t="e">
        <f>IF(OR(P$27="",ISERROR($A51)),NA(),HLOOKUP(P$27,MODEL_MATRIX!$C$1:$AA$71,ROW()-ROW(O$26),0))</f>
        <v>#N/A</v>
      </c>
      <c r="Q51" t="e">
        <f>IF(OR(Q$27="",ISERROR($A51)),NA(),HLOOKUP(Q$27,MODEL_MATRIX!$C$1:$AA$71,ROW()-ROW(P$26),0))</f>
        <v>#N/A</v>
      </c>
      <c r="R51" t="e">
        <f>IF(OR(R$27="",ISERROR($A51)),NA(),HLOOKUP(R$27,MODEL_MATRIX!$C$1:$AA$71,ROW()-ROW(Q$26),0))</f>
        <v>#N/A</v>
      </c>
      <c r="S51" t="e">
        <f>IF(OR(S$27="",ISERROR($A51)),NA(),HLOOKUP(S$27,MODEL_MATRIX!$C$1:$AA$71,ROW()-ROW(R$26),0))</f>
        <v>#N/A</v>
      </c>
      <c r="T51" t="e">
        <f>IF(OR(T$27="",ISERROR($A51)),NA(),HLOOKUP(T$27,MODEL_MATRIX!$C$1:$AA$71,ROW()-ROW(S$26),0))</f>
        <v>#N/A</v>
      </c>
      <c r="U51" t="e">
        <f>IF(OR(U$27="",ISERROR($A51)),NA(),HLOOKUP(U$27,MODEL_MATRIX!$C$1:$AA$71,ROW()-ROW(T$26),0))</f>
        <v>#N/A</v>
      </c>
      <c r="V51" t="e">
        <f>IF(OR(V$27="",ISERROR($A51)),NA(),HLOOKUP(V$27,MODEL_MATRIX!$C$1:$AA$71,ROW()-ROW(U$26),0))</f>
        <v>#N/A</v>
      </c>
      <c r="W51" t="e">
        <f>IF(OR(W$27="",ISERROR($A51)),NA(),HLOOKUP(W$27,MODEL_MATRIX!$C$1:$AA$71,ROW()-ROW(V$26),0))</f>
        <v>#N/A</v>
      </c>
      <c r="X51" t="e">
        <f>IF(OR(X$27="",ISERROR($A51)),NA(),HLOOKUP(X$27,MODEL_MATRIX!$C$1:$AA$71,ROW()-ROW(W$26),0))</f>
        <v>#N/A</v>
      </c>
      <c r="Y51" t="e">
        <f>IF(OR(Y$27="",ISERROR($A51)),NA(),HLOOKUP(Y$27,MODEL_MATRIX!$C$1:$AA$71,ROW()-ROW(X$26),0))</f>
        <v>#N/A</v>
      </c>
      <c r="Z51" t="e">
        <f>IF(OR(Z$27="",ISERROR($A51)),NA(),HLOOKUP(Z$27,MODEL_MATRIX!$C$1:$AA$71,ROW()-ROW(Y$26),0))</f>
        <v>#N/A</v>
      </c>
    </row>
    <row r="52" spans="1:26" hidden="1" x14ac:dyDescent="0.25">
      <c r="A52">
        <f>IF(MODEL_MATRIX!B26="",NA(),MODEL_MATRIX!B26)</f>
        <v>4.4412020187500003</v>
      </c>
      <c r="B52">
        <f ca="1">IF(OR(B$27="",ISERROR($A52)),NA(),HLOOKUP(B$27,MODEL_MATRIX!$C$1:$AA$71,ROW()-ROW(A$26),0))</f>
        <v>-1</v>
      </c>
      <c r="C52">
        <f ca="1">IF(OR(C$27="",ISERROR($A52)),NA(),HLOOKUP(C$27,MODEL_MATRIX!$C$1:$AA$71,ROW()-ROW(B$26),0))</f>
        <v>-1</v>
      </c>
      <c r="D52">
        <f ca="1">IF(OR(D$27="",ISERROR($A52)),NA(),HLOOKUP(D$27,MODEL_MATRIX!$C$1:$AA$71,ROW()-ROW(C$26),0))</f>
        <v>1</v>
      </c>
      <c r="E52" t="e">
        <f>IF(OR(E$27="",ISERROR($A52)),NA(),HLOOKUP(E$27,MODEL_MATRIX!$C$1:$AA$71,ROW()-ROW(D$26),0))</f>
        <v>#N/A</v>
      </c>
      <c r="F52" t="e">
        <f>IF(OR(F$27="",ISERROR($A52)),NA(),HLOOKUP(F$27,MODEL_MATRIX!$C$1:$AA$71,ROW()-ROW(E$26),0))</f>
        <v>#N/A</v>
      </c>
      <c r="G52" t="e">
        <f>IF(OR(G$27="",ISERROR($A52)),NA(),HLOOKUP(G$27,MODEL_MATRIX!$C$1:$AA$71,ROW()-ROW(F$26),0))</f>
        <v>#N/A</v>
      </c>
      <c r="H52" t="e">
        <f>IF(OR(H$27="",ISERROR($A52)),NA(),HLOOKUP(H$27,MODEL_MATRIX!$C$1:$AA$71,ROW()-ROW(G$26),0))</f>
        <v>#N/A</v>
      </c>
      <c r="I52" t="e">
        <f>IF(OR(I$27="",ISERROR($A52)),NA(),HLOOKUP(I$27,MODEL_MATRIX!$C$1:$AA$71,ROW()-ROW(H$26),0))</f>
        <v>#N/A</v>
      </c>
      <c r="J52" t="e">
        <f>IF(OR(J$27="",ISERROR($A52)),NA(),HLOOKUP(J$27,MODEL_MATRIX!$C$1:$AA$71,ROW()-ROW(I$26),0))</f>
        <v>#N/A</v>
      </c>
      <c r="K52" t="e">
        <f>IF(OR(K$27="",ISERROR($A52)),NA(),HLOOKUP(K$27,MODEL_MATRIX!$C$1:$AA$71,ROW()-ROW(J$26),0))</f>
        <v>#N/A</v>
      </c>
      <c r="L52" t="e">
        <f>IF(OR(L$27="",ISERROR($A52)),NA(),HLOOKUP(L$27,MODEL_MATRIX!$C$1:$AA$71,ROW()-ROW(K$26),0))</f>
        <v>#N/A</v>
      </c>
      <c r="M52" t="e">
        <f>IF(OR(M$27="",ISERROR($A52)),NA(),HLOOKUP(M$27,MODEL_MATRIX!$C$1:$AA$71,ROW()-ROW(L$26),0))</f>
        <v>#N/A</v>
      </c>
      <c r="N52" t="e">
        <f>IF(OR(N$27="",ISERROR($A52)),NA(),HLOOKUP(N$27,MODEL_MATRIX!$C$1:$AA$71,ROW()-ROW(M$26),0))</f>
        <v>#N/A</v>
      </c>
      <c r="O52" t="e">
        <f>IF(OR(O$27="",ISERROR($A52)),NA(),HLOOKUP(O$27,MODEL_MATRIX!$C$1:$AA$71,ROW()-ROW(N$26),0))</f>
        <v>#N/A</v>
      </c>
      <c r="P52" t="e">
        <f>IF(OR(P$27="",ISERROR($A52)),NA(),HLOOKUP(P$27,MODEL_MATRIX!$C$1:$AA$71,ROW()-ROW(O$26),0))</f>
        <v>#N/A</v>
      </c>
      <c r="Q52" t="e">
        <f>IF(OR(Q$27="",ISERROR($A52)),NA(),HLOOKUP(Q$27,MODEL_MATRIX!$C$1:$AA$71,ROW()-ROW(P$26),0))</f>
        <v>#N/A</v>
      </c>
      <c r="R52" t="e">
        <f>IF(OR(R$27="",ISERROR($A52)),NA(),HLOOKUP(R$27,MODEL_MATRIX!$C$1:$AA$71,ROW()-ROW(Q$26),0))</f>
        <v>#N/A</v>
      </c>
      <c r="S52" t="e">
        <f>IF(OR(S$27="",ISERROR($A52)),NA(),HLOOKUP(S$27,MODEL_MATRIX!$C$1:$AA$71,ROW()-ROW(R$26),0))</f>
        <v>#N/A</v>
      </c>
      <c r="T52" t="e">
        <f>IF(OR(T$27="",ISERROR($A52)),NA(),HLOOKUP(T$27,MODEL_MATRIX!$C$1:$AA$71,ROW()-ROW(S$26),0))</f>
        <v>#N/A</v>
      </c>
      <c r="U52" t="e">
        <f>IF(OR(U$27="",ISERROR($A52)),NA(),HLOOKUP(U$27,MODEL_MATRIX!$C$1:$AA$71,ROW()-ROW(T$26),0))</f>
        <v>#N/A</v>
      </c>
      <c r="V52" t="e">
        <f>IF(OR(V$27="",ISERROR($A52)),NA(),HLOOKUP(V$27,MODEL_MATRIX!$C$1:$AA$71,ROW()-ROW(U$26),0))</f>
        <v>#N/A</v>
      </c>
      <c r="W52" t="e">
        <f>IF(OR(W$27="",ISERROR($A52)),NA(),HLOOKUP(W$27,MODEL_MATRIX!$C$1:$AA$71,ROW()-ROW(V$26),0))</f>
        <v>#N/A</v>
      </c>
      <c r="X52" t="e">
        <f>IF(OR(X$27="",ISERROR($A52)),NA(),HLOOKUP(X$27,MODEL_MATRIX!$C$1:$AA$71,ROW()-ROW(W$26),0))</f>
        <v>#N/A</v>
      </c>
      <c r="Y52" t="e">
        <f>IF(OR(Y$27="",ISERROR($A52)),NA(),HLOOKUP(Y$27,MODEL_MATRIX!$C$1:$AA$71,ROW()-ROW(X$26),0))</f>
        <v>#N/A</v>
      </c>
      <c r="Z52" t="e">
        <f>IF(OR(Z$27="",ISERROR($A52)),NA(),HLOOKUP(Z$27,MODEL_MATRIX!$C$1:$AA$71,ROW()-ROW(Y$26),0))</f>
        <v>#N/A</v>
      </c>
    </row>
    <row r="53" spans="1:26" hidden="1" x14ac:dyDescent="0.25">
      <c r="A53">
        <f>IF(MODEL_MATRIX!B27="",NA(),MODEL_MATRIX!B27)</f>
        <v>4.1802867687500003</v>
      </c>
      <c r="B53">
        <f ca="1">IF(OR(B$27="",ISERROR($A53)),NA(),HLOOKUP(B$27,MODEL_MATRIX!$C$1:$AA$71,ROW()-ROW(A$26),0))</f>
        <v>1</v>
      </c>
      <c r="C53">
        <f ca="1">IF(OR(C$27="",ISERROR($A53)),NA(),HLOOKUP(C$27,MODEL_MATRIX!$C$1:$AA$71,ROW()-ROW(B$26),0))</f>
        <v>-1</v>
      </c>
      <c r="D53">
        <f ca="1">IF(OR(D$27="",ISERROR($A53)),NA(),HLOOKUP(D$27,MODEL_MATRIX!$C$1:$AA$71,ROW()-ROW(C$26),0))</f>
        <v>1</v>
      </c>
      <c r="E53" t="e">
        <f>IF(OR(E$27="",ISERROR($A53)),NA(),HLOOKUP(E$27,MODEL_MATRIX!$C$1:$AA$71,ROW()-ROW(D$26),0))</f>
        <v>#N/A</v>
      </c>
      <c r="F53" t="e">
        <f>IF(OR(F$27="",ISERROR($A53)),NA(),HLOOKUP(F$27,MODEL_MATRIX!$C$1:$AA$71,ROW()-ROW(E$26),0))</f>
        <v>#N/A</v>
      </c>
      <c r="G53" t="e">
        <f>IF(OR(G$27="",ISERROR($A53)),NA(),HLOOKUP(G$27,MODEL_MATRIX!$C$1:$AA$71,ROW()-ROW(F$26),0))</f>
        <v>#N/A</v>
      </c>
      <c r="H53" t="e">
        <f>IF(OR(H$27="",ISERROR($A53)),NA(),HLOOKUP(H$27,MODEL_MATRIX!$C$1:$AA$71,ROW()-ROW(G$26),0))</f>
        <v>#N/A</v>
      </c>
      <c r="I53" t="e">
        <f>IF(OR(I$27="",ISERROR($A53)),NA(),HLOOKUP(I$27,MODEL_MATRIX!$C$1:$AA$71,ROW()-ROW(H$26),0))</f>
        <v>#N/A</v>
      </c>
      <c r="J53" t="e">
        <f>IF(OR(J$27="",ISERROR($A53)),NA(),HLOOKUP(J$27,MODEL_MATRIX!$C$1:$AA$71,ROW()-ROW(I$26),0))</f>
        <v>#N/A</v>
      </c>
      <c r="K53" t="e">
        <f>IF(OR(K$27="",ISERROR($A53)),NA(),HLOOKUP(K$27,MODEL_MATRIX!$C$1:$AA$71,ROW()-ROW(J$26),0))</f>
        <v>#N/A</v>
      </c>
      <c r="L53" t="e">
        <f>IF(OR(L$27="",ISERROR($A53)),NA(),HLOOKUP(L$27,MODEL_MATRIX!$C$1:$AA$71,ROW()-ROW(K$26),0))</f>
        <v>#N/A</v>
      </c>
      <c r="M53" t="e">
        <f>IF(OR(M$27="",ISERROR($A53)),NA(),HLOOKUP(M$27,MODEL_MATRIX!$C$1:$AA$71,ROW()-ROW(L$26),0))</f>
        <v>#N/A</v>
      </c>
      <c r="N53" t="e">
        <f>IF(OR(N$27="",ISERROR($A53)),NA(),HLOOKUP(N$27,MODEL_MATRIX!$C$1:$AA$71,ROW()-ROW(M$26),0))</f>
        <v>#N/A</v>
      </c>
      <c r="O53" t="e">
        <f>IF(OR(O$27="",ISERROR($A53)),NA(),HLOOKUP(O$27,MODEL_MATRIX!$C$1:$AA$71,ROW()-ROW(N$26),0))</f>
        <v>#N/A</v>
      </c>
      <c r="P53" t="e">
        <f>IF(OR(P$27="",ISERROR($A53)),NA(),HLOOKUP(P$27,MODEL_MATRIX!$C$1:$AA$71,ROW()-ROW(O$26),0))</f>
        <v>#N/A</v>
      </c>
      <c r="Q53" t="e">
        <f>IF(OR(Q$27="",ISERROR($A53)),NA(),HLOOKUP(Q$27,MODEL_MATRIX!$C$1:$AA$71,ROW()-ROW(P$26),0))</f>
        <v>#N/A</v>
      </c>
      <c r="R53" t="e">
        <f>IF(OR(R$27="",ISERROR($A53)),NA(),HLOOKUP(R$27,MODEL_MATRIX!$C$1:$AA$71,ROW()-ROW(Q$26),0))</f>
        <v>#N/A</v>
      </c>
      <c r="S53" t="e">
        <f>IF(OR(S$27="",ISERROR($A53)),NA(),HLOOKUP(S$27,MODEL_MATRIX!$C$1:$AA$71,ROW()-ROW(R$26),0))</f>
        <v>#N/A</v>
      </c>
      <c r="T53" t="e">
        <f>IF(OR(T$27="",ISERROR($A53)),NA(),HLOOKUP(T$27,MODEL_MATRIX!$C$1:$AA$71,ROW()-ROW(S$26),0))</f>
        <v>#N/A</v>
      </c>
      <c r="U53" t="e">
        <f>IF(OR(U$27="",ISERROR($A53)),NA(),HLOOKUP(U$27,MODEL_MATRIX!$C$1:$AA$71,ROW()-ROW(T$26),0))</f>
        <v>#N/A</v>
      </c>
      <c r="V53" t="e">
        <f>IF(OR(V$27="",ISERROR($A53)),NA(),HLOOKUP(V$27,MODEL_MATRIX!$C$1:$AA$71,ROW()-ROW(U$26),0))</f>
        <v>#N/A</v>
      </c>
      <c r="W53" t="e">
        <f>IF(OR(W$27="",ISERROR($A53)),NA(),HLOOKUP(W$27,MODEL_MATRIX!$C$1:$AA$71,ROW()-ROW(V$26),0))</f>
        <v>#N/A</v>
      </c>
      <c r="X53" t="e">
        <f>IF(OR(X$27="",ISERROR($A53)),NA(),HLOOKUP(X$27,MODEL_MATRIX!$C$1:$AA$71,ROW()-ROW(W$26),0))</f>
        <v>#N/A</v>
      </c>
      <c r="Y53" t="e">
        <f>IF(OR(Y$27="",ISERROR($A53)),NA(),HLOOKUP(Y$27,MODEL_MATRIX!$C$1:$AA$71,ROW()-ROW(X$26),0))</f>
        <v>#N/A</v>
      </c>
      <c r="Z53" t="e">
        <f>IF(OR(Z$27="",ISERROR($A53)),NA(),HLOOKUP(Z$27,MODEL_MATRIX!$C$1:$AA$71,ROW()-ROW(Y$26),0))</f>
        <v>#N/A</v>
      </c>
    </row>
    <row r="54" spans="1:26" hidden="1" x14ac:dyDescent="0.25">
      <c r="A54">
        <f>IF(MODEL_MATRIX!B28="",NA(),MODEL_MATRIX!B28)</f>
        <v>5.6820480187499998</v>
      </c>
      <c r="B54">
        <f ca="1">IF(OR(B$27="",ISERROR($A54)),NA(),HLOOKUP(B$27,MODEL_MATRIX!$C$1:$AA$71,ROW()-ROW(A$26),0))</f>
        <v>-1</v>
      </c>
      <c r="C54">
        <f ca="1">IF(OR(C$27="",ISERROR($A54)),NA(),HLOOKUP(C$27,MODEL_MATRIX!$C$1:$AA$71,ROW()-ROW(B$26),0))</f>
        <v>-1</v>
      </c>
      <c r="D54">
        <f ca="1">IF(OR(D$27="",ISERROR($A54)),NA(),HLOOKUP(D$27,MODEL_MATRIX!$C$1:$AA$71,ROW()-ROW(C$26),0))</f>
        <v>1</v>
      </c>
      <c r="E54" t="e">
        <f>IF(OR(E$27="",ISERROR($A54)),NA(),HLOOKUP(E$27,MODEL_MATRIX!$C$1:$AA$71,ROW()-ROW(D$26),0))</f>
        <v>#N/A</v>
      </c>
      <c r="F54" t="e">
        <f>IF(OR(F$27="",ISERROR($A54)),NA(),HLOOKUP(F$27,MODEL_MATRIX!$C$1:$AA$71,ROW()-ROW(E$26),0))</f>
        <v>#N/A</v>
      </c>
      <c r="G54" t="e">
        <f>IF(OR(G$27="",ISERROR($A54)),NA(),HLOOKUP(G$27,MODEL_MATRIX!$C$1:$AA$71,ROW()-ROW(F$26),0))</f>
        <v>#N/A</v>
      </c>
      <c r="H54" t="e">
        <f>IF(OR(H$27="",ISERROR($A54)),NA(),HLOOKUP(H$27,MODEL_MATRIX!$C$1:$AA$71,ROW()-ROW(G$26),0))</f>
        <v>#N/A</v>
      </c>
      <c r="I54" t="e">
        <f>IF(OR(I$27="",ISERROR($A54)),NA(),HLOOKUP(I$27,MODEL_MATRIX!$C$1:$AA$71,ROW()-ROW(H$26),0))</f>
        <v>#N/A</v>
      </c>
      <c r="J54" t="e">
        <f>IF(OR(J$27="",ISERROR($A54)),NA(),HLOOKUP(J$27,MODEL_MATRIX!$C$1:$AA$71,ROW()-ROW(I$26),0))</f>
        <v>#N/A</v>
      </c>
      <c r="K54" t="e">
        <f>IF(OR(K$27="",ISERROR($A54)),NA(),HLOOKUP(K$27,MODEL_MATRIX!$C$1:$AA$71,ROW()-ROW(J$26),0))</f>
        <v>#N/A</v>
      </c>
      <c r="L54" t="e">
        <f>IF(OR(L$27="",ISERROR($A54)),NA(),HLOOKUP(L$27,MODEL_MATRIX!$C$1:$AA$71,ROW()-ROW(K$26),0))</f>
        <v>#N/A</v>
      </c>
      <c r="M54" t="e">
        <f>IF(OR(M$27="",ISERROR($A54)),NA(),HLOOKUP(M$27,MODEL_MATRIX!$C$1:$AA$71,ROW()-ROW(L$26),0))</f>
        <v>#N/A</v>
      </c>
      <c r="N54" t="e">
        <f>IF(OR(N$27="",ISERROR($A54)),NA(),HLOOKUP(N$27,MODEL_MATRIX!$C$1:$AA$71,ROW()-ROW(M$26),0))</f>
        <v>#N/A</v>
      </c>
      <c r="O54" t="e">
        <f>IF(OR(O$27="",ISERROR($A54)),NA(),HLOOKUP(O$27,MODEL_MATRIX!$C$1:$AA$71,ROW()-ROW(N$26),0))</f>
        <v>#N/A</v>
      </c>
      <c r="P54" t="e">
        <f>IF(OR(P$27="",ISERROR($A54)),NA(),HLOOKUP(P$27,MODEL_MATRIX!$C$1:$AA$71,ROW()-ROW(O$26),0))</f>
        <v>#N/A</v>
      </c>
      <c r="Q54" t="e">
        <f>IF(OR(Q$27="",ISERROR($A54)),NA(),HLOOKUP(Q$27,MODEL_MATRIX!$C$1:$AA$71,ROW()-ROW(P$26),0))</f>
        <v>#N/A</v>
      </c>
      <c r="R54" t="e">
        <f>IF(OR(R$27="",ISERROR($A54)),NA(),HLOOKUP(R$27,MODEL_MATRIX!$C$1:$AA$71,ROW()-ROW(Q$26),0))</f>
        <v>#N/A</v>
      </c>
      <c r="S54" t="e">
        <f>IF(OR(S$27="",ISERROR($A54)),NA(),HLOOKUP(S$27,MODEL_MATRIX!$C$1:$AA$71,ROW()-ROW(R$26),0))</f>
        <v>#N/A</v>
      </c>
      <c r="T54" t="e">
        <f>IF(OR(T$27="",ISERROR($A54)),NA(),HLOOKUP(T$27,MODEL_MATRIX!$C$1:$AA$71,ROW()-ROW(S$26),0))</f>
        <v>#N/A</v>
      </c>
      <c r="U54" t="e">
        <f>IF(OR(U$27="",ISERROR($A54)),NA(),HLOOKUP(U$27,MODEL_MATRIX!$C$1:$AA$71,ROW()-ROW(T$26),0))</f>
        <v>#N/A</v>
      </c>
      <c r="V54" t="e">
        <f>IF(OR(V$27="",ISERROR($A54)),NA(),HLOOKUP(V$27,MODEL_MATRIX!$C$1:$AA$71,ROW()-ROW(U$26),0))</f>
        <v>#N/A</v>
      </c>
      <c r="W54" t="e">
        <f>IF(OR(W$27="",ISERROR($A54)),NA(),HLOOKUP(W$27,MODEL_MATRIX!$C$1:$AA$71,ROW()-ROW(V$26),0))</f>
        <v>#N/A</v>
      </c>
      <c r="X54" t="e">
        <f>IF(OR(X$27="",ISERROR($A54)),NA(),HLOOKUP(X$27,MODEL_MATRIX!$C$1:$AA$71,ROW()-ROW(W$26),0))</f>
        <v>#N/A</v>
      </c>
      <c r="Y54" t="e">
        <f>IF(OR(Y$27="",ISERROR($A54)),NA(),HLOOKUP(Y$27,MODEL_MATRIX!$C$1:$AA$71,ROW()-ROW(X$26),0))</f>
        <v>#N/A</v>
      </c>
      <c r="Z54" t="e">
        <f>IF(OR(Z$27="",ISERROR($A54)),NA(),HLOOKUP(Z$27,MODEL_MATRIX!$C$1:$AA$71,ROW()-ROW(Y$26),0))</f>
        <v>#N/A</v>
      </c>
    </row>
    <row r="55" spans="1:26" hidden="1" x14ac:dyDescent="0.25">
      <c r="A55">
        <f>IF(MODEL_MATRIX!B29="",NA(),MODEL_MATRIX!B29)</f>
        <v>5.7801725187499997</v>
      </c>
      <c r="B55">
        <f ca="1">IF(OR(B$27="",ISERROR($A55)),NA(),HLOOKUP(B$27,MODEL_MATRIX!$C$1:$AA$71,ROW()-ROW(A$26),0))</f>
        <v>1</v>
      </c>
      <c r="C55">
        <f ca="1">IF(OR(C$27="",ISERROR($A55)),NA(),HLOOKUP(C$27,MODEL_MATRIX!$C$1:$AA$71,ROW()-ROW(B$26),0))</f>
        <v>-1</v>
      </c>
      <c r="D55">
        <f ca="1">IF(OR(D$27="",ISERROR($A55)),NA(),HLOOKUP(D$27,MODEL_MATRIX!$C$1:$AA$71,ROW()-ROW(C$26),0))</f>
        <v>1</v>
      </c>
      <c r="E55" t="e">
        <f>IF(OR(E$27="",ISERROR($A55)),NA(),HLOOKUP(E$27,MODEL_MATRIX!$C$1:$AA$71,ROW()-ROW(D$26),0))</f>
        <v>#N/A</v>
      </c>
      <c r="F55" t="e">
        <f>IF(OR(F$27="",ISERROR($A55)),NA(),HLOOKUP(F$27,MODEL_MATRIX!$C$1:$AA$71,ROW()-ROW(E$26),0))</f>
        <v>#N/A</v>
      </c>
      <c r="G55" t="e">
        <f>IF(OR(G$27="",ISERROR($A55)),NA(),HLOOKUP(G$27,MODEL_MATRIX!$C$1:$AA$71,ROW()-ROW(F$26),0))</f>
        <v>#N/A</v>
      </c>
      <c r="H55" t="e">
        <f>IF(OR(H$27="",ISERROR($A55)),NA(),HLOOKUP(H$27,MODEL_MATRIX!$C$1:$AA$71,ROW()-ROW(G$26),0))</f>
        <v>#N/A</v>
      </c>
      <c r="I55" t="e">
        <f>IF(OR(I$27="",ISERROR($A55)),NA(),HLOOKUP(I$27,MODEL_MATRIX!$C$1:$AA$71,ROW()-ROW(H$26),0))</f>
        <v>#N/A</v>
      </c>
      <c r="J55" t="e">
        <f>IF(OR(J$27="",ISERROR($A55)),NA(),HLOOKUP(J$27,MODEL_MATRIX!$C$1:$AA$71,ROW()-ROW(I$26),0))</f>
        <v>#N/A</v>
      </c>
      <c r="K55" t="e">
        <f>IF(OR(K$27="",ISERROR($A55)),NA(),HLOOKUP(K$27,MODEL_MATRIX!$C$1:$AA$71,ROW()-ROW(J$26),0))</f>
        <v>#N/A</v>
      </c>
      <c r="L55" t="e">
        <f>IF(OR(L$27="",ISERROR($A55)),NA(),HLOOKUP(L$27,MODEL_MATRIX!$C$1:$AA$71,ROW()-ROW(K$26),0))</f>
        <v>#N/A</v>
      </c>
      <c r="M55" t="e">
        <f>IF(OR(M$27="",ISERROR($A55)),NA(),HLOOKUP(M$27,MODEL_MATRIX!$C$1:$AA$71,ROW()-ROW(L$26),0))</f>
        <v>#N/A</v>
      </c>
      <c r="N55" t="e">
        <f>IF(OR(N$27="",ISERROR($A55)),NA(),HLOOKUP(N$27,MODEL_MATRIX!$C$1:$AA$71,ROW()-ROW(M$26),0))</f>
        <v>#N/A</v>
      </c>
      <c r="O55" t="e">
        <f>IF(OR(O$27="",ISERROR($A55)),NA(),HLOOKUP(O$27,MODEL_MATRIX!$C$1:$AA$71,ROW()-ROW(N$26),0))</f>
        <v>#N/A</v>
      </c>
      <c r="P55" t="e">
        <f>IF(OR(P$27="",ISERROR($A55)),NA(),HLOOKUP(P$27,MODEL_MATRIX!$C$1:$AA$71,ROW()-ROW(O$26),0))</f>
        <v>#N/A</v>
      </c>
      <c r="Q55" t="e">
        <f>IF(OR(Q$27="",ISERROR($A55)),NA(),HLOOKUP(Q$27,MODEL_MATRIX!$C$1:$AA$71,ROW()-ROW(P$26),0))</f>
        <v>#N/A</v>
      </c>
      <c r="R55" t="e">
        <f>IF(OR(R$27="",ISERROR($A55)),NA(),HLOOKUP(R$27,MODEL_MATRIX!$C$1:$AA$71,ROW()-ROW(Q$26),0))</f>
        <v>#N/A</v>
      </c>
      <c r="S55" t="e">
        <f>IF(OR(S$27="",ISERROR($A55)),NA(),HLOOKUP(S$27,MODEL_MATRIX!$C$1:$AA$71,ROW()-ROW(R$26),0))</f>
        <v>#N/A</v>
      </c>
      <c r="T55" t="e">
        <f>IF(OR(T$27="",ISERROR($A55)),NA(),HLOOKUP(T$27,MODEL_MATRIX!$C$1:$AA$71,ROW()-ROW(S$26),0))</f>
        <v>#N/A</v>
      </c>
      <c r="U55" t="e">
        <f>IF(OR(U$27="",ISERROR($A55)),NA(),HLOOKUP(U$27,MODEL_MATRIX!$C$1:$AA$71,ROW()-ROW(T$26),0))</f>
        <v>#N/A</v>
      </c>
      <c r="V55" t="e">
        <f>IF(OR(V$27="",ISERROR($A55)),NA(),HLOOKUP(V$27,MODEL_MATRIX!$C$1:$AA$71,ROW()-ROW(U$26),0))</f>
        <v>#N/A</v>
      </c>
      <c r="W55" t="e">
        <f>IF(OR(W$27="",ISERROR($A55)),NA(),HLOOKUP(W$27,MODEL_MATRIX!$C$1:$AA$71,ROW()-ROW(V$26),0))</f>
        <v>#N/A</v>
      </c>
      <c r="X55" t="e">
        <f>IF(OR(X$27="",ISERROR($A55)),NA(),HLOOKUP(X$27,MODEL_MATRIX!$C$1:$AA$71,ROW()-ROW(W$26),0))</f>
        <v>#N/A</v>
      </c>
      <c r="Y55" t="e">
        <f>IF(OR(Y$27="",ISERROR($A55)),NA(),HLOOKUP(Y$27,MODEL_MATRIX!$C$1:$AA$71,ROW()-ROW(X$26),0))</f>
        <v>#N/A</v>
      </c>
      <c r="Z55" t="e">
        <f>IF(OR(Z$27="",ISERROR($A55)),NA(),HLOOKUP(Z$27,MODEL_MATRIX!$C$1:$AA$71,ROW()-ROW(Y$26),0))</f>
        <v>#N/A</v>
      </c>
    </row>
    <row r="56" spans="1:26" hidden="1" x14ac:dyDescent="0.25">
      <c r="A56">
        <f>IF(MODEL_MATRIX!B30="",NA(),MODEL_MATRIX!B30)</f>
        <v>8.7397320187500007</v>
      </c>
      <c r="B56">
        <f ca="1">IF(OR(B$27="",ISERROR($A56)),NA(),HLOOKUP(B$27,MODEL_MATRIX!$C$1:$AA$71,ROW()-ROW(A$26),0))</f>
        <v>-1</v>
      </c>
      <c r="C56">
        <f ca="1">IF(OR(C$27="",ISERROR($A56)),NA(),HLOOKUP(C$27,MODEL_MATRIX!$C$1:$AA$71,ROW()-ROW(B$26),0))</f>
        <v>1</v>
      </c>
      <c r="D56">
        <f ca="1">IF(OR(D$27="",ISERROR($A56)),NA(),HLOOKUP(D$27,MODEL_MATRIX!$C$1:$AA$71,ROW()-ROW(C$26),0))</f>
        <v>1</v>
      </c>
      <c r="E56" t="e">
        <f>IF(OR(E$27="",ISERROR($A56)),NA(),HLOOKUP(E$27,MODEL_MATRIX!$C$1:$AA$71,ROW()-ROW(D$26),0))</f>
        <v>#N/A</v>
      </c>
      <c r="F56" t="e">
        <f>IF(OR(F$27="",ISERROR($A56)),NA(),HLOOKUP(F$27,MODEL_MATRIX!$C$1:$AA$71,ROW()-ROW(E$26),0))</f>
        <v>#N/A</v>
      </c>
      <c r="G56" t="e">
        <f>IF(OR(G$27="",ISERROR($A56)),NA(),HLOOKUP(G$27,MODEL_MATRIX!$C$1:$AA$71,ROW()-ROW(F$26),0))</f>
        <v>#N/A</v>
      </c>
      <c r="H56" t="e">
        <f>IF(OR(H$27="",ISERROR($A56)),NA(),HLOOKUP(H$27,MODEL_MATRIX!$C$1:$AA$71,ROW()-ROW(G$26),0))</f>
        <v>#N/A</v>
      </c>
      <c r="I56" t="e">
        <f>IF(OR(I$27="",ISERROR($A56)),NA(),HLOOKUP(I$27,MODEL_MATRIX!$C$1:$AA$71,ROW()-ROW(H$26),0))</f>
        <v>#N/A</v>
      </c>
      <c r="J56" t="e">
        <f>IF(OR(J$27="",ISERROR($A56)),NA(),HLOOKUP(J$27,MODEL_MATRIX!$C$1:$AA$71,ROW()-ROW(I$26),0))</f>
        <v>#N/A</v>
      </c>
      <c r="K56" t="e">
        <f>IF(OR(K$27="",ISERROR($A56)),NA(),HLOOKUP(K$27,MODEL_MATRIX!$C$1:$AA$71,ROW()-ROW(J$26),0))</f>
        <v>#N/A</v>
      </c>
      <c r="L56" t="e">
        <f>IF(OR(L$27="",ISERROR($A56)),NA(),HLOOKUP(L$27,MODEL_MATRIX!$C$1:$AA$71,ROW()-ROW(K$26),0))</f>
        <v>#N/A</v>
      </c>
      <c r="M56" t="e">
        <f>IF(OR(M$27="",ISERROR($A56)),NA(),HLOOKUP(M$27,MODEL_MATRIX!$C$1:$AA$71,ROW()-ROW(L$26),0))</f>
        <v>#N/A</v>
      </c>
      <c r="N56" t="e">
        <f>IF(OR(N$27="",ISERROR($A56)),NA(),HLOOKUP(N$27,MODEL_MATRIX!$C$1:$AA$71,ROW()-ROW(M$26),0))</f>
        <v>#N/A</v>
      </c>
      <c r="O56" t="e">
        <f>IF(OR(O$27="",ISERROR($A56)),NA(),HLOOKUP(O$27,MODEL_MATRIX!$C$1:$AA$71,ROW()-ROW(N$26),0))</f>
        <v>#N/A</v>
      </c>
      <c r="P56" t="e">
        <f>IF(OR(P$27="",ISERROR($A56)),NA(),HLOOKUP(P$27,MODEL_MATRIX!$C$1:$AA$71,ROW()-ROW(O$26),0))</f>
        <v>#N/A</v>
      </c>
      <c r="Q56" t="e">
        <f>IF(OR(Q$27="",ISERROR($A56)),NA(),HLOOKUP(Q$27,MODEL_MATRIX!$C$1:$AA$71,ROW()-ROW(P$26),0))</f>
        <v>#N/A</v>
      </c>
      <c r="R56" t="e">
        <f>IF(OR(R$27="",ISERROR($A56)),NA(),HLOOKUP(R$27,MODEL_MATRIX!$C$1:$AA$71,ROW()-ROW(Q$26),0))</f>
        <v>#N/A</v>
      </c>
      <c r="S56" t="e">
        <f>IF(OR(S$27="",ISERROR($A56)),NA(),HLOOKUP(S$27,MODEL_MATRIX!$C$1:$AA$71,ROW()-ROW(R$26),0))</f>
        <v>#N/A</v>
      </c>
      <c r="T56" t="e">
        <f>IF(OR(T$27="",ISERROR($A56)),NA(),HLOOKUP(T$27,MODEL_MATRIX!$C$1:$AA$71,ROW()-ROW(S$26),0))</f>
        <v>#N/A</v>
      </c>
      <c r="U56" t="e">
        <f>IF(OR(U$27="",ISERROR($A56)),NA(),HLOOKUP(U$27,MODEL_MATRIX!$C$1:$AA$71,ROW()-ROW(T$26),0))</f>
        <v>#N/A</v>
      </c>
      <c r="V56" t="e">
        <f>IF(OR(V$27="",ISERROR($A56)),NA(),HLOOKUP(V$27,MODEL_MATRIX!$C$1:$AA$71,ROW()-ROW(U$26),0))</f>
        <v>#N/A</v>
      </c>
      <c r="W56" t="e">
        <f>IF(OR(W$27="",ISERROR($A56)),NA(),HLOOKUP(W$27,MODEL_MATRIX!$C$1:$AA$71,ROW()-ROW(V$26),0))</f>
        <v>#N/A</v>
      </c>
      <c r="X56" t="e">
        <f>IF(OR(X$27="",ISERROR($A56)),NA(),HLOOKUP(X$27,MODEL_MATRIX!$C$1:$AA$71,ROW()-ROW(W$26),0))</f>
        <v>#N/A</v>
      </c>
      <c r="Y56" t="e">
        <f>IF(OR(Y$27="",ISERROR($A56)),NA(),HLOOKUP(Y$27,MODEL_MATRIX!$C$1:$AA$71,ROW()-ROW(X$26),0))</f>
        <v>#N/A</v>
      </c>
      <c r="Z56" t="e">
        <f>IF(OR(Z$27="",ISERROR($A56)),NA(),HLOOKUP(Z$27,MODEL_MATRIX!$C$1:$AA$71,ROW()-ROW(Y$26),0))</f>
        <v>#N/A</v>
      </c>
    </row>
    <row r="57" spans="1:26" hidden="1" x14ac:dyDescent="0.25">
      <c r="A57">
        <f>IF(MODEL_MATRIX!B31="",NA(),MODEL_MATRIX!B31)</f>
        <v>7.8388045187499999</v>
      </c>
      <c r="B57">
        <f ca="1">IF(OR(B$27="",ISERROR($A57)),NA(),HLOOKUP(B$27,MODEL_MATRIX!$C$1:$AA$71,ROW()-ROW(A$26),0))</f>
        <v>1</v>
      </c>
      <c r="C57">
        <f ca="1">IF(OR(C$27="",ISERROR($A57)),NA(),HLOOKUP(C$27,MODEL_MATRIX!$C$1:$AA$71,ROW()-ROW(B$26),0))</f>
        <v>1</v>
      </c>
      <c r="D57">
        <f ca="1">IF(OR(D$27="",ISERROR($A57)),NA(),HLOOKUP(D$27,MODEL_MATRIX!$C$1:$AA$71,ROW()-ROW(C$26),0))</f>
        <v>1</v>
      </c>
      <c r="E57" t="e">
        <f>IF(OR(E$27="",ISERROR($A57)),NA(),HLOOKUP(E$27,MODEL_MATRIX!$C$1:$AA$71,ROW()-ROW(D$26),0))</f>
        <v>#N/A</v>
      </c>
      <c r="F57" t="e">
        <f>IF(OR(F$27="",ISERROR($A57)),NA(),HLOOKUP(F$27,MODEL_MATRIX!$C$1:$AA$71,ROW()-ROW(E$26),0))</f>
        <v>#N/A</v>
      </c>
      <c r="G57" t="e">
        <f>IF(OR(G$27="",ISERROR($A57)),NA(),HLOOKUP(G$27,MODEL_MATRIX!$C$1:$AA$71,ROW()-ROW(F$26),0))</f>
        <v>#N/A</v>
      </c>
      <c r="H57" t="e">
        <f>IF(OR(H$27="",ISERROR($A57)),NA(),HLOOKUP(H$27,MODEL_MATRIX!$C$1:$AA$71,ROW()-ROW(G$26),0))</f>
        <v>#N/A</v>
      </c>
      <c r="I57" t="e">
        <f>IF(OR(I$27="",ISERROR($A57)),NA(),HLOOKUP(I$27,MODEL_MATRIX!$C$1:$AA$71,ROW()-ROW(H$26),0))</f>
        <v>#N/A</v>
      </c>
      <c r="J57" t="e">
        <f>IF(OR(J$27="",ISERROR($A57)),NA(),HLOOKUP(J$27,MODEL_MATRIX!$C$1:$AA$71,ROW()-ROW(I$26),0))</f>
        <v>#N/A</v>
      </c>
      <c r="K57" t="e">
        <f>IF(OR(K$27="",ISERROR($A57)),NA(),HLOOKUP(K$27,MODEL_MATRIX!$C$1:$AA$71,ROW()-ROW(J$26),0))</f>
        <v>#N/A</v>
      </c>
      <c r="L57" t="e">
        <f>IF(OR(L$27="",ISERROR($A57)),NA(),HLOOKUP(L$27,MODEL_MATRIX!$C$1:$AA$71,ROW()-ROW(K$26),0))</f>
        <v>#N/A</v>
      </c>
      <c r="M57" t="e">
        <f>IF(OR(M$27="",ISERROR($A57)),NA(),HLOOKUP(M$27,MODEL_MATRIX!$C$1:$AA$71,ROW()-ROW(L$26),0))</f>
        <v>#N/A</v>
      </c>
      <c r="N57" t="e">
        <f>IF(OR(N$27="",ISERROR($A57)),NA(),HLOOKUP(N$27,MODEL_MATRIX!$C$1:$AA$71,ROW()-ROW(M$26),0))</f>
        <v>#N/A</v>
      </c>
      <c r="O57" t="e">
        <f>IF(OR(O$27="",ISERROR($A57)),NA(),HLOOKUP(O$27,MODEL_MATRIX!$C$1:$AA$71,ROW()-ROW(N$26),0))</f>
        <v>#N/A</v>
      </c>
      <c r="P57" t="e">
        <f>IF(OR(P$27="",ISERROR($A57)),NA(),HLOOKUP(P$27,MODEL_MATRIX!$C$1:$AA$71,ROW()-ROW(O$26),0))</f>
        <v>#N/A</v>
      </c>
      <c r="Q57" t="e">
        <f>IF(OR(Q$27="",ISERROR($A57)),NA(),HLOOKUP(Q$27,MODEL_MATRIX!$C$1:$AA$71,ROW()-ROW(P$26),0))</f>
        <v>#N/A</v>
      </c>
      <c r="R57" t="e">
        <f>IF(OR(R$27="",ISERROR($A57)),NA(),HLOOKUP(R$27,MODEL_MATRIX!$C$1:$AA$71,ROW()-ROW(Q$26),0))</f>
        <v>#N/A</v>
      </c>
      <c r="S57" t="e">
        <f>IF(OR(S$27="",ISERROR($A57)),NA(),HLOOKUP(S$27,MODEL_MATRIX!$C$1:$AA$71,ROW()-ROW(R$26),0))</f>
        <v>#N/A</v>
      </c>
      <c r="T57" t="e">
        <f>IF(OR(T$27="",ISERROR($A57)),NA(),HLOOKUP(T$27,MODEL_MATRIX!$C$1:$AA$71,ROW()-ROW(S$26),0))</f>
        <v>#N/A</v>
      </c>
      <c r="U57" t="e">
        <f>IF(OR(U$27="",ISERROR($A57)),NA(),HLOOKUP(U$27,MODEL_MATRIX!$C$1:$AA$71,ROW()-ROW(T$26),0))</f>
        <v>#N/A</v>
      </c>
      <c r="V57" t="e">
        <f>IF(OR(V$27="",ISERROR($A57)),NA(),HLOOKUP(V$27,MODEL_MATRIX!$C$1:$AA$71,ROW()-ROW(U$26),0))</f>
        <v>#N/A</v>
      </c>
      <c r="W57" t="e">
        <f>IF(OR(W$27="",ISERROR($A57)),NA(),HLOOKUP(W$27,MODEL_MATRIX!$C$1:$AA$71,ROW()-ROW(V$26),0))</f>
        <v>#N/A</v>
      </c>
      <c r="X57" t="e">
        <f>IF(OR(X$27="",ISERROR($A57)),NA(),HLOOKUP(X$27,MODEL_MATRIX!$C$1:$AA$71,ROW()-ROW(W$26),0))</f>
        <v>#N/A</v>
      </c>
      <c r="Y57" t="e">
        <f>IF(OR(Y$27="",ISERROR($A57)),NA(),HLOOKUP(Y$27,MODEL_MATRIX!$C$1:$AA$71,ROW()-ROW(X$26),0))</f>
        <v>#N/A</v>
      </c>
      <c r="Z57" t="e">
        <f>IF(OR(Z$27="",ISERROR($A57)),NA(),HLOOKUP(Z$27,MODEL_MATRIX!$C$1:$AA$71,ROW()-ROW(Y$26),0))</f>
        <v>#N/A</v>
      </c>
    </row>
    <row r="58" spans="1:26" hidden="1" x14ac:dyDescent="0.25">
      <c r="A58">
        <f>IF(MODEL_MATRIX!B32="",NA(),MODEL_MATRIX!B32)</f>
        <v>7.2539075187500002</v>
      </c>
      <c r="B58">
        <f ca="1">IF(OR(B$27="",ISERROR($A58)),NA(),HLOOKUP(B$27,MODEL_MATRIX!$C$1:$AA$71,ROW()-ROW(A$26),0))</f>
        <v>-1</v>
      </c>
      <c r="C58">
        <f ca="1">IF(OR(C$27="",ISERROR($A58)),NA(),HLOOKUP(C$27,MODEL_MATRIX!$C$1:$AA$71,ROW()-ROW(B$26),0))</f>
        <v>1</v>
      </c>
      <c r="D58">
        <f ca="1">IF(OR(D$27="",ISERROR($A58)),NA(),HLOOKUP(D$27,MODEL_MATRIX!$C$1:$AA$71,ROW()-ROW(C$26),0))</f>
        <v>1</v>
      </c>
      <c r="E58" t="e">
        <f>IF(OR(E$27="",ISERROR($A58)),NA(),HLOOKUP(E$27,MODEL_MATRIX!$C$1:$AA$71,ROW()-ROW(D$26),0))</f>
        <v>#N/A</v>
      </c>
      <c r="F58" t="e">
        <f>IF(OR(F$27="",ISERROR($A58)),NA(),HLOOKUP(F$27,MODEL_MATRIX!$C$1:$AA$71,ROW()-ROW(E$26),0))</f>
        <v>#N/A</v>
      </c>
      <c r="G58" t="e">
        <f>IF(OR(G$27="",ISERROR($A58)),NA(),HLOOKUP(G$27,MODEL_MATRIX!$C$1:$AA$71,ROW()-ROW(F$26),0))</f>
        <v>#N/A</v>
      </c>
      <c r="H58" t="e">
        <f>IF(OR(H$27="",ISERROR($A58)),NA(),HLOOKUP(H$27,MODEL_MATRIX!$C$1:$AA$71,ROW()-ROW(G$26),0))</f>
        <v>#N/A</v>
      </c>
      <c r="I58" t="e">
        <f>IF(OR(I$27="",ISERROR($A58)),NA(),HLOOKUP(I$27,MODEL_MATRIX!$C$1:$AA$71,ROW()-ROW(H$26),0))</f>
        <v>#N/A</v>
      </c>
      <c r="J58" t="e">
        <f>IF(OR(J$27="",ISERROR($A58)),NA(),HLOOKUP(J$27,MODEL_MATRIX!$C$1:$AA$71,ROW()-ROW(I$26),0))</f>
        <v>#N/A</v>
      </c>
      <c r="K58" t="e">
        <f>IF(OR(K$27="",ISERROR($A58)),NA(),HLOOKUP(K$27,MODEL_MATRIX!$C$1:$AA$71,ROW()-ROW(J$26),0))</f>
        <v>#N/A</v>
      </c>
      <c r="L58" t="e">
        <f>IF(OR(L$27="",ISERROR($A58)),NA(),HLOOKUP(L$27,MODEL_MATRIX!$C$1:$AA$71,ROW()-ROW(K$26),0))</f>
        <v>#N/A</v>
      </c>
      <c r="M58" t="e">
        <f>IF(OR(M$27="",ISERROR($A58)),NA(),HLOOKUP(M$27,MODEL_MATRIX!$C$1:$AA$71,ROW()-ROW(L$26),0))</f>
        <v>#N/A</v>
      </c>
      <c r="N58" t="e">
        <f>IF(OR(N$27="",ISERROR($A58)),NA(),HLOOKUP(N$27,MODEL_MATRIX!$C$1:$AA$71,ROW()-ROW(M$26),0))</f>
        <v>#N/A</v>
      </c>
      <c r="O58" t="e">
        <f>IF(OR(O$27="",ISERROR($A58)),NA(),HLOOKUP(O$27,MODEL_MATRIX!$C$1:$AA$71,ROW()-ROW(N$26),0))</f>
        <v>#N/A</v>
      </c>
      <c r="P58" t="e">
        <f>IF(OR(P$27="",ISERROR($A58)),NA(),HLOOKUP(P$27,MODEL_MATRIX!$C$1:$AA$71,ROW()-ROW(O$26),0))</f>
        <v>#N/A</v>
      </c>
      <c r="Q58" t="e">
        <f>IF(OR(Q$27="",ISERROR($A58)),NA(),HLOOKUP(Q$27,MODEL_MATRIX!$C$1:$AA$71,ROW()-ROW(P$26),0))</f>
        <v>#N/A</v>
      </c>
      <c r="R58" t="e">
        <f>IF(OR(R$27="",ISERROR($A58)),NA(),HLOOKUP(R$27,MODEL_MATRIX!$C$1:$AA$71,ROW()-ROW(Q$26),0))</f>
        <v>#N/A</v>
      </c>
      <c r="S58" t="e">
        <f>IF(OR(S$27="",ISERROR($A58)),NA(),HLOOKUP(S$27,MODEL_MATRIX!$C$1:$AA$71,ROW()-ROW(R$26),0))</f>
        <v>#N/A</v>
      </c>
      <c r="T58" t="e">
        <f>IF(OR(T$27="",ISERROR($A58)),NA(),HLOOKUP(T$27,MODEL_MATRIX!$C$1:$AA$71,ROW()-ROW(S$26),0))</f>
        <v>#N/A</v>
      </c>
      <c r="U58" t="e">
        <f>IF(OR(U$27="",ISERROR($A58)),NA(),HLOOKUP(U$27,MODEL_MATRIX!$C$1:$AA$71,ROW()-ROW(T$26),0))</f>
        <v>#N/A</v>
      </c>
      <c r="V58" t="e">
        <f>IF(OR(V$27="",ISERROR($A58)),NA(),HLOOKUP(V$27,MODEL_MATRIX!$C$1:$AA$71,ROW()-ROW(U$26),0))</f>
        <v>#N/A</v>
      </c>
      <c r="W58" t="e">
        <f>IF(OR(W$27="",ISERROR($A58)),NA(),HLOOKUP(W$27,MODEL_MATRIX!$C$1:$AA$71,ROW()-ROW(V$26),0))</f>
        <v>#N/A</v>
      </c>
      <c r="X58" t="e">
        <f>IF(OR(X$27="",ISERROR($A58)),NA(),HLOOKUP(X$27,MODEL_MATRIX!$C$1:$AA$71,ROW()-ROW(W$26),0))</f>
        <v>#N/A</v>
      </c>
      <c r="Y58" t="e">
        <f>IF(OR(Y$27="",ISERROR($A58)),NA(),HLOOKUP(Y$27,MODEL_MATRIX!$C$1:$AA$71,ROW()-ROW(X$26),0))</f>
        <v>#N/A</v>
      </c>
      <c r="Z58" t="e">
        <f>IF(OR(Z$27="",ISERROR($A58)),NA(),HLOOKUP(Z$27,MODEL_MATRIX!$C$1:$AA$71,ROW()-ROW(Y$26),0))</f>
        <v>#N/A</v>
      </c>
    </row>
    <row r="59" spans="1:26" hidden="1" x14ac:dyDescent="0.25">
      <c r="A59">
        <f>IF(MODEL_MATRIX!B33="",NA(),MODEL_MATRIX!B33)</f>
        <v>7.2391970187499997</v>
      </c>
      <c r="B59">
        <f ca="1">IF(OR(B$27="",ISERROR($A59)),NA(),HLOOKUP(B$27,MODEL_MATRIX!$C$1:$AA$71,ROW()-ROW(A$26),0))</f>
        <v>1</v>
      </c>
      <c r="C59">
        <f ca="1">IF(OR(C$27="",ISERROR($A59)),NA(),HLOOKUP(C$27,MODEL_MATRIX!$C$1:$AA$71,ROW()-ROW(B$26),0))</f>
        <v>1</v>
      </c>
      <c r="D59">
        <f ca="1">IF(OR(D$27="",ISERROR($A59)),NA(),HLOOKUP(D$27,MODEL_MATRIX!$C$1:$AA$71,ROW()-ROW(C$26),0))</f>
        <v>1</v>
      </c>
      <c r="E59" t="e">
        <f>IF(OR(E$27="",ISERROR($A59)),NA(),HLOOKUP(E$27,MODEL_MATRIX!$C$1:$AA$71,ROW()-ROW(D$26),0))</f>
        <v>#N/A</v>
      </c>
      <c r="F59" t="e">
        <f>IF(OR(F$27="",ISERROR($A59)),NA(),HLOOKUP(F$27,MODEL_MATRIX!$C$1:$AA$71,ROW()-ROW(E$26),0))</f>
        <v>#N/A</v>
      </c>
      <c r="G59" t="e">
        <f>IF(OR(G$27="",ISERROR($A59)),NA(),HLOOKUP(G$27,MODEL_MATRIX!$C$1:$AA$71,ROW()-ROW(F$26),0))</f>
        <v>#N/A</v>
      </c>
      <c r="H59" t="e">
        <f>IF(OR(H$27="",ISERROR($A59)),NA(),HLOOKUP(H$27,MODEL_MATRIX!$C$1:$AA$71,ROW()-ROW(G$26),0))</f>
        <v>#N/A</v>
      </c>
      <c r="I59" t="e">
        <f>IF(OR(I$27="",ISERROR($A59)),NA(),HLOOKUP(I$27,MODEL_MATRIX!$C$1:$AA$71,ROW()-ROW(H$26),0))</f>
        <v>#N/A</v>
      </c>
      <c r="J59" t="e">
        <f>IF(OR(J$27="",ISERROR($A59)),NA(),HLOOKUP(J$27,MODEL_MATRIX!$C$1:$AA$71,ROW()-ROW(I$26),0))</f>
        <v>#N/A</v>
      </c>
      <c r="K59" t="e">
        <f>IF(OR(K$27="",ISERROR($A59)),NA(),HLOOKUP(K$27,MODEL_MATRIX!$C$1:$AA$71,ROW()-ROW(J$26),0))</f>
        <v>#N/A</v>
      </c>
      <c r="L59" t="e">
        <f>IF(OR(L$27="",ISERROR($A59)),NA(),HLOOKUP(L$27,MODEL_MATRIX!$C$1:$AA$71,ROW()-ROW(K$26),0))</f>
        <v>#N/A</v>
      </c>
      <c r="M59" t="e">
        <f>IF(OR(M$27="",ISERROR($A59)),NA(),HLOOKUP(M$27,MODEL_MATRIX!$C$1:$AA$71,ROW()-ROW(L$26),0))</f>
        <v>#N/A</v>
      </c>
      <c r="N59" t="e">
        <f>IF(OR(N$27="",ISERROR($A59)),NA(),HLOOKUP(N$27,MODEL_MATRIX!$C$1:$AA$71,ROW()-ROW(M$26),0))</f>
        <v>#N/A</v>
      </c>
      <c r="O59" t="e">
        <f>IF(OR(O$27="",ISERROR($A59)),NA(),HLOOKUP(O$27,MODEL_MATRIX!$C$1:$AA$71,ROW()-ROW(N$26),0))</f>
        <v>#N/A</v>
      </c>
      <c r="P59" t="e">
        <f>IF(OR(P$27="",ISERROR($A59)),NA(),HLOOKUP(P$27,MODEL_MATRIX!$C$1:$AA$71,ROW()-ROW(O$26),0))</f>
        <v>#N/A</v>
      </c>
      <c r="Q59" t="e">
        <f>IF(OR(Q$27="",ISERROR($A59)),NA(),HLOOKUP(Q$27,MODEL_MATRIX!$C$1:$AA$71,ROW()-ROW(P$26),0))</f>
        <v>#N/A</v>
      </c>
      <c r="R59" t="e">
        <f>IF(OR(R$27="",ISERROR($A59)),NA(),HLOOKUP(R$27,MODEL_MATRIX!$C$1:$AA$71,ROW()-ROW(Q$26),0))</f>
        <v>#N/A</v>
      </c>
      <c r="S59" t="e">
        <f>IF(OR(S$27="",ISERROR($A59)),NA(),HLOOKUP(S$27,MODEL_MATRIX!$C$1:$AA$71,ROW()-ROW(R$26),0))</f>
        <v>#N/A</v>
      </c>
      <c r="T59" t="e">
        <f>IF(OR(T$27="",ISERROR($A59)),NA(),HLOOKUP(T$27,MODEL_MATRIX!$C$1:$AA$71,ROW()-ROW(S$26),0))</f>
        <v>#N/A</v>
      </c>
      <c r="U59" t="e">
        <f>IF(OR(U$27="",ISERROR($A59)),NA(),HLOOKUP(U$27,MODEL_MATRIX!$C$1:$AA$71,ROW()-ROW(T$26),0))</f>
        <v>#N/A</v>
      </c>
      <c r="V59" t="e">
        <f>IF(OR(V$27="",ISERROR($A59)),NA(),HLOOKUP(V$27,MODEL_MATRIX!$C$1:$AA$71,ROW()-ROW(U$26),0))</f>
        <v>#N/A</v>
      </c>
      <c r="W59" t="e">
        <f>IF(OR(W$27="",ISERROR($A59)),NA(),HLOOKUP(W$27,MODEL_MATRIX!$C$1:$AA$71,ROW()-ROW(V$26),0))</f>
        <v>#N/A</v>
      </c>
      <c r="X59" t="e">
        <f>IF(OR(X$27="",ISERROR($A59)),NA(),HLOOKUP(X$27,MODEL_MATRIX!$C$1:$AA$71,ROW()-ROW(W$26),0))</f>
        <v>#N/A</v>
      </c>
      <c r="Y59" t="e">
        <f>IF(OR(Y$27="",ISERROR($A59)),NA(),HLOOKUP(Y$27,MODEL_MATRIX!$C$1:$AA$71,ROW()-ROW(X$26),0))</f>
        <v>#N/A</v>
      </c>
      <c r="Z59" t="e">
        <f>IF(OR(Z$27="",ISERROR($A59)),NA(),HLOOKUP(Z$27,MODEL_MATRIX!$C$1:$AA$71,ROW()-ROW(Y$26),0))</f>
        <v>#N/A</v>
      </c>
    </row>
    <row r="60" spans="1:26" hidden="1" x14ac:dyDescent="0.25">
      <c r="A60" t="e">
        <f>IF(MODEL_MATRIX!B34="",NA(),MODEL_MATRIX!B34)</f>
        <v>#N/A</v>
      </c>
      <c r="B60" t="e">
        <f ca="1">IF(OR(B$27="",ISERROR($A60)),NA(),HLOOKUP(B$27,MODEL_MATRIX!$C$1:$AA$71,ROW()-ROW(A$26),0))</f>
        <v>#N/A</v>
      </c>
      <c r="C60" t="e">
        <f ca="1">IF(OR(C$27="",ISERROR($A60)),NA(),HLOOKUP(C$27,MODEL_MATRIX!$C$1:$AA$71,ROW()-ROW(B$26),0))</f>
        <v>#N/A</v>
      </c>
      <c r="D60" t="e">
        <f ca="1">IF(OR(D$27="",ISERROR($A60)),NA(),HLOOKUP(D$27,MODEL_MATRIX!$C$1:$AA$71,ROW()-ROW(C$26),0))</f>
        <v>#N/A</v>
      </c>
      <c r="E60" t="e">
        <f>IF(OR(E$27="",ISERROR($A60)),NA(),HLOOKUP(E$27,MODEL_MATRIX!$C$1:$AA$71,ROW()-ROW(D$26),0))</f>
        <v>#N/A</v>
      </c>
      <c r="F60" t="e">
        <f>IF(OR(F$27="",ISERROR($A60)),NA(),HLOOKUP(F$27,MODEL_MATRIX!$C$1:$AA$71,ROW()-ROW(E$26),0))</f>
        <v>#N/A</v>
      </c>
      <c r="G60" t="e">
        <f>IF(OR(G$27="",ISERROR($A60)),NA(),HLOOKUP(G$27,MODEL_MATRIX!$C$1:$AA$71,ROW()-ROW(F$26),0))</f>
        <v>#N/A</v>
      </c>
      <c r="H60" t="e">
        <f>IF(OR(H$27="",ISERROR($A60)),NA(),HLOOKUP(H$27,MODEL_MATRIX!$C$1:$AA$71,ROW()-ROW(G$26),0))</f>
        <v>#N/A</v>
      </c>
      <c r="I60" t="e">
        <f>IF(OR(I$27="",ISERROR($A60)),NA(),HLOOKUP(I$27,MODEL_MATRIX!$C$1:$AA$71,ROW()-ROW(H$26),0))</f>
        <v>#N/A</v>
      </c>
      <c r="J60" t="e">
        <f>IF(OR(J$27="",ISERROR($A60)),NA(),HLOOKUP(J$27,MODEL_MATRIX!$C$1:$AA$71,ROW()-ROW(I$26),0))</f>
        <v>#N/A</v>
      </c>
      <c r="K60" t="e">
        <f>IF(OR(K$27="",ISERROR($A60)),NA(),HLOOKUP(K$27,MODEL_MATRIX!$C$1:$AA$71,ROW()-ROW(J$26),0))</f>
        <v>#N/A</v>
      </c>
      <c r="L60" t="e">
        <f>IF(OR(L$27="",ISERROR($A60)),NA(),HLOOKUP(L$27,MODEL_MATRIX!$C$1:$AA$71,ROW()-ROW(K$26),0))</f>
        <v>#N/A</v>
      </c>
      <c r="M60" t="e">
        <f>IF(OR(M$27="",ISERROR($A60)),NA(),HLOOKUP(M$27,MODEL_MATRIX!$C$1:$AA$71,ROW()-ROW(L$26),0))</f>
        <v>#N/A</v>
      </c>
      <c r="N60" t="e">
        <f>IF(OR(N$27="",ISERROR($A60)),NA(),HLOOKUP(N$27,MODEL_MATRIX!$C$1:$AA$71,ROW()-ROW(M$26),0))</f>
        <v>#N/A</v>
      </c>
      <c r="O60" t="e">
        <f>IF(OR(O$27="",ISERROR($A60)),NA(),HLOOKUP(O$27,MODEL_MATRIX!$C$1:$AA$71,ROW()-ROW(N$26),0))</f>
        <v>#N/A</v>
      </c>
      <c r="P60" t="e">
        <f>IF(OR(P$27="",ISERROR($A60)),NA(),HLOOKUP(P$27,MODEL_MATRIX!$C$1:$AA$71,ROW()-ROW(O$26),0))</f>
        <v>#N/A</v>
      </c>
      <c r="Q60" t="e">
        <f>IF(OR(Q$27="",ISERROR($A60)),NA(),HLOOKUP(Q$27,MODEL_MATRIX!$C$1:$AA$71,ROW()-ROW(P$26),0))</f>
        <v>#N/A</v>
      </c>
      <c r="R60" t="e">
        <f>IF(OR(R$27="",ISERROR($A60)),NA(),HLOOKUP(R$27,MODEL_MATRIX!$C$1:$AA$71,ROW()-ROW(Q$26),0))</f>
        <v>#N/A</v>
      </c>
      <c r="S60" t="e">
        <f>IF(OR(S$27="",ISERROR($A60)),NA(),HLOOKUP(S$27,MODEL_MATRIX!$C$1:$AA$71,ROW()-ROW(R$26),0))</f>
        <v>#N/A</v>
      </c>
      <c r="T60" t="e">
        <f>IF(OR(T$27="",ISERROR($A60)),NA(),HLOOKUP(T$27,MODEL_MATRIX!$C$1:$AA$71,ROW()-ROW(S$26),0))</f>
        <v>#N/A</v>
      </c>
      <c r="U60" t="e">
        <f>IF(OR(U$27="",ISERROR($A60)),NA(),HLOOKUP(U$27,MODEL_MATRIX!$C$1:$AA$71,ROW()-ROW(T$26),0))</f>
        <v>#N/A</v>
      </c>
      <c r="V60" t="e">
        <f>IF(OR(V$27="",ISERROR($A60)),NA(),HLOOKUP(V$27,MODEL_MATRIX!$C$1:$AA$71,ROW()-ROW(U$26),0))</f>
        <v>#N/A</v>
      </c>
      <c r="W60" t="e">
        <f>IF(OR(W$27="",ISERROR($A60)),NA(),HLOOKUP(W$27,MODEL_MATRIX!$C$1:$AA$71,ROW()-ROW(V$26),0))</f>
        <v>#N/A</v>
      </c>
      <c r="X60" t="e">
        <f>IF(OR(X$27="",ISERROR($A60)),NA(),HLOOKUP(X$27,MODEL_MATRIX!$C$1:$AA$71,ROW()-ROW(W$26),0))</f>
        <v>#N/A</v>
      </c>
      <c r="Y60" t="e">
        <f>IF(OR(Y$27="",ISERROR($A60)),NA(),HLOOKUP(Y$27,MODEL_MATRIX!$C$1:$AA$71,ROW()-ROW(X$26),0))</f>
        <v>#N/A</v>
      </c>
      <c r="Z60" t="e">
        <f>IF(OR(Z$27="",ISERROR($A60)),NA(),HLOOKUP(Z$27,MODEL_MATRIX!$C$1:$AA$71,ROW()-ROW(Y$26),0))</f>
        <v>#N/A</v>
      </c>
    </row>
    <row r="61" spans="1:26" hidden="1" x14ac:dyDescent="0.25">
      <c r="A61" t="e">
        <f>IF(MODEL_MATRIX!B35="",NA(),MODEL_MATRIX!B35)</f>
        <v>#N/A</v>
      </c>
      <c r="B61" t="e">
        <f ca="1">IF(OR(B$27="",ISERROR($A61)),NA(),HLOOKUP(B$27,MODEL_MATRIX!$C$1:$AA$71,ROW()-ROW(A$26),0))</f>
        <v>#N/A</v>
      </c>
      <c r="C61" t="e">
        <f ca="1">IF(OR(C$27="",ISERROR($A61)),NA(),HLOOKUP(C$27,MODEL_MATRIX!$C$1:$AA$71,ROW()-ROW(B$26),0))</f>
        <v>#N/A</v>
      </c>
      <c r="D61" t="e">
        <f ca="1">IF(OR(D$27="",ISERROR($A61)),NA(),HLOOKUP(D$27,MODEL_MATRIX!$C$1:$AA$71,ROW()-ROW(C$26),0))</f>
        <v>#N/A</v>
      </c>
      <c r="E61" t="e">
        <f>IF(OR(E$27="",ISERROR($A61)),NA(),HLOOKUP(E$27,MODEL_MATRIX!$C$1:$AA$71,ROW()-ROW(D$26),0))</f>
        <v>#N/A</v>
      </c>
      <c r="F61" t="e">
        <f>IF(OR(F$27="",ISERROR($A61)),NA(),HLOOKUP(F$27,MODEL_MATRIX!$C$1:$AA$71,ROW()-ROW(E$26),0))</f>
        <v>#N/A</v>
      </c>
      <c r="G61" t="e">
        <f>IF(OR(G$27="",ISERROR($A61)),NA(),HLOOKUP(G$27,MODEL_MATRIX!$C$1:$AA$71,ROW()-ROW(F$26),0))</f>
        <v>#N/A</v>
      </c>
      <c r="H61" t="e">
        <f>IF(OR(H$27="",ISERROR($A61)),NA(),HLOOKUP(H$27,MODEL_MATRIX!$C$1:$AA$71,ROW()-ROW(G$26),0))</f>
        <v>#N/A</v>
      </c>
      <c r="I61" t="e">
        <f>IF(OR(I$27="",ISERROR($A61)),NA(),HLOOKUP(I$27,MODEL_MATRIX!$C$1:$AA$71,ROW()-ROW(H$26),0))</f>
        <v>#N/A</v>
      </c>
      <c r="J61" t="e">
        <f>IF(OR(J$27="",ISERROR($A61)),NA(),HLOOKUP(J$27,MODEL_MATRIX!$C$1:$AA$71,ROW()-ROW(I$26),0))</f>
        <v>#N/A</v>
      </c>
      <c r="K61" t="e">
        <f>IF(OR(K$27="",ISERROR($A61)),NA(),HLOOKUP(K$27,MODEL_MATRIX!$C$1:$AA$71,ROW()-ROW(J$26),0))</f>
        <v>#N/A</v>
      </c>
      <c r="L61" t="e">
        <f>IF(OR(L$27="",ISERROR($A61)),NA(),HLOOKUP(L$27,MODEL_MATRIX!$C$1:$AA$71,ROW()-ROW(K$26),0))</f>
        <v>#N/A</v>
      </c>
      <c r="M61" t="e">
        <f>IF(OR(M$27="",ISERROR($A61)),NA(),HLOOKUP(M$27,MODEL_MATRIX!$C$1:$AA$71,ROW()-ROW(L$26),0))</f>
        <v>#N/A</v>
      </c>
      <c r="N61" t="e">
        <f>IF(OR(N$27="",ISERROR($A61)),NA(),HLOOKUP(N$27,MODEL_MATRIX!$C$1:$AA$71,ROW()-ROW(M$26),0))</f>
        <v>#N/A</v>
      </c>
      <c r="O61" t="e">
        <f>IF(OR(O$27="",ISERROR($A61)),NA(),HLOOKUP(O$27,MODEL_MATRIX!$C$1:$AA$71,ROW()-ROW(N$26),0))</f>
        <v>#N/A</v>
      </c>
      <c r="P61" t="e">
        <f>IF(OR(P$27="",ISERROR($A61)),NA(),HLOOKUP(P$27,MODEL_MATRIX!$C$1:$AA$71,ROW()-ROW(O$26),0))</f>
        <v>#N/A</v>
      </c>
      <c r="Q61" t="e">
        <f>IF(OR(Q$27="",ISERROR($A61)),NA(),HLOOKUP(Q$27,MODEL_MATRIX!$C$1:$AA$71,ROW()-ROW(P$26),0))</f>
        <v>#N/A</v>
      </c>
      <c r="R61" t="e">
        <f>IF(OR(R$27="",ISERROR($A61)),NA(),HLOOKUP(R$27,MODEL_MATRIX!$C$1:$AA$71,ROW()-ROW(Q$26),0))</f>
        <v>#N/A</v>
      </c>
      <c r="S61" t="e">
        <f>IF(OR(S$27="",ISERROR($A61)),NA(),HLOOKUP(S$27,MODEL_MATRIX!$C$1:$AA$71,ROW()-ROW(R$26),0))</f>
        <v>#N/A</v>
      </c>
      <c r="T61" t="e">
        <f>IF(OR(T$27="",ISERROR($A61)),NA(),HLOOKUP(T$27,MODEL_MATRIX!$C$1:$AA$71,ROW()-ROW(S$26),0))</f>
        <v>#N/A</v>
      </c>
      <c r="U61" t="e">
        <f>IF(OR(U$27="",ISERROR($A61)),NA(),HLOOKUP(U$27,MODEL_MATRIX!$C$1:$AA$71,ROW()-ROW(T$26),0))</f>
        <v>#N/A</v>
      </c>
      <c r="V61" t="e">
        <f>IF(OR(V$27="",ISERROR($A61)),NA(),HLOOKUP(V$27,MODEL_MATRIX!$C$1:$AA$71,ROW()-ROW(U$26),0))</f>
        <v>#N/A</v>
      </c>
      <c r="W61" t="e">
        <f>IF(OR(W$27="",ISERROR($A61)),NA(),HLOOKUP(W$27,MODEL_MATRIX!$C$1:$AA$71,ROW()-ROW(V$26),0))</f>
        <v>#N/A</v>
      </c>
      <c r="X61" t="e">
        <f>IF(OR(X$27="",ISERROR($A61)),NA(),HLOOKUP(X$27,MODEL_MATRIX!$C$1:$AA$71,ROW()-ROW(W$26),0))</f>
        <v>#N/A</v>
      </c>
      <c r="Y61" t="e">
        <f>IF(OR(Y$27="",ISERROR($A61)),NA(),HLOOKUP(Y$27,MODEL_MATRIX!$C$1:$AA$71,ROW()-ROW(X$26),0))</f>
        <v>#N/A</v>
      </c>
      <c r="Z61" t="e">
        <f>IF(OR(Z$27="",ISERROR($A61)),NA(),HLOOKUP(Z$27,MODEL_MATRIX!$C$1:$AA$71,ROW()-ROW(Y$26),0))</f>
        <v>#N/A</v>
      </c>
    </row>
    <row r="62" spans="1:26" hidden="1" x14ac:dyDescent="0.25">
      <c r="A62" t="e">
        <f>IF(MODEL_MATRIX!B36="",NA(),MODEL_MATRIX!B36)</f>
        <v>#N/A</v>
      </c>
      <c r="B62" t="e">
        <f ca="1">IF(OR(B$27="",ISERROR($A62)),NA(),HLOOKUP(B$27,MODEL_MATRIX!$C$1:$AA$71,ROW()-ROW(A$26),0))</f>
        <v>#N/A</v>
      </c>
      <c r="C62" t="e">
        <f ca="1">IF(OR(C$27="",ISERROR($A62)),NA(),HLOOKUP(C$27,MODEL_MATRIX!$C$1:$AA$71,ROW()-ROW(B$26),0))</f>
        <v>#N/A</v>
      </c>
      <c r="D62" t="e">
        <f ca="1">IF(OR(D$27="",ISERROR($A62)),NA(),HLOOKUP(D$27,MODEL_MATRIX!$C$1:$AA$71,ROW()-ROW(C$26),0))</f>
        <v>#N/A</v>
      </c>
      <c r="E62" t="e">
        <f>IF(OR(E$27="",ISERROR($A62)),NA(),HLOOKUP(E$27,MODEL_MATRIX!$C$1:$AA$71,ROW()-ROW(D$26),0))</f>
        <v>#N/A</v>
      </c>
      <c r="F62" t="e">
        <f>IF(OR(F$27="",ISERROR($A62)),NA(),HLOOKUP(F$27,MODEL_MATRIX!$C$1:$AA$71,ROW()-ROW(E$26),0))</f>
        <v>#N/A</v>
      </c>
      <c r="G62" t="e">
        <f>IF(OR(G$27="",ISERROR($A62)),NA(),HLOOKUP(G$27,MODEL_MATRIX!$C$1:$AA$71,ROW()-ROW(F$26),0))</f>
        <v>#N/A</v>
      </c>
      <c r="H62" t="e">
        <f>IF(OR(H$27="",ISERROR($A62)),NA(),HLOOKUP(H$27,MODEL_MATRIX!$C$1:$AA$71,ROW()-ROW(G$26),0))</f>
        <v>#N/A</v>
      </c>
      <c r="I62" t="e">
        <f>IF(OR(I$27="",ISERROR($A62)),NA(),HLOOKUP(I$27,MODEL_MATRIX!$C$1:$AA$71,ROW()-ROW(H$26),0))</f>
        <v>#N/A</v>
      </c>
      <c r="J62" t="e">
        <f>IF(OR(J$27="",ISERROR($A62)),NA(),HLOOKUP(J$27,MODEL_MATRIX!$C$1:$AA$71,ROW()-ROW(I$26),0))</f>
        <v>#N/A</v>
      </c>
      <c r="K62" t="e">
        <f>IF(OR(K$27="",ISERROR($A62)),NA(),HLOOKUP(K$27,MODEL_MATRIX!$C$1:$AA$71,ROW()-ROW(J$26),0))</f>
        <v>#N/A</v>
      </c>
      <c r="L62" t="e">
        <f>IF(OR(L$27="",ISERROR($A62)),NA(),HLOOKUP(L$27,MODEL_MATRIX!$C$1:$AA$71,ROW()-ROW(K$26),0))</f>
        <v>#N/A</v>
      </c>
      <c r="M62" t="e">
        <f>IF(OR(M$27="",ISERROR($A62)),NA(),HLOOKUP(M$27,MODEL_MATRIX!$C$1:$AA$71,ROW()-ROW(L$26),0))</f>
        <v>#N/A</v>
      </c>
      <c r="N62" t="e">
        <f>IF(OR(N$27="",ISERROR($A62)),NA(),HLOOKUP(N$27,MODEL_MATRIX!$C$1:$AA$71,ROW()-ROW(M$26),0))</f>
        <v>#N/A</v>
      </c>
      <c r="O62" t="e">
        <f>IF(OR(O$27="",ISERROR($A62)),NA(),HLOOKUP(O$27,MODEL_MATRIX!$C$1:$AA$71,ROW()-ROW(N$26),0))</f>
        <v>#N/A</v>
      </c>
      <c r="P62" t="e">
        <f>IF(OR(P$27="",ISERROR($A62)),NA(),HLOOKUP(P$27,MODEL_MATRIX!$C$1:$AA$71,ROW()-ROW(O$26),0))</f>
        <v>#N/A</v>
      </c>
      <c r="Q62" t="e">
        <f>IF(OR(Q$27="",ISERROR($A62)),NA(),HLOOKUP(Q$27,MODEL_MATRIX!$C$1:$AA$71,ROW()-ROW(P$26),0))</f>
        <v>#N/A</v>
      </c>
      <c r="R62" t="e">
        <f>IF(OR(R$27="",ISERROR($A62)),NA(),HLOOKUP(R$27,MODEL_MATRIX!$C$1:$AA$71,ROW()-ROW(Q$26),0))</f>
        <v>#N/A</v>
      </c>
      <c r="S62" t="e">
        <f>IF(OR(S$27="",ISERROR($A62)),NA(),HLOOKUP(S$27,MODEL_MATRIX!$C$1:$AA$71,ROW()-ROW(R$26),0))</f>
        <v>#N/A</v>
      </c>
      <c r="T62" t="e">
        <f>IF(OR(T$27="",ISERROR($A62)),NA(),HLOOKUP(T$27,MODEL_MATRIX!$C$1:$AA$71,ROW()-ROW(S$26),0))</f>
        <v>#N/A</v>
      </c>
      <c r="U62" t="e">
        <f>IF(OR(U$27="",ISERROR($A62)),NA(),HLOOKUP(U$27,MODEL_MATRIX!$C$1:$AA$71,ROW()-ROW(T$26),0))</f>
        <v>#N/A</v>
      </c>
      <c r="V62" t="e">
        <f>IF(OR(V$27="",ISERROR($A62)),NA(),HLOOKUP(V$27,MODEL_MATRIX!$C$1:$AA$71,ROW()-ROW(U$26),0))</f>
        <v>#N/A</v>
      </c>
      <c r="W62" t="e">
        <f>IF(OR(W$27="",ISERROR($A62)),NA(),HLOOKUP(W$27,MODEL_MATRIX!$C$1:$AA$71,ROW()-ROW(V$26),0))</f>
        <v>#N/A</v>
      </c>
      <c r="X62" t="e">
        <f>IF(OR(X$27="",ISERROR($A62)),NA(),HLOOKUP(X$27,MODEL_MATRIX!$C$1:$AA$71,ROW()-ROW(W$26),0))</f>
        <v>#N/A</v>
      </c>
      <c r="Y62" t="e">
        <f>IF(OR(Y$27="",ISERROR($A62)),NA(),HLOOKUP(Y$27,MODEL_MATRIX!$C$1:$AA$71,ROW()-ROW(X$26),0))</f>
        <v>#N/A</v>
      </c>
      <c r="Z62" t="e">
        <f>IF(OR(Z$27="",ISERROR($A62)),NA(),HLOOKUP(Z$27,MODEL_MATRIX!$C$1:$AA$71,ROW()-ROW(Y$26),0))</f>
        <v>#N/A</v>
      </c>
    </row>
    <row r="63" spans="1:26" hidden="1" x14ac:dyDescent="0.25">
      <c r="A63" t="e">
        <f>IF(MODEL_MATRIX!B37="",NA(),MODEL_MATRIX!B37)</f>
        <v>#N/A</v>
      </c>
      <c r="B63" t="e">
        <f ca="1">IF(OR(B$27="",ISERROR($A63)),NA(),HLOOKUP(B$27,MODEL_MATRIX!$C$1:$AA$71,ROW()-ROW(A$26),0))</f>
        <v>#N/A</v>
      </c>
      <c r="C63" t="e">
        <f ca="1">IF(OR(C$27="",ISERROR($A63)),NA(),HLOOKUP(C$27,MODEL_MATRIX!$C$1:$AA$71,ROW()-ROW(B$26),0))</f>
        <v>#N/A</v>
      </c>
      <c r="D63" t="e">
        <f ca="1">IF(OR(D$27="",ISERROR($A63)),NA(),HLOOKUP(D$27,MODEL_MATRIX!$C$1:$AA$71,ROW()-ROW(C$26),0))</f>
        <v>#N/A</v>
      </c>
      <c r="E63" t="e">
        <f>IF(OR(E$27="",ISERROR($A63)),NA(),HLOOKUP(E$27,MODEL_MATRIX!$C$1:$AA$71,ROW()-ROW(D$26),0))</f>
        <v>#N/A</v>
      </c>
      <c r="F63" t="e">
        <f>IF(OR(F$27="",ISERROR($A63)),NA(),HLOOKUP(F$27,MODEL_MATRIX!$C$1:$AA$71,ROW()-ROW(E$26),0))</f>
        <v>#N/A</v>
      </c>
      <c r="G63" t="e">
        <f>IF(OR(G$27="",ISERROR($A63)),NA(),HLOOKUP(G$27,MODEL_MATRIX!$C$1:$AA$71,ROW()-ROW(F$26),0))</f>
        <v>#N/A</v>
      </c>
      <c r="H63" t="e">
        <f>IF(OR(H$27="",ISERROR($A63)),NA(),HLOOKUP(H$27,MODEL_MATRIX!$C$1:$AA$71,ROW()-ROW(G$26),0))</f>
        <v>#N/A</v>
      </c>
      <c r="I63" t="e">
        <f>IF(OR(I$27="",ISERROR($A63)),NA(),HLOOKUP(I$27,MODEL_MATRIX!$C$1:$AA$71,ROW()-ROW(H$26),0))</f>
        <v>#N/A</v>
      </c>
      <c r="J63" t="e">
        <f>IF(OR(J$27="",ISERROR($A63)),NA(),HLOOKUP(J$27,MODEL_MATRIX!$C$1:$AA$71,ROW()-ROW(I$26),0))</f>
        <v>#N/A</v>
      </c>
      <c r="K63" t="e">
        <f>IF(OR(K$27="",ISERROR($A63)),NA(),HLOOKUP(K$27,MODEL_MATRIX!$C$1:$AA$71,ROW()-ROW(J$26),0))</f>
        <v>#N/A</v>
      </c>
      <c r="L63" t="e">
        <f>IF(OR(L$27="",ISERROR($A63)),NA(),HLOOKUP(L$27,MODEL_MATRIX!$C$1:$AA$71,ROW()-ROW(K$26),0))</f>
        <v>#N/A</v>
      </c>
      <c r="M63" t="e">
        <f>IF(OR(M$27="",ISERROR($A63)),NA(),HLOOKUP(M$27,MODEL_MATRIX!$C$1:$AA$71,ROW()-ROW(L$26),0))</f>
        <v>#N/A</v>
      </c>
      <c r="N63" t="e">
        <f>IF(OR(N$27="",ISERROR($A63)),NA(),HLOOKUP(N$27,MODEL_MATRIX!$C$1:$AA$71,ROW()-ROW(M$26),0))</f>
        <v>#N/A</v>
      </c>
      <c r="O63" t="e">
        <f>IF(OR(O$27="",ISERROR($A63)),NA(),HLOOKUP(O$27,MODEL_MATRIX!$C$1:$AA$71,ROW()-ROW(N$26),0))</f>
        <v>#N/A</v>
      </c>
      <c r="P63" t="e">
        <f>IF(OR(P$27="",ISERROR($A63)),NA(),HLOOKUP(P$27,MODEL_MATRIX!$C$1:$AA$71,ROW()-ROW(O$26),0))</f>
        <v>#N/A</v>
      </c>
      <c r="Q63" t="e">
        <f>IF(OR(Q$27="",ISERROR($A63)),NA(),HLOOKUP(Q$27,MODEL_MATRIX!$C$1:$AA$71,ROW()-ROW(P$26),0))</f>
        <v>#N/A</v>
      </c>
      <c r="R63" t="e">
        <f>IF(OR(R$27="",ISERROR($A63)),NA(),HLOOKUP(R$27,MODEL_MATRIX!$C$1:$AA$71,ROW()-ROW(Q$26),0))</f>
        <v>#N/A</v>
      </c>
      <c r="S63" t="e">
        <f>IF(OR(S$27="",ISERROR($A63)),NA(),HLOOKUP(S$27,MODEL_MATRIX!$C$1:$AA$71,ROW()-ROW(R$26),0))</f>
        <v>#N/A</v>
      </c>
      <c r="T63" t="e">
        <f>IF(OR(T$27="",ISERROR($A63)),NA(),HLOOKUP(T$27,MODEL_MATRIX!$C$1:$AA$71,ROW()-ROW(S$26),0))</f>
        <v>#N/A</v>
      </c>
      <c r="U63" t="e">
        <f>IF(OR(U$27="",ISERROR($A63)),NA(),HLOOKUP(U$27,MODEL_MATRIX!$C$1:$AA$71,ROW()-ROW(T$26),0))</f>
        <v>#N/A</v>
      </c>
      <c r="V63" t="e">
        <f>IF(OR(V$27="",ISERROR($A63)),NA(),HLOOKUP(V$27,MODEL_MATRIX!$C$1:$AA$71,ROW()-ROW(U$26),0))</f>
        <v>#N/A</v>
      </c>
      <c r="W63" t="e">
        <f>IF(OR(W$27="",ISERROR($A63)),NA(),HLOOKUP(W$27,MODEL_MATRIX!$C$1:$AA$71,ROW()-ROW(V$26),0))</f>
        <v>#N/A</v>
      </c>
      <c r="X63" t="e">
        <f>IF(OR(X$27="",ISERROR($A63)),NA(),HLOOKUP(X$27,MODEL_MATRIX!$C$1:$AA$71,ROW()-ROW(W$26),0))</f>
        <v>#N/A</v>
      </c>
      <c r="Y63" t="e">
        <f>IF(OR(Y$27="",ISERROR($A63)),NA(),HLOOKUP(Y$27,MODEL_MATRIX!$C$1:$AA$71,ROW()-ROW(X$26),0))</f>
        <v>#N/A</v>
      </c>
      <c r="Z63" t="e">
        <f>IF(OR(Z$27="",ISERROR($A63)),NA(),HLOOKUP(Z$27,MODEL_MATRIX!$C$1:$AA$71,ROW()-ROW(Y$26),0))</f>
        <v>#N/A</v>
      </c>
    </row>
    <row r="64" spans="1:26" hidden="1" x14ac:dyDescent="0.25">
      <c r="A64" t="e">
        <f>IF(MODEL_MATRIX!B38="",NA(),MODEL_MATRIX!B38)</f>
        <v>#N/A</v>
      </c>
      <c r="B64" t="e">
        <f ca="1">IF(OR(B$27="",ISERROR($A64)),NA(),HLOOKUP(B$27,MODEL_MATRIX!$C$1:$AA$71,ROW()-ROW(A$26),0))</f>
        <v>#N/A</v>
      </c>
      <c r="C64" t="e">
        <f ca="1">IF(OR(C$27="",ISERROR($A64)),NA(),HLOOKUP(C$27,MODEL_MATRIX!$C$1:$AA$71,ROW()-ROW(B$26),0))</f>
        <v>#N/A</v>
      </c>
      <c r="D64" t="e">
        <f ca="1">IF(OR(D$27="",ISERROR($A64)),NA(),HLOOKUP(D$27,MODEL_MATRIX!$C$1:$AA$71,ROW()-ROW(C$26),0))</f>
        <v>#N/A</v>
      </c>
      <c r="E64" t="e">
        <f>IF(OR(E$27="",ISERROR($A64)),NA(),HLOOKUP(E$27,MODEL_MATRIX!$C$1:$AA$71,ROW()-ROW(D$26),0))</f>
        <v>#N/A</v>
      </c>
      <c r="F64" t="e">
        <f>IF(OR(F$27="",ISERROR($A64)),NA(),HLOOKUP(F$27,MODEL_MATRIX!$C$1:$AA$71,ROW()-ROW(E$26),0))</f>
        <v>#N/A</v>
      </c>
      <c r="G64" t="e">
        <f>IF(OR(G$27="",ISERROR($A64)),NA(),HLOOKUP(G$27,MODEL_MATRIX!$C$1:$AA$71,ROW()-ROW(F$26),0))</f>
        <v>#N/A</v>
      </c>
      <c r="H64" t="e">
        <f>IF(OR(H$27="",ISERROR($A64)),NA(),HLOOKUP(H$27,MODEL_MATRIX!$C$1:$AA$71,ROW()-ROW(G$26),0))</f>
        <v>#N/A</v>
      </c>
      <c r="I64" t="e">
        <f>IF(OR(I$27="",ISERROR($A64)),NA(),HLOOKUP(I$27,MODEL_MATRIX!$C$1:$AA$71,ROW()-ROW(H$26),0))</f>
        <v>#N/A</v>
      </c>
      <c r="J64" t="e">
        <f>IF(OR(J$27="",ISERROR($A64)),NA(),HLOOKUP(J$27,MODEL_MATRIX!$C$1:$AA$71,ROW()-ROW(I$26),0))</f>
        <v>#N/A</v>
      </c>
      <c r="K64" t="e">
        <f>IF(OR(K$27="",ISERROR($A64)),NA(),HLOOKUP(K$27,MODEL_MATRIX!$C$1:$AA$71,ROW()-ROW(J$26),0))</f>
        <v>#N/A</v>
      </c>
      <c r="L64" t="e">
        <f>IF(OR(L$27="",ISERROR($A64)),NA(),HLOOKUP(L$27,MODEL_MATRIX!$C$1:$AA$71,ROW()-ROW(K$26),0))</f>
        <v>#N/A</v>
      </c>
      <c r="M64" t="e">
        <f>IF(OR(M$27="",ISERROR($A64)),NA(),HLOOKUP(M$27,MODEL_MATRIX!$C$1:$AA$71,ROW()-ROW(L$26),0))</f>
        <v>#N/A</v>
      </c>
      <c r="N64" t="e">
        <f>IF(OR(N$27="",ISERROR($A64)),NA(),HLOOKUP(N$27,MODEL_MATRIX!$C$1:$AA$71,ROW()-ROW(M$26),0))</f>
        <v>#N/A</v>
      </c>
      <c r="O64" t="e">
        <f>IF(OR(O$27="",ISERROR($A64)),NA(),HLOOKUP(O$27,MODEL_MATRIX!$C$1:$AA$71,ROW()-ROW(N$26),0))</f>
        <v>#N/A</v>
      </c>
      <c r="P64" t="e">
        <f>IF(OR(P$27="",ISERROR($A64)),NA(),HLOOKUP(P$27,MODEL_MATRIX!$C$1:$AA$71,ROW()-ROW(O$26),0))</f>
        <v>#N/A</v>
      </c>
      <c r="Q64" t="e">
        <f>IF(OR(Q$27="",ISERROR($A64)),NA(),HLOOKUP(Q$27,MODEL_MATRIX!$C$1:$AA$71,ROW()-ROW(P$26),0))</f>
        <v>#N/A</v>
      </c>
      <c r="R64" t="e">
        <f>IF(OR(R$27="",ISERROR($A64)),NA(),HLOOKUP(R$27,MODEL_MATRIX!$C$1:$AA$71,ROW()-ROW(Q$26),0))</f>
        <v>#N/A</v>
      </c>
      <c r="S64" t="e">
        <f>IF(OR(S$27="",ISERROR($A64)),NA(),HLOOKUP(S$27,MODEL_MATRIX!$C$1:$AA$71,ROW()-ROW(R$26),0))</f>
        <v>#N/A</v>
      </c>
      <c r="T64" t="e">
        <f>IF(OR(T$27="",ISERROR($A64)),NA(),HLOOKUP(T$27,MODEL_MATRIX!$C$1:$AA$71,ROW()-ROW(S$26),0))</f>
        <v>#N/A</v>
      </c>
      <c r="U64" t="e">
        <f>IF(OR(U$27="",ISERROR($A64)),NA(),HLOOKUP(U$27,MODEL_MATRIX!$C$1:$AA$71,ROW()-ROW(T$26),0))</f>
        <v>#N/A</v>
      </c>
      <c r="V64" t="e">
        <f>IF(OR(V$27="",ISERROR($A64)),NA(),HLOOKUP(V$27,MODEL_MATRIX!$C$1:$AA$71,ROW()-ROW(U$26),0))</f>
        <v>#N/A</v>
      </c>
      <c r="W64" t="e">
        <f>IF(OR(W$27="",ISERROR($A64)),NA(),HLOOKUP(W$27,MODEL_MATRIX!$C$1:$AA$71,ROW()-ROW(V$26),0))</f>
        <v>#N/A</v>
      </c>
      <c r="X64" t="e">
        <f>IF(OR(X$27="",ISERROR($A64)),NA(),HLOOKUP(X$27,MODEL_MATRIX!$C$1:$AA$71,ROW()-ROW(W$26),0))</f>
        <v>#N/A</v>
      </c>
      <c r="Y64" t="e">
        <f>IF(OR(Y$27="",ISERROR($A64)),NA(),HLOOKUP(Y$27,MODEL_MATRIX!$C$1:$AA$71,ROW()-ROW(X$26),0))</f>
        <v>#N/A</v>
      </c>
      <c r="Z64" t="e">
        <f>IF(OR(Z$27="",ISERROR($A64)),NA(),HLOOKUP(Z$27,MODEL_MATRIX!$C$1:$AA$71,ROW()-ROW(Y$26),0))</f>
        <v>#N/A</v>
      </c>
    </row>
    <row r="65" spans="1:26" hidden="1" x14ac:dyDescent="0.25">
      <c r="A65" t="e">
        <f>IF(MODEL_MATRIX!B39="",NA(),MODEL_MATRIX!B39)</f>
        <v>#N/A</v>
      </c>
      <c r="B65" t="e">
        <f ca="1">IF(OR(B$27="",ISERROR($A65)),NA(),HLOOKUP(B$27,MODEL_MATRIX!$C$1:$AA$71,ROW()-ROW(A$26),0))</f>
        <v>#N/A</v>
      </c>
      <c r="C65" t="e">
        <f ca="1">IF(OR(C$27="",ISERROR($A65)),NA(),HLOOKUP(C$27,MODEL_MATRIX!$C$1:$AA$71,ROW()-ROW(B$26),0))</f>
        <v>#N/A</v>
      </c>
      <c r="D65" t="e">
        <f ca="1">IF(OR(D$27="",ISERROR($A65)),NA(),HLOOKUP(D$27,MODEL_MATRIX!$C$1:$AA$71,ROW()-ROW(C$26),0))</f>
        <v>#N/A</v>
      </c>
      <c r="E65" t="e">
        <f>IF(OR(E$27="",ISERROR($A65)),NA(),HLOOKUP(E$27,MODEL_MATRIX!$C$1:$AA$71,ROW()-ROW(D$26),0))</f>
        <v>#N/A</v>
      </c>
      <c r="F65" t="e">
        <f>IF(OR(F$27="",ISERROR($A65)),NA(),HLOOKUP(F$27,MODEL_MATRIX!$C$1:$AA$71,ROW()-ROW(E$26),0))</f>
        <v>#N/A</v>
      </c>
      <c r="G65" t="e">
        <f>IF(OR(G$27="",ISERROR($A65)),NA(),HLOOKUP(G$27,MODEL_MATRIX!$C$1:$AA$71,ROW()-ROW(F$26),0))</f>
        <v>#N/A</v>
      </c>
      <c r="H65" t="e">
        <f>IF(OR(H$27="",ISERROR($A65)),NA(),HLOOKUP(H$27,MODEL_MATRIX!$C$1:$AA$71,ROW()-ROW(G$26),0))</f>
        <v>#N/A</v>
      </c>
      <c r="I65" t="e">
        <f>IF(OR(I$27="",ISERROR($A65)),NA(),HLOOKUP(I$27,MODEL_MATRIX!$C$1:$AA$71,ROW()-ROW(H$26),0))</f>
        <v>#N/A</v>
      </c>
      <c r="J65" t="e">
        <f>IF(OR(J$27="",ISERROR($A65)),NA(),HLOOKUP(J$27,MODEL_MATRIX!$C$1:$AA$71,ROW()-ROW(I$26),0))</f>
        <v>#N/A</v>
      </c>
      <c r="K65" t="e">
        <f>IF(OR(K$27="",ISERROR($A65)),NA(),HLOOKUP(K$27,MODEL_MATRIX!$C$1:$AA$71,ROW()-ROW(J$26),0))</f>
        <v>#N/A</v>
      </c>
      <c r="L65" t="e">
        <f>IF(OR(L$27="",ISERROR($A65)),NA(),HLOOKUP(L$27,MODEL_MATRIX!$C$1:$AA$71,ROW()-ROW(K$26),0))</f>
        <v>#N/A</v>
      </c>
      <c r="M65" t="e">
        <f>IF(OR(M$27="",ISERROR($A65)),NA(),HLOOKUP(M$27,MODEL_MATRIX!$C$1:$AA$71,ROW()-ROW(L$26),0))</f>
        <v>#N/A</v>
      </c>
      <c r="N65" t="e">
        <f>IF(OR(N$27="",ISERROR($A65)),NA(),HLOOKUP(N$27,MODEL_MATRIX!$C$1:$AA$71,ROW()-ROW(M$26),0))</f>
        <v>#N/A</v>
      </c>
      <c r="O65" t="e">
        <f>IF(OR(O$27="",ISERROR($A65)),NA(),HLOOKUP(O$27,MODEL_MATRIX!$C$1:$AA$71,ROW()-ROW(N$26),0))</f>
        <v>#N/A</v>
      </c>
      <c r="P65" t="e">
        <f>IF(OR(P$27="",ISERROR($A65)),NA(),HLOOKUP(P$27,MODEL_MATRIX!$C$1:$AA$71,ROW()-ROW(O$26),0))</f>
        <v>#N/A</v>
      </c>
      <c r="Q65" t="e">
        <f>IF(OR(Q$27="",ISERROR($A65)),NA(),HLOOKUP(Q$27,MODEL_MATRIX!$C$1:$AA$71,ROW()-ROW(P$26),0))</f>
        <v>#N/A</v>
      </c>
      <c r="R65" t="e">
        <f>IF(OR(R$27="",ISERROR($A65)),NA(),HLOOKUP(R$27,MODEL_MATRIX!$C$1:$AA$71,ROW()-ROW(Q$26),0))</f>
        <v>#N/A</v>
      </c>
      <c r="S65" t="e">
        <f>IF(OR(S$27="",ISERROR($A65)),NA(),HLOOKUP(S$27,MODEL_MATRIX!$C$1:$AA$71,ROW()-ROW(R$26),0))</f>
        <v>#N/A</v>
      </c>
      <c r="T65" t="e">
        <f>IF(OR(T$27="",ISERROR($A65)),NA(),HLOOKUP(T$27,MODEL_MATRIX!$C$1:$AA$71,ROW()-ROW(S$26),0))</f>
        <v>#N/A</v>
      </c>
      <c r="U65" t="e">
        <f>IF(OR(U$27="",ISERROR($A65)),NA(),HLOOKUP(U$27,MODEL_MATRIX!$C$1:$AA$71,ROW()-ROW(T$26),0))</f>
        <v>#N/A</v>
      </c>
      <c r="V65" t="e">
        <f>IF(OR(V$27="",ISERROR($A65)),NA(),HLOOKUP(V$27,MODEL_MATRIX!$C$1:$AA$71,ROW()-ROW(U$26),0))</f>
        <v>#N/A</v>
      </c>
      <c r="W65" t="e">
        <f>IF(OR(W$27="",ISERROR($A65)),NA(),HLOOKUP(W$27,MODEL_MATRIX!$C$1:$AA$71,ROW()-ROW(V$26),0))</f>
        <v>#N/A</v>
      </c>
      <c r="X65" t="e">
        <f>IF(OR(X$27="",ISERROR($A65)),NA(),HLOOKUP(X$27,MODEL_MATRIX!$C$1:$AA$71,ROW()-ROW(W$26),0))</f>
        <v>#N/A</v>
      </c>
      <c r="Y65" t="e">
        <f>IF(OR(Y$27="",ISERROR($A65)),NA(),HLOOKUP(Y$27,MODEL_MATRIX!$C$1:$AA$71,ROW()-ROW(X$26),0))</f>
        <v>#N/A</v>
      </c>
      <c r="Z65" t="e">
        <f>IF(OR(Z$27="",ISERROR($A65)),NA(),HLOOKUP(Z$27,MODEL_MATRIX!$C$1:$AA$71,ROW()-ROW(Y$26),0))</f>
        <v>#N/A</v>
      </c>
    </row>
    <row r="66" spans="1:26" hidden="1" x14ac:dyDescent="0.25">
      <c r="A66" t="e">
        <f>IF(MODEL_MATRIX!B40="",NA(),MODEL_MATRIX!B40)</f>
        <v>#N/A</v>
      </c>
      <c r="B66" t="e">
        <f ca="1">IF(OR(B$27="",ISERROR($A66)),NA(),HLOOKUP(B$27,MODEL_MATRIX!$C$1:$AA$71,ROW()-ROW(A$26),0))</f>
        <v>#N/A</v>
      </c>
      <c r="C66" t="e">
        <f ca="1">IF(OR(C$27="",ISERROR($A66)),NA(),HLOOKUP(C$27,MODEL_MATRIX!$C$1:$AA$71,ROW()-ROW(B$26),0))</f>
        <v>#N/A</v>
      </c>
      <c r="D66" t="e">
        <f ca="1">IF(OR(D$27="",ISERROR($A66)),NA(),HLOOKUP(D$27,MODEL_MATRIX!$C$1:$AA$71,ROW()-ROW(C$26),0))</f>
        <v>#N/A</v>
      </c>
      <c r="E66" t="e">
        <f>IF(OR(E$27="",ISERROR($A66)),NA(),HLOOKUP(E$27,MODEL_MATRIX!$C$1:$AA$71,ROW()-ROW(D$26),0))</f>
        <v>#N/A</v>
      </c>
      <c r="F66" t="e">
        <f>IF(OR(F$27="",ISERROR($A66)),NA(),HLOOKUP(F$27,MODEL_MATRIX!$C$1:$AA$71,ROW()-ROW(E$26),0))</f>
        <v>#N/A</v>
      </c>
      <c r="G66" t="e">
        <f>IF(OR(G$27="",ISERROR($A66)),NA(),HLOOKUP(G$27,MODEL_MATRIX!$C$1:$AA$71,ROW()-ROW(F$26),0))</f>
        <v>#N/A</v>
      </c>
      <c r="H66" t="e">
        <f>IF(OR(H$27="",ISERROR($A66)),NA(),HLOOKUP(H$27,MODEL_MATRIX!$C$1:$AA$71,ROW()-ROW(G$26),0))</f>
        <v>#N/A</v>
      </c>
      <c r="I66" t="e">
        <f>IF(OR(I$27="",ISERROR($A66)),NA(),HLOOKUP(I$27,MODEL_MATRIX!$C$1:$AA$71,ROW()-ROW(H$26),0))</f>
        <v>#N/A</v>
      </c>
      <c r="J66" t="e">
        <f>IF(OR(J$27="",ISERROR($A66)),NA(),HLOOKUP(J$27,MODEL_MATRIX!$C$1:$AA$71,ROW()-ROW(I$26),0))</f>
        <v>#N/A</v>
      </c>
      <c r="K66" t="e">
        <f>IF(OR(K$27="",ISERROR($A66)),NA(),HLOOKUP(K$27,MODEL_MATRIX!$C$1:$AA$71,ROW()-ROW(J$26),0))</f>
        <v>#N/A</v>
      </c>
      <c r="L66" t="e">
        <f>IF(OR(L$27="",ISERROR($A66)),NA(),HLOOKUP(L$27,MODEL_MATRIX!$C$1:$AA$71,ROW()-ROW(K$26),0))</f>
        <v>#N/A</v>
      </c>
      <c r="M66" t="e">
        <f>IF(OR(M$27="",ISERROR($A66)),NA(),HLOOKUP(M$27,MODEL_MATRIX!$C$1:$AA$71,ROW()-ROW(L$26),0))</f>
        <v>#N/A</v>
      </c>
      <c r="N66" t="e">
        <f>IF(OR(N$27="",ISERROR($A66)),NA(),HLOOKUP(N$27,MODEL_MATRIX!$C$1:$AA$71,ROW()-ROW(M$26),0))</f>
        <v>#N/A</v>
      </c>
      <c r="O66" t="e">
        <f>IF(OR(O$27="",ISERROR($A66)),NA(),HLOOKUP(O$27,MODEL_MATRIX!$C$1:$AA$71,ROW()-ROW(N$26),0))</f>
        <v>#N/A</v>
      </c>
      <c r="P66" t="e">
        <f>IF(OR(P$27="",ISERROR($A66)),NA(),HLOOKUP(P$27,MODEL_MATRIX!$C$1:$AA$71,ROW()-ROW(O$26),0))</f>
        <v>#N/A</v>
      </c>
      <c r="Q66" t="e">
        <f>IF(OR(Q$27="",ISERROR($A66)),NA(),HLOOKUP(Q$27,MODEL_MATRIX!$C$1:$AA$71,ROW()-ROW(P$26),0))</f>
        <v>#N/A</v>
      </c>
      <c r="R66" t="e">
        <f>IF(OR(R$27="",ISERROR($A66)),NA(),HLOOKUP(R$27,MODEL_MATRIX!$C$1:$AA$71,ROW()-ROW(Q$26),0))</f>
        <v>#N/A</v>
      </c>
      <c r="S66" t="e">
        <f>IF(OR(S$27="",ISERROR($A66)),NA(),HLOOKUP(S$27,MODEL_MATRIX!$C$1:$AA$71,ROW()-ROW(R$26),0))</f>
        <v>#N/A</v>
      </c>
      <c r="T66" t="e">
        <f>IF(OR(T$27="",ISERROR($A66)),NA(),HLOOKUP(T$27,MODEL_MATRIX!$C$1:$AA$71,ROW()-ROW(S$26),0))</f>
        <v>#N/A</v>
      </c>
      <c r="U66" t="e">
        <f>IF(OR(U$27="",ISERROR($A66)),NA(),HLOOKUP(U$27,MODEL_MATRIX!$C$1:$AA$71,ROW()-ROW(T$26),0))</f>
        <v>#N/A</v>
      </c>
      <c r="V66" t="e">
        <f>IF(OR(V$27="",ISERROR($A66)),NA(),HLOOKUP(V$27,MODEL_MATRIX!$C$1:$AA$71,ROW()-ROW(U$26),0))</f>
        <v>#N/A</v>
      </c>
      <c r="W66" t="e">
        <f>IF(OR(W$27="",ISERROR($A66)),NA(),HLOOKUP(W$27,MODEL_MATRIX!$C$1:$AA$71,ROW()-ROW(V$26),0))</f>
        <v>#N/A</v>
      </c>
      <c r="X66" t="e">
        <f>IF(OR(X$27="",ISERROR($A66)),NA(),HLOOKUP(X$27,MODEL_MATRIX!$C$1:$AA$71,ROW()-ROW(W$26),0))</f>
        <v>#N/A</v>
      </c>
      <c r="Y66" t="e">
        <f>IF(OR(Y$27="",ISERROR($A66)),NA(),HLOOKUP(Y$27,MODEL_MATRIX!$C$1:$AA$71,ROW()-ROW(X$26),0))</f>
        <v>#N/A</v>
      </c>
      <c r="Z66" t="e">
        <f>IF(OR(Z$27="",ISERROR($A66)),NA(),HLOOKUP(Z$27,MODEL_MATRIX!$C$1:$AA$71,ROW()-ROW(Y$26),0))</f>
        <v>#N/A</v>
      </c>
    </row>
    <row r="67" spans="1:26" hidden="1" x14ac:dyDescent="0.25">
      <c r="A67" t="e">
        <f>IF(MODEL_MATRIX!B41="",NA(),MODEL_MATRIX!B41)</f>
        <v>#N/A</v>
      </c>
      <c r="B67" t="e">
        <f ca="1">IF(OR(B$27="",ISERROR($A67)),NA(),HLOOKUP(B$27,MODEL_MATRIX!$C$1:$AA$71,ROW()-ROW(A$26),0))</f>
        <v>#N/A</v>
      </c>
      <c r="C67" t="e">
        <f ca="1">IF(OR(C$27="",ISERROR($A67)),NA(),HLOOKUP(C$27,MODEL_MATRIX!$C$1:$AA$71,ROW()-ROW(B$26),0))</f>
        <v>#N/A</v>
      </c>
      <c r="D67" t="e">
        <f ca="1">IF(OR(D$27="",ISERROR($A67)),NA(),HLOOKUP(D$27,MODEL_MATRIX!$C$1:$AA$71,ROW()-ROW(C$26),0))</f>
        <v>#N/A</v>
      </c>
      <c r="E67" t="e">
        <f>IF(OR(E$27="",ISERROR($A67)),NA(),HLOOKUP(E$27,MODEL_MATRIX!$C$1:$AA$71,ROW()-ROW(D$26),0))</f>
        <v>#N/A</v>
      </c>
      <c r="F67" t="e">
        <f>IF(OR(F$27="",ISERROR($A67)),NA(),HLOOKUP(F$27,MODEL_MATRIX!$C$1:$AA$71,ROW()-ROW(E$26),0))</f>
        <v>#N/A</v>
      </c>
      <c r="G67" t="e">
        <f>IF(OR(G$27="",ISERROR($A67)),NA(),HLOOKUP(G$27,MODEL_MATRIX!$C$1:$AA$71,ROW()-ROW(F$26),0))</f>
        <v>#N/A</v>
      </c>
      <c r="H67" t="e">
        <f>IF(OR(H$27="",ISERROR($A67)),NA(),HLOOKUP(H$27,MODEL_MATRIX!$C$1:$AA$71,ROW()-ROW(G$26),0))</f>
        <v>#N/A</v>
      </c>
      <c r="I67" t="e">
        <f>IF(OR(I$27="",ISERROR($A67)),NA(),HLOOKUP(I$27,MODEL_MATRIX!$C$1:$AA$71,ROW()-ROW(H$26),0))</f>
        <v>#N/A</v>
      </c>
      <c r="J67" t="e">
        <f>IF(OR(J$27="",ISERROR($A67)),NA(),HLOOKUP(J$27,MODEL_MATRIX!$C$1:$AA$71,ROW()-ROW(I$26),0))</f>
        <v>#N/A</v>
      </c>
      <c r="K67" t="e">
        <f>IF(OR(K$27="",ISERROR($A67)),NA(),HLOOKUP(K$27,MODEL_MATRIX!$C$1:$AA$71,ROW()-ROW(J$26),0))</f>
        <v>#N/A</v>
      </c>
      <c r="L67" t="e">
        <f>IF(OR(L$27="",ISERROR($A67)),NA(),HLOOKUP(L$27,MODEL_MATRIX!$C$1:$AA$71,ROW()-ROW(K$26),0))</f>
        <v>#N/A</v>
      </c>
      <c r="M67" t="e">
        <f>IF(OR(M$27="",ISERROR($A67)),NA(),HLOOKUP(M$27,MODEL_MATRIX!$C$1:$AA$71,ROW()-ROW(L$26),0))</f>
        <v>#N/A</v>
      </c>
      <c r="N67" t="e">
        <f>IF(OR(N$27="",ISERROR($A67)),NA(),HLOOKUP(N$27,MODEL_MATRIX!$C$1:$AA$71,ROW()-ROW(M$26),0))</f>
        <v>#N/A</v>
      </c>
      <c r="O67" t="e">
        <f>IF(OR(O$27="",ISERROR($A67)),NA(),HLOOKUP(O$27,MODEL_MATRIX!$C$1:$AA$71,ROW()-ROW(N$26),0))</f>
        <v>#N/A</v>
      </c>
      <c r="P67" t="e">
        <f>IF(OR(P$27="",ISERROR($A67)),NA(),HLOOKUP(P$27,MODEL_MATRIX!$C$1:$AA$71,ROW()-ROW(O$26),0))</f>
        <v>#N/A</v>
      </c>
      <c r="Q67" t="e">
        <f>IF(OR(Q$27="",ISERROR($A67)),NA(),HLOOKUP(Q$27,MODEL_MATRIX!$C$1:$AA$71,ROW()-ROW(P$26),0))</f>
        <v>#N/A</v>
      </c>
      <c r="R67" t="e">
        <f>IF(OR(R$27="",ISERROR($A67)),NA(),HLOOKUP(R$27,MODEL_MATRIX!$C$1:$AA$71,ROW()-ROW(Q$26),0))</f>
        <v>#N/A</v>
      </c>
      <c r="S67" t="e">
        <f>IF(OR(S$27="",ISERROR($A67)),NA(),HLOOKUP(S$27,MODEL_MATRIX!$C$1:$AA$71,ROW()-ROW(R$26),0))</f>
        <v>#N/A</v>
      </c>
      <c r="T67" t="e">
        <f>IF(OR(T$27="",ISERROR($A67)),NA(),HLOOKUP(T$27,MODEL_MATRIX!$C$1:$AA$71,ROW()-ROW(S$26),0))</f>
        <v>#N/A</v>
      </c>
      <c r="U67" t="e">
        <f>IF(OR(U$27="",ISERROR($A67)),NA(),HLOOKUP(U$27,MODEL_MATRIX!$C$1:$AA$71,ROW()-ROW(T$26),0))</f>
        <v>#N/A</v>
      </c>
      <c r="V67" t="e">
        <f>IF(OR(V$27="",ISERROR($A67)),NA(),HLOOKUP(V$27,MODEL_MATRIX!$C$1:$AA$71,ROW()-ROW(U$26),0))</f>
        <v>#N/A</v>
      </c>
      <c r="W67" t="e">
        <f>IF(OR(W$27="",ISERROR($A67)),NA(),HLOOKUP(W$27,MODEL_MATRIX!$C$1:$AA$71,ROW()-ROW(V$26),0))</f>
        <v>#N/A</v>
      </c>
      <c r="X67" t="e">
        <f>IF(OR(X$27="",ISERROR($A67)),NA(),HLOOKUP(X$27,MODEL_MATRIX!$C$1:$AA$71,ROW()-ROW(W$26),0))</f>
        <v>#N/A</v>
      </c>
      <c r="Y67" t="e">
        <f>IF(OR(Y$27="",ISERROR($A67)),NA(),HLOOKUP(Y$27,MODEL_MATRIX!$C$1:$AA$71,ROW()-ROW(X$26),0))</f>
        <v>#N/A</v>
      </c>
      <c r="Z67" t="e">
        <f>IF(OR(Z$27="",ISERROR($A67)),NA(),HLOOKUP(Z$27,MODEL_MATRIX!$C$1:$AA$71,ROW()-ROW(Y$26),0))</f>
        <v>#N/A</v>
      </c>
    </row>
    <row r="68" spans="1:26" hidden="1" x14ac:dyDescent="0.25">
      <c r="A68" t="e">
        <f>IF(MODEL_MATRIX!B42="",NA(),MODEL_MATRIX!B42)</f>
        <v>#N/A</v>
      </c>
      <c r="B68" t="e">
        <f ca="1">IF(OR(B$27="",ISERROR($A68)),NA(),HLOOKUP(B$27,MODEL_MATRIX!$C$1:$AA$71,ROW()-ROW(A$26),0))</f>
        <v>#N/A</v>
      </c>
      <c r="C68" t="e">
        <f ca="1">IF(OR(C$27="",ISERROR($A68)),NA(),HLOOKUP(C$27,MODEL_MATRIX!$C$1:$AA$71,ROW()-ROW(B$26),0))</f>
        <v>#N/A</v>
      </c>
      <c r="D68" t="e">
        <f ca="1">IF(OR(D$27="",ISERROR($A68)),NA(),HLOOKUP(D$27,MODEL_MATRIX!$C$1:$AA$71,ROW()-ROW(C$26),0))</f>
        <v>#N/A</v>
      </c>
      <c r="E68" t="e">
        <f>IF(OR(E$27="",ISERROR($A68)),NA(),HLOOKUP(E$27,MODEL_MATRIX!$C$1:$AA$71,ROW()-ROW(D$26),0))</f>
        <v>#N/A</v>
      </c>
      <c r="F68" t="e">
        <f>IF(OR(F$27="",ISERROR($A68)),NA(),HLOOKUP(F$27,MODEL_MATRIX!$C$1:$AA$71,ROW()-ROW(E$26),0))</f>
        <v>#N/A</v>
      </c>
      <c r="G68" t="e">
        <f>IF(OR(G$27="",ISERROR($A68)),NA(),HLOOKUP(G$27,MODEL_MATRIX!$C$1:$AA$71,ROW()-ROW(F$26),0))</f>
        <v>#N/A</v>
      </c>
      <c r="H68" t="e">
        <f>IF(OR(H$27="",ISERROR($A68)),NA(),HLOOKUP(H$27,MODEL_MATRIX!$C$1:$AA$71,ROW()-ROW(G$26),0))</f>
        <v>#N/A</v>
      </c>
      <c r="I68" t="e">
        <f>IF(OR(I$27="",ISERROR($A68)),NA(),HLOOKUP(I$27,MODEL_MATRIX!$C$1:$AA$71,ROW()-ROW(H$26),0))</f>
        <v>#N/A</v>
      </c>
      <c r="J68" t="e">
        <f>IF(OR(J$27="",ISERROR($A68)),NA(),HLOOKUP(J$27,MODEL_MATRIX!$C$1:$AA$71,ROW()-ROW(I$26),0))</f>
        <v>#N/A</v>
      </c>
      <c r="K68" t="e">
        <f>IF(OR(K$27="",ISERROR($A68)),NA(),HLOOKUP(K$27,MODEL_MATRIX!$C$1:$AA$71,ROW()-ROW(J$26),0))</f>
        <v>#N/A</v>
      </c>
      <c r="L68" t="e">
        <f>IF(OR(L$27="",ISERROR($A68)),NA(),HLOOKUP(L$27,MODEL_MATRIX!$C$1:$AA$71,ROW()-ROW(K$26),0))</f>
        <v>#N/A</v>
      </c>
      <c r="M68" t="e">
        <f>IF(OR(M$27="",ISERROR($A68)),NA(),HLOOKUP(M$27,MODEL_MATRIX!$C$1:$AA$71,ROW()-ROW(L$26),0))</f>
        <v>#N/A</v>
      </c>
      <c r="N68" t="e">
        <f>IF(OR(N$27="",ISERROR($A68)),NA(),HLOOKUP(N$27,MODEL_MATRIX!$C$1:$AA$71,ROW()-ROW(M$26),0))</f>
        <v>#N/A</v>
      </c>
      <c r="O68" t="e">
        <f>IF(OR(O$27="",ISERROR($A68)),NA(),HLOOKUP(O$27,MODEL_MATRIX!$C$1:$AA$71,ROW()-ROW(N$26),0))</f>
        <v>#N/A</v>
      </c>
      <c r="P68" t="e">
        <f>IF(OR(P$27="",ISERROR($A68)),NA(),HLOOKUP(P$27,MODEL_MATRIX!$C$1:$AA$71,ROW()-ROW(O$26),0))</f>
        <v>#N/A</v>
      </c>
      <c r="Q68" t="e">
        <f>IF(OR(Q$27="",ISERROR($A68)),NA(),HLOOKUP(Q$27,MODEL_MATRIX!$C$1:$AA$71,ROW()-ROW(P$26),0))</f>
        <v>#N/A</v>
      </c>
      <c r="R68" t="e">
        <f>IF(OR(R$27="",ISERROR($A68)),NA(),HLOOKUP(R$27,MODEL_MATRIX!$C$1:$AA$71,ROW()-ROW(Q$26),0))</f>
        <v>#N/A</v>
      </c>
      <c r="S68" t="e">
        <f>IF(OR(S$27="",ISERROR($A68)),NA(),HLOOKUP(S$27,MODEL_MATRIX!$C$1:$AA$71,ROW()-ROW(R$26),0))</f>
        <v>#N/A</v>
      </c>
      <c r="T68" t="e">
        <f>IF(OR(T$27="",ISERROR($A68)),NA(),HLOOKUP(T$27,MODEL_MATRIX!$C$1:$AA$71,ROW()-ROW(S$26),0))</f>
        <v>#N/A</v>
      </c>
      <c r="U68" t="e">
        <f>IF(OR(U$27="",ISERROR($A68)),NA(),HLOOKUP(U$27,MODEL_MATRIX!$C$1:$AA$71,ROW()-ROW(T$26),0))</f>
        <v>#N/A</v>
      </c>
      <c r="V68" t="e">
        <f>IF(OR(V$27="",ISERROR($A68)),NA(),HLOOKUP(V$27,MODEL_MATRIX!$C$1:$AA$71,ROW()-ROW(U$26),0))</f>
        <v>#N/A</v>
      </c>
      <c r="W68" t="e">
        <f>IF(OR(W$27="",ISERROR($A68)),NA(),HLOOKUP(W$27,MODEL_MATRIX!$C$1:$AA$71,ROW()-ROW(V$26),0))</f>
        <v>#N/A</v>
      </c>
      <c r="X68" t="e">
        <f>IF(OR(X$27="",ISERROR($A68)),NA(),HLOOKUP(X$27,MODEL_MATRIX!$C$1:$AA$71,ROW()-ROW(W$26),0))</f>
        <v>#N/A</v>
      </c>
      <c r="Y68" t="e">
        <f>IF(OR(Y$27="",ISERROR($A68)),NA(),HLOOKUP(Y$27,MODEL_MATRIX!$C$1:$AA$71,ROW()-ROW(X$26),0))</f>
        <v>#N/A</v>
      </c>
      <c r="Z68" t="e">
        <f>IF(OR(Z$27="",ISERROR($A68)),NA(),HLOOKUP(Z$27,MODEL_MATRIX!$C$1:$AA$71,ROW()-ROW(Y$26),0))</f>
        <v>#N/A</v>
      </c>
    </row>
    <row r="69" spans="1:26" hidden="1" x14ac:dyDescent="0.25">
      <c r="A69" t="e">
        <f>IF(MODEL_MATRIX!B43="",NA(),MODEL_MATRIX!B43)</f>
        <v>#N/A</v>
      </c>
      <c r="B69" t="e">
        <f ca="1">IF(OR(B$27="",ISERROR($A69)),NA(),HLOOKUP(B$27,MODEL_MATRIX!$C$1:$AA$71,ROW()-ROW(A$26),0))</f>
        <v>#N/A</v>
      </c>
      <c r="C69" t="e">
        <f ca="1">IF(OR(C$27="",ISERROR($A69)),NA(),HLOOKUP(C$27,MODEL_MATRIX!$C$1:$AA$71,ROW()-ROW(B$26),0))</f>
        <v>#N/A</v>
      </c>
      <c r="D69" t="e">
        <f ca="1">IF(OR(D$27="",ISERROR($A69)),NA(),HLOOKUP(D$27,MODEL_MATRIX!$C$1:$AA$71,ROW()-ROW(C$26),0))</f>
        <v>#N/A</v>
      </c>
      <c r="E69" t="e">
        <f>IF(OR(E$27="",ISERROR($A69)),NA(),HLOOKUP(E$27,MODEL_MATRIX!$C$1:$AA$71,ROW()-ROW(D$26),0))</f>
        <v>#N/A</v>
      </c>
      <c r="F69" t="e">
        <f>IF(OR(F$27="",ISERROR($A69)),NA(),HLOOKUP(F$27,MODEL_MATRIX!$C$1:$AA$71,ROW()-ROW(E$26),0))</f>
        <v>#N/A</v>
      </c>
      <c r="G69" t="e">
        <f>IF(OR(G$27="",ISERROR($A69)),NA(),HLOOKUP(G$27,MODEL_MATRIX!$C$1:$AA$71,ROW()-ROW(F$26),0))</f>
        <v>#N/A</v>
      </c>
      <c r="H69" t="e">
        <f>IF(OR(H$27="",ISERROR($A69)),NA(),HLOOKUP(H$27,MODEL_MATRIX!$C$1:$AA$71,ROW()-ROW(G$26),0))</f>
        <v>#N/A</v>
      </c>
      <c r="I69" t="e">
        <f>IF(OR(I$27="",ISERROR($A69)),NA(),HLOOKUP(I$27,MODEL_MATRIX!$C$1:$AA$71,ROW()-ROW(H$26),0))</f>
        <v>#N/A</v>
      </c>
      <c r="J69" t="e">
        <f>IF(OR(J$27="",ISERROR($A69)),NA(),HLOOKUP(J$27,MODEL_MATRIX!$C$1:$AA$71,ROW()-ROW(I$26),0))</f>
        <v>#N/A</v>
      </c>
      <c r="K69" t="e">
        <f>IF(OR(K$27="",ISERROR($A69)),NA(),HLOOKUP(K$27,MODEL_MATRIX!$C$1:$AA$71,ROW()-ROW(J$26),0))</f>
        <v>#N/A</v>
      </c>
      <c r="L69" t="e">
        <f>IF(OR(L$27="",ISERROR($A69)),NA(),HLOOKUP(L$27,MODEL_MATRIX!$C$1:$AA$71,ROW()-ROW(K$26),0))</f>
        <v>#N/A</v>
      </c>
      <c r="M69" t="e">
        <f>IF(OR(M$27="",ISERROR($A69)),NA(),HLOOKUP(M$27,MODEL_MATRIX!$C$1:$AA$71,ROW()-ROW(L$26),0))</f>
        <v>#N/A</v>
      </c>
      <c r="N69" t="e">
        <f>IF(OR(N$27="",ISERROR($A69)),NA(),HLOOKUP(N$27,MODEL_MATRIX!$C$1:$AA$71,ROW()-ROW(M$26),0))</f>
        <v>#N/A</v>
      </c>
      <c r="O69" t="e">
        <f>IF(OR(O$27="",ISERROR($A69)),NA(),HLOOKUP(O$27,MODEL_MATRIX!$C$1:$AA$71,ROW()-ROW(N$26),0))</f>
        <v>#N/A</v>
      </c>
      <c r="P69" t="e">
        <f>IF(OR(P$27="",ISERROR($A69)),NA(),HLOOKUP(P$27,MODEL_MATRIX!$C$1:$AA$71,ROW()-ROW(O$26),0))</f>
        <v>#N/A</v>
      </c>
      <c r="Q69" t="e">
        <f>IF(OR(Q$27="",ISERROR($A69)),NA(),HLOOKUP(Q$27,MODEL_MATRIX!$C$1:$AA$71,ROW()-ROW(P$26),0))</f>
        <v>#N/A</v>
      </c>
      <c r="R69" t="e">
        <f>IF(OR(R$27="",ISERROR($A69)),NA(),HLOOKUP(R$27,MODEL_MATRIX!$C$1:$AA$71,ROW()-ROW(Q$26),0))</f>
        <v>#N/A</v>
      </c>
      <c r="S69" t="e">
        <f>IF(OR(S$27="",ISERROR($A69)),NA(),HLOOKUP(S$27,MODEL_MATRIX!$C$1:$AA$71,ROW()-ROW(R$26),0))</f>
        <v>#N/A</v>
      </c>
      <c r="T69" t="e">
        <f>IF(OR(T$27="",ISERROR($A69)),NA(),HLOOKUP(T$27,MODEL_MATRIX!$C$1:$AA$71,ROW()-ROW(S$26),0))</f>
        <v>#N/A</v>
      </c>
      <c r="U69" t="e">
        <f>IF(OR(U$27="",ISERROR($A69)),NA(),HLOOKUP(U$27,MODEL_MATRIX!$C$1:$AA$71,ROW()-ROW(T$26),0))</f>
        <v>#N/A</v>
      </c>
      <c r="V69" t="e">
        <f>IF(OR(V$27="",ISERROR($A69)),NA(),HLOOKUP(V$27,MODEL_MATRIX!$C$1:$AA$71,ROW()-ROW(U$26),0))</f>
        <v>#N/A</v>
      </c>
      <c r="W69" t="e">
        <f>IF(OR(W$27="",ISERROR($A69)),NA(),HLOOKUP(W$27,MODEL_MATRIX!$C$1:$AA$71,ROW()-ROW(V$26),0))</f>
        <v>#N/A</v>
      </c>
      <c r="X69" t="e">
        <f>IF(OR(X$27="",ISERROR($A69)),NA(),HLOOKUP(X$27,MODEL_MATRIX!$C$1:$AA$71,ROW()-ROW(W$26),0))</f>
        <v>#N/A</v>
      </c>
      <c r="Y69" t="e">
        <f>IF(OR(Y$27="",ISERROR($A69)),NA(),HLOOKUP(Y$27,MODEL_MATRIX!$C$1:$AA$71,ROW()-ROW(X$26),0))</f>
        <v>#N/A</v>
      </c>
      <c r="Z69" t="e">
        <f>IF(OR(Z$27="",ISERROR($A69)),NA(),HLOOKUP(Z$27,MODEL_MATRIX!$C$1:$AA$71,ROW()-ROW(Y$26),0))</f>
        <v>#N/A</v>
      </c>
    </row>
    <row r="70" spans="1:26" hidden="1" x14ac:dyDescent="0.25">
      <c r="A70" t="e">
        <f>IF(MODEL_MATRIX!B44="",NA(),MODEL_MATRIX!B44)</f>
        <v>#N/A</v>
      </c>
      <c r="B70" t="e">
        <f ca="1">IF(OR(B$27="",ISERROR($A70)),NA(),HLOOKUP(B$27,MODEL_MATRIX!$C$1:$AA$71,ROW()-ROW(A$26),0))</f>
        <v>#N/A</v>
      </c>
      <c r="C70" t="e">
        <f ca="1">IF(OR(C$27="",ISERROR($A70)),NA(),HLOOKUP(C$27,MODEL_MATRIX!$C$1:$AA$71,ROW()-ROW(B$26),0))</f>
        <v>#N/A</v>
      </c>
      <c r="D70" t="e">
        <f ca="1">IF(OR(D$27="",ISERROR($A70)),NA(),HLOOKUP(D$27,MODEL_MATRIX!$C$1:$AA$71,ROW()-ROW(C$26),0))</f>
        <v>#N/A</v>
      </c>
      <c r="E70" t="e">
        <f>IF(OR(E$27="",ISERROR($A70)),NA(),HLOOKUP(E$27,MODEL_MATRIX!$C$1:$AA$71,ROW()-ROW(D$26),0))</f>
        <v>#N/A</v>
      </c>
      <c r="F70" t="e">
        <f>IF(OR(F$27="",ISERROR($A70)),NA(),HLOOKUP(F$27,MODEL_MATRIX!$C$1:$AA$71,ROW()-ROW(E$26),0))</f>
        <v>#N/A</v>
      </c>
      <c r="G70" t="e">
        <f>IF(OR(G$27="",ISERROR($A70)),NA(),HLOOKUP(G$27,MODEL_MATRIX!$C$1:$AA$71,ROW()-ROW(F$26),0))</f>
        <v>#N/A</v>
      </c>
      <c r="H70" t="e">
        <f>IF(OR(H$27="",ISERROR($A70)),NA(),HLOOKUP(H$27,MODEL_MATRIX!$C$1:$AA$71,ROW()-ROW(G$26),0))</f>
        <v>#N/A</v>
      </c>
      <c r="I70" t="e">
        <f>IF(OR(I$27="",ISERROR($A70)),NA(),HLOOKUP(I$27,MODEL_MATRIX!$C$1:$AA$71,ROW()-ROW(H$26),0))</f>
        <v>#N/A</v>
      </c>
      <c r="J70" t="e">
        <f>IF(OR(J$27="",ISERROR($A70)),NA(),HLOOKUP(J$27,MODEL_MATRIX!$C$1:$AA$71,ROW()-ROW(I$26),0))</f>
        <v>#N/A</v>
      </c>
      <c r="K70" t="e">
        <f>IF(OR(K$27="",ISERROR($A70)),NA(),HLOOKUP(K$27,MODEL_MATRIX!$C$1:$AA$71,ROW()-ROW(J$26),0))</f>
        <v>#N/A</v>
      </c>
      <c r="L70" t="e">
        <f>IF(OR(L$27="",ISERROR($A70)),NA(),HLOOKUP(L$27,MODEL_MATRIX!$C$1:$AA$71,ROW()-ROW(K$26),0))</f>
        <v>#N/A</v>
      </c>
      <c r="M70" t="e">
        <f>IF(OR(M$27="",ISERROR($A70)),NA(),HLOOKUP(M$27,MODEL_MATRIX!$C$1:$AA$71,ROW()-ROW(L$26),0))</f>
        <v>#N/A</v>
      </c>
      <c r="N70" t="e">
        <f>IF(OR(N$27="",ISERROR($A70)),NA(),HLOOKUP(N$27,MODEL_MATRIX!$C$1:$AA$71,ROW()-ROW(M$26),0))</f>
        <v>#N/A</v>
      </c>
      <c r="O70" t="e">
        <f>IF(OR(O$27="",ISERROR($A70)),NA(),HLOOKUP(O$27,MODEL_MATRIX!$C$1:$AA$71,ROW()-ROW(N$26),0))</f>
        <v>#N/A</v>
      </c>
      <c r="P70" t="e">
        <f>IF(OR(P$27="",ISERROR($A70)),NA(),HLOOKUP(P$27,MODEL_MATRIX!$C$1:$AA$71,ROW()-ROW(O$26),0))</f>
        <v>#N/A</v>
      </c>
      <c r="Q70" t="e">
        <f>IF(OR(Q$27="",ISERROR($A70)),NA(),HLOOKUP(Q$27,MODEL_MATRIX!$C$1:$AA$71,ROW()-ROW(P$26),0))</f>
        <v>#N/A</v>
      </c>
      <c r="R70" t="e">
        <f>IF(OR(R$27="",ISERROR($A70)),NA(),HLOOKUP(R$27,MODEL_MATRIX!$C$1:$AA$71,ROW()-ROW(Q$26),0))</f>
        <v>#N/A</v>
      </c>
      <c r="S70" t="e">
        <f>IF(OR(S$27="",ISERROR($A70)),NA(),HLOOKUP(S$27,MODEL_MATRIX!$C$1:$AA$71,ROW()-ROW(R$26),0))</f>
        <v>#N/A</v>
      </c>
      <c r="T70" t="e">
        <f>IF(OR(T$27="",ISERROR($A70)),NA(),HLOOKUP(T$27,MODEL_MATRIX!$C$1:$AA$71,ROW()-ROW(S$26),0))</f>
        <v>#N/A</v>
      </c>
      <c r="U70" t="e">
        <f>IF(OR(U$27="",ISERROR($A70)),NA(),HLOOKUP(U$27,MODEL_MATRIX!$C$1:$AA$71,ROW()-ROW(T$26),0))</f>
        <v>#N/A</v>
      </c>
      <c r="V70" t="e">
        <f>IF(OR(V$27="",ISERROR($A70)),NA(),HLOOKUP(V$27,MODEL_MATRIX!$C$1:$AA$71,ROW()-ROW(U$26),0))</f>
        <v>#N/A</v>
      </c>
      <c r="W70" t="e">
        <f>IF(OR(W$27="",ISERROR($A70)),NA(),HLOOKUP(W$27,MODEL_MATRIX!$C$1:$AA$71,ROW()-ROW(V$26),0))</f>
        <v>#N/A</v>
      </c>
      <c r="X70" t="e">
        <f>IF(OR(X$27="",ISERROR($A70)),NA(),HLOOKUP(X$27,MODEL_MATRIX!$C$1:$AA$71,ROW()-ROW(W$26),0))</f>
        <v>#N/A</v>
      </c>
      <c r="Y70" t="e">
        <f>IF(OR(Y$27="",ISERROR($A70)),NA(),HLOOKUP(Y$27,MODEL_MATRIX!$C$1:$AA$71,ROW()-ROW(X$26),0))</f>
        <v>#N/A</v>
      </c>
      <c r="Z70" t="e">
        <f>IF(OR(Z$27="",ISERROR($A70)),NA(),HLOOKUP(Z$27,MODEL_MATRIX!$C$1:$AA$71,ROW()-ROW(Y$26),0))</f>
        <v>#N/A</v>
      </c>
    </row>
    <row r="71" spans="1:26" hidden="1" x14ac:dyDescent="0.25">
      <c r="A71" t="e">
        <f>IF(MODEL_MATRIX!B45="",NA(),MODEL_MATRIX!B45)</f>
        <v>#N/A</v>
      </c>
      <c r="B71" t="e">
        <f ca="1">IF(OR(B$27="",ISERROR($A71)),NA(),HLOOKUP(B$27,MODEL_MATRIX!$C$1:$AA$71,ROW()-ROW(A$26),0))</f>
        <v>#N/A</v>
      </c>
      <c r="C71" t="e">
        <f ca="1">IF(OR(C$27="",ISERROR($A71)),NA(),HLOOKUP(C$27,MODEL_MATRIX!$C$1:$AA$71,ROW()-ROW(B$26),0))</f>
        <v>#N/A</v>
      </c>
      <c r="D71" t="e">
        <f ca="1">IF(OR(D$27="",ISERROR($A71)),NA(),HLOOKUP(D$27,MODEL_MATRIX!$C$1:$AA$71,ROW()-ROW(C$26),0))</f>
        <v>#N/A</v>
      </c>
      <c r="E71" t="e">
        <f>IF(OR(E$27="",ISERROR($A71)),NA(),HLOOKUP(E$27,MODEL_MATRIX!$C$1:$AA$71,ROW()-ROW(D$26),0))</f>
        <v>#N/A</v>
      </c>
      <c r="F71" t="e">
        <f>IF(OR(F$27="",ISERROR($A71)),NA(),HLOOKUP(F$27,MODEL_MATRIX!$C$1:$AA$71,ROW()-ROW(E$26),0))</f>
        <v>#N/A</v>
      </c>
      <c r="G71" t="e">
        <f>IF(OR(G$27="",ISERROR($A71)),NA(),HLOOKUP(G$27,MODEL_MATRIX!$C$1:$AA$71,ROW()-ROW(F$26),0))</f>
        <v>#N/A</v>
      </c>
      <c r="H71" t="e">
        <f>IF(OR(H$27="",ISERROR($A71)),NA(),HLOOKUP(H$27,MODEL_MATRIX!$C$1:$AA$71,ROW()-ROW(G$26),0))</f>
        <v>#N/A</v>
      </c>
      <c r="I71" t="e">
        <f>IF(OR(I$27="",ISERROR($A71)),NA(),HLOOKUP(I$27,MODEL_MATRIX!$C$1:$AA$71,ROW()-ROW(H$26),0))</f>
        <v>#N/A</v>
      </c>
      <c r="J71" t="e">
        <f>IF(OR(J$27="",ISERROR($A71)),NA(),HLOOKUP(J$27,MODEL_MATRIX!$C$1:$AA$71,ROW()-ROW(I$26),0))</f>
        <v>#N/A</v>
      </c>
      <c r="K71" t="e">
        <f>IF(OR(K$27="",ISERROR($A71)),NA(),HLOOKUP(K$27,MODEL_MATRIX!$C$1:$AA$71,ROW()-ROW(J$26),0))</f>
        <v>#N/A</v>
      </c>
      <c r="L71" t="e">
        <f>IF(OR(L$27="",ISERROR($A71)),NA(),HLOOKUP(L$27,MODEL_MATRIX!$C$1:$AA$71,ROW()-ROW(K$26),0))</f>
        <v>#N/A</v>
      </c>
      <c r="M71" t="e">
        <f>IF(OR(M$27="",ISERROR($A71)),NA(),HLOOKUP(M$27,MODEL_MATRIX!$C$1:$AA$71,ROW()-ROW(L$26),0))</f>
        <v>#N/A</v>
      </c>
      <c r="N71" t="e">
        <f>IF(OR(N$27="",ISERROR($A71)),NA(),HLOOKUP(N$27,MODEL_MATRIX!$C$1:$AA$71,ROW()-ROW(M$26),0))</f>
        <v>#N/A</v>
      </c>
      <c r="O71" t="e">
        <f>IF(OR(O$27="",ISERROR($A71)),NA(),HLOOKUP(O$27,MODEL_MATRIX!$C$1:$AA$71,ROW()-ROW(N$26),0))</f>
        <v>#N/A</v>
      </c>
      <c r="P71" t="e">
        <f>IF(OR(P$27="",ISERROR($A71)),NA(),HLOOKUP(P$27,MODEL_MATRIX!$C$1:$AA$71,ROW()-ROW(O$26),0))</f>
        <v>#N/A</v>
      </c>
      <c r="Q71" t="e">
        <f>IF(OR(Q$27="",ISERROR($A71)),NA(),HLOOKUP(Q$27,MODEL_MATRIX!$C$1:$AA$71,ROW()-ROW(P$26),0))</f>
        <v>#N/A</v>
      </c>
      <c r="R71" t="e">
        <f>IF(OR(R$27="",ISERROR($A71)),NA(),HLOOKUP(R$27,MODEL_MATRIX!$C$1:$AA$71,ROW()-ROW(Q$26),0))</f>
        <v>#N/A</v>
      </c>
      <c r="S71" t="e">
        <f>IF(OR(S$27="",ISERROR($A71)),NA(),HLOOKUP(S$27,MODEL_MATRIX!$C$1:$AA$71,ROW()-ROW(R$26),0))</f>
        <v>#N/A</v>
      </c>
      <c r="T71" t="e">
        <f>IF(OR(T$27="",ISERROR($A71)),NA(),HLOOKUP(T$27,MODEL_MATRIX!$C$1:$AA$71,ROW()-ROW(S$26),0))</f>
        <v>#N/A</v>
      </c>
      <c r="U71" t="e">
        <f>IF(OR(U$27="",ISERROR($A71)),NA(),HLOOKUP(U$27,MODEL_MATRIX!$C$1:$AA$71,ROW()-ROW(T$26),0))</f>
        <v>#N/A</v>
      </c>
      <c r="V71" t="e">
        <f>IF(OR(V$27="",ISERROR($A71)),NA(),HLOOKUP(V$27,MODEL_MATRIX!$C$1:$AA$71,ROW()-ROW(U$26),0))</f>
        <v>#N/A</v>
      </c>
      <c r="W71" t="e">
        <f>IF(OR(W$27="",ISERROR($A71)),NA(),HLOOKUP(W$27,MODEL_MATRIX!$C$1:$AA$71,ROW()-ROW(V$26),0))</f>
        <v>#N/A</v>
      </c>
      <c r="X71" t="e">
        <f>IF(OR(X$27="",ISERROR($A71)),NA(),HLOOKUP(X$27,MODEL_MATRIX!$C$1:$AA$71,ROW()-ROW(W$26),0))</f>
        <v>#N/A</v>
      </c>
      <c r="Y71" t="e">
        <f>IF(OR(Y$27="",ISERROR($A71)),NA(),HLOOKUP(Y$27,MODEL_MATRIX!$C$1:$AA$71,ROW()-ROW(X$26),0))</f>
        <v>#N/A</v>
      </c>
      <c r="Z71" t="e">
        <f>IF(OR(Z$27="",ISERROR($A71)),NA(),HLOOKUP(Z$27,MODEL_MATRIX!$C$1:$AA$71,ROW()-ROW(Y$26),0))</f>
        <v>#N/A</v>
      </c>
    </row>
    <row r="72" spans="1:26" hidden="1" x14ac:dyDescent="0.25">
      <c r="A72" t="e">
        <f>IF(MODEL_MATRIX!B46="",NA(),MODEL_MATRIX!B46)</f>
        <v>#N/A</v>
      </c>
      <c r="B72" t="e">
        <f ca="1">IF(OR(B$27="",ISERROR($A72)),NA(),HLOOKUP(B$27,MODEL_MATRIX!$C$1:$AA$71,ROW()-ROW(A$26),0))</f>
        <v>#N/A</v>
      </c>
      <c r="C72" t="e">
        <f ca="1">IF(OR(C$27="",ISERROR($A72)),NA(),HLOOKUP(C$27,MODEL_MATRIX!$C$1:$AA$71,ROW()-ROW(B$26),0))</f>
        <v>#N/A</v>
      </c>
      <c r="D72" t="e">
        <f ca="1">IF(OR(D$27="",ISERROR($A72)),NA(),HLOOKUP(D$27,MODEL_MATRIX!$C$1:$AA$71,ROW()-ROW(C$26),0))</f>
        <v>#N/A</v>
      </c>
      <c r="E72" t="e">
        <f>IF(OR(E$27="",ISERROR($A72)),NA(),HLOOKUP(E$27,MODEL_MATRIX!$C$1:$AA$71,ROW()-ROW(D$26),0))</f>
        <v>#N/A</v>
      </c>
      <c r="F72" t="e">
        <f>IF(OR(F$27="",ISERROR($A72)),NA(),HLOOKUP(F$27,MODEL_MATRIX!$C$1:$AA$71,ROW()-ROW(E$26),0))</f>
        <v>#N/A</v>
      </c>
      <c r="G72" t="e">
        <f>IF(OR(G$27="",ISERROR($A72)),NA(),HLOOKUP(G$27,MODEL_MATRIX!$C$1:$AA$71,ROW()-ROW(F$26),0))</f>
        <v>#N/A</v>
      </c>
      <c r="H72" t="e">
        <f>IF(OR(H$27="",ISERROR($A72)),NA(),HLOOKUP(H$27,MODEL_MATRIX!$C$1:$AA$71,ROW()-ROW(G$26),0))</f>
        <v>#N/A</v>
      </c>
      <c r="I72" t="e">
        <f>IF(OR(I$27="",ISERROR($A72)),NA(),HLOOKUP(I$27,MODEL_MATRIX!$C$1:$AA$71,ROW()-ROW(H$26),0))</f>
        <v>#N/A</v>
      </c>
      <c r="J72" t="e">
        <f>IF(OR(J$27="",ISERROR($A72)),NA(),HLOOKUP(J$27,MODEL_MATRIX!$C$1:$AA$71,ROW()-ROW(I$26),0))</f>
        <v>#N/A</v>
      </c>
      <c r="K72" t="e">
        <f>IF(OR(K$27="",ISERROR($A72)),NA(),HLOOKUP(K$27,MODEL_MATRIX!$C$1:$AA$71,ROW()-ROW(J$26),0))</f>
        <v>#N/A</v>
      </c>
      <c r="L72" t="e">
        <f>IF(OR(L$27="",ISERROR($A72)),NA(),HLOOKUP(L$27,MODEL_MATRIX!$C$1:$AA$71,ROW()-ROW(K$26),0))</f>
        <v>#N/A</v>
      </c>
      <c r="M72" t="e">
        <f>IF(OR(M$27="",ISERROR($A72)),NA(),HLOOKUP(M$27,MODEL_MATRIX!$C$1:$AA$71,ROW()-ROW(L$26),0))</f>
        <v>#N/A</v>
      </c>
      <c r="N72" t="e">
        <f>IF(OR(N$27="",ISERROR($A72)),NA(),HLOOKUP(N$27,MODEL_MATRIX!$C$1:$AA$71,ROW()-ROW(M$26),0))</f>
        <v>#N/A</v>
      </c>
      <c r="O72" t="e">
        <f>IF(OR(O$27="",ISERROR($A72)),NA(),HLOOKUP(O$27,MODEL_MATRIX!$C$1:$AA$71,ROW()-ROW(N$26),0))</f>
        <v>#N/A</v>
      </c>
      <c r="P72" t="e">
        <f>IF(OR(P$27="",ISERROR($A72)),NA(),HLOOKUP(P$27,MODEL_MATRIX!$C$1:$AA$71,ROW()-ROW(O$26),0))</f>
        <v>#N/A</v>
      </c>
      <c r="Q72" t="e">
        <f>IF(OR(Q$27="",ISERROR($A72)),NA(),HLOOKUP(Q$27,MODEL_MATRIX!$C$1:$AA$71,ROW()-ROW(P$26),0))</f>
        <v>#N/A</v>
      </c>
      <c r="R72" t="e">
        <f>IF(OR(R$27="",ISERROR($A72)),NA(),HLOOKUP(R$27,MODEL_MATRIX!$C$1:$AA$71,ROW()-ROW(Q$26),0))</f>
        <v>#N/A</v>
      </c>
      <c r="S72" t="e">
        <f>IF(OR(S$27="",ISERROR($A72)),NA(),HLOOKUP(S$27,MODEL_MATRIX!$C$1:$AA$71,ROW()-ROW(R$26),0))</f>
        <v>#N/A</v>
      </c>
      <c r="T72" t="e">
        <f>IF(OR(T$27="",ISERROR($A72)),NA(),HLOOKUP(T$27,MODEL_MATRIX!$C$1:$AA$71,ROW()-ROW(S$26),0))</f>
        <v>#N/A</v>
      </c>
      <c r="U72" t="e">
        <f>IF(OR(U$27="",ISERROR($A72)),NA(),HLOOKUP(U$27,MODEL_MATRIX!$C$1:$AA$71,ROW()-ROW(T$26),0))</f>
        <v>#N/A</v>
      </c>
      <c r="V72" t="e">
        <f>IF(OR(V$27="",ISERROR($A72)),NA(),HLOOKUP(V$27,MODEL_MATRIX!$C$1:$AA$71,ROW()-ROW(U$26),0))</f>
        <v>#N/A</v>
      </c>
      <c r="W72" t="e">
        <f>IF(OR(W$27="",ISERROR($A72)),NA(),HLOOKUP(W$27,MODEL_MATRIX!$C$1:$AA$71,ROW()-ROW(V$26),0))</f>
        <v>#N/A</v>
      </c>
      <c r="X72" t="e">
        <f>IF(OR(X$27="",ISERROR($A72)),NA(),HLOOKUP(X$27,MODEL_MATRIX!$C$1:$AA$71,ROW()-ROW(W$26),0))</f>
        <v>#N/A</v>
      </c>
      <c r="Y72" t="e">
        <f>IF(OR(Y$27="",ISERROR($A72)),NA(),HLOOKUP(Y$27,MODEL_MATRIX!$C$1:$AA$71,ROW()-ROW(X$26),0))</f>
        <v>#N/A</v>
      </c>
      <c r="Z72" t="e">
        <f>IF(OR(Z$27="",ISERROR($A72)),NA(),HLOOKUP(Z$27,MODEL_MATRIX!$C$1:$AA$71,ROW()-ROW(Y$26),0))</f>
        <v>#N/A</v>
      </c>
    </row>
    <row r="73" spans="1:26" hidden="1" x14ac:dyDescent="0.25">
      <c r="A73" t="e">
        <f>IF(MODEL_MATRIX!B47="",NA(),MODEL_MATRIX!B47)</f>
        <v>#N/A</v>
      </c>
      <c r="B73" t="e">
        <f ca="1">IF(OR(B$27="",ISERROR($A73)),NA(),HLOOKUP(B$27,MODEL_MATRIX!$C$1:$AA$71,ROW()-ROW(A$26),0))</f>
        <v>#N/A</v>
      </c>
      <c r="C73" t="e">
        <f ca="1">IF(OR(C$27="",ISERROR($A73)),NA(),HLOOKUP(C$27,MODEL_MATRIX!$C$1:$AA$71,ROW()-ROW(B$26),0))</f>
        <v>#N/A</v>
      </c>
      <c r="D73" t="e">
        <f ca="1">IF(OR(D$27="",ISERROR($A73)),NA(),HLOOKUP(D$27,MODEL_MATRIX!$C$1:$AA$71,ROW()-ROW(C$26),0))</f>
        <v>#N/A</v>
      </c>
      <c r="E73" t="e">
        <f>IF(OR(E$27="",ISERROR($A73)),NA(),HLOOKUP(E$27,MODEL_MATRIX!$C$1:$AA$71,ROW()-ROW(D$26),0))</f>
        <v>#N/A</v>
      </c>
      <c r="F73" t="e">
        <f>IF(OR(F$27="",ISERROR($A73)),NA(),HLOOKUP(F$27,MODEL_MATRIX!$C$1:$AA$71,ROW()-ROW(E$26),0))</f>
        <v>#N/A</v>
      </c>
      <c r="G73" t="e">
        <f>IF(OR(G$27="",ISERROR($A73)),NA(),HLOOKUP(G$27,MODEL_MATRIX!$C$1:$AA$71,ROW()-ROW(F$26),0))</f>
        <v>#N/A</v>
      </c>
      <c r="H73" t="e">
        <f>IF(OR(H$27="",ISERROR($A73)),NA(),HLOOKUP(H$27,MODEL_MATRIX!$C$1:$AA$71,ROW()-ROW(G$26),0))</f>
        <v>#N/A</v>
      </c>
      <c r="I73" t="e">
        <f>IF(OR(I$27="",ISERROR($A73)),NA(),HLOOKUP(I$27,MODEL_MATRIX!$C$1:$AA$71,ROW()-ROW(H$26),0))</f>
        <v>#N/A</v>
      </c>
      <c r="J73" t="e">
        <f>IF(OR(J$27="",ISERROR($A73)),NA(),HLOOKUP(J$27,MODEL_MATRIX!$C$1:$AA$71,ROW()-ROW(I$26),0))</f>
        <v>#N/A</v>
      </c>
      <c r="K73" t="e">
        <f>IF(OR(K$27="",ISERROR($A73)),NA(),HLOOKUP(K$27,MODEL_MATRIX!$C$1:$AA$71,ROW()-ROW(J$26),0))</f>
        <v>#N/A</v>
      </c>
      <c r="L73" t="e">
        <f>IF(OR(L$27="",ISERROR($A73)),NA(),HLOOKUP(L$27,MODEL_MATRIX!$C$1:$AA$71,ROW()-ROW(K$26),0))</f>
        <v>#N/A</v>
      </c>
      <c r="M73" t="e">
        <f>IF(OR(M$27="",ISERROR($A73)),NA(),HLOOKUP(M$27,MODEL_MATRIX!$C$1:$AA$71,ROW()-ROW(L$26),0))</f>
        <v>#N/A</v>
      </c>
      <c r="N73" t="e">
        <f>IF(OR(N$27="",ISERROR($A73)),NA(),HLOOKUP(N$27,MODEL_MATRIX!$C$1:$AA$71,ROW()-ROW(M$26),0))</f>
        <v>#N/A</v>
      </c>
      <c r="O73" t="e">
        <f>IF(OR(O$27="",ISERROR($A73)),NA(),HLOOKUP(O$27,MODEL_MATRIX!$C$1:$AA$71,ROW()-ROW(N$26),0))</f>
        <v>#N/A</v>
      </c>
      <c r="P73" t="e">
        <f>IF(OR(P$27="",ISERROR($A73)),NA(),HLOOKUP(P$27,MODEL_MATRIX!$C$1:$AA$71,ROW()-ROW(O$26),0))</f>
        <v>#N/A</v>
      </c>
      <c r="Q73" t="e">
        <f>IF(OR(Q$27="",ISERROR($A73)),NA(),HLOOKUP(Q$27,MODEL_MATRIX!$C$1:$AA$71,ROW()-ROW(P$26),0))</f>
        <v>#N/A</v>
      </c>
      <c r="R73" t="e">
        <f>IF(OR(R$27="",ISERROR($A73)),NA(),HLOOKUP(R$27,MODEL_MATRIX!$C$1:$AA$71,ROW()-ROW(Q$26),0))</f>
        <v>#N/A</v>
      </c>
      <c r="S73" t="e">
        <f>IF(OR(S$27="",ISERROR($A73)),NA(),HLOOKUP(S$27,MODEL_MATRIX!$C$1:$AA$71,ROW()-ROW(R$26),0))</f>
        <v>#N/A</v>
      </c>
      <c r="T73" t="e">
        <f>IF(OR(T$27="",ISERROR($A73)),NA(),HLOOKUP(T$27,MODEL_MATRIX!$C$1:$AA$71,ROW()-ROW(S$26),0))</f>
        <v>#N/A</v>
      </c>
      <c r="U73" t="e">
        <f>IF(OR(U$27="",ISERROR($A73)),NA(),HLOOKUP(U$27,MODEL_MATRIX!$C$1:$AA$71,ROW()-ROW(T$26),0))</f>
        <v>#N/A</v>
      </c>
      <c r="V73" t="e">
        <f>IF(OR(V$27="",ISERROR($A73)),NA(),HLOOKUP(V$27,MODEL_MATRIX!$C$1:$AA$71,ROW()-ROW(U$26),0))</f>
        <v>#N/A</v>
      </c>
      <c r="W73" t="e">
        <f>IF(OR(W$27="",ISERROR($A73)),NA(),HLOOKUP(W$27,MODEL_MATRIX!$C$1:$AA$71,ROW()-ROW(V$26),0))</f>
        <v>#N/A</v>
      </c>
      <c r="X73" t="e">
        <f>IF(OR(X$27="",ISERROR($A73)),NA(),HLOOKUP(X$27,MODEL_MATRIX!$C$1:$AA$71,ROW()-ROW(W$26),0))</f>
        <v>#N/A</v>
      </c>
      <c r="Y73" t="e">
        <f>IF(OR(Y$27="",ISERROR($A73)),NA(),HLOOKUP(Y$27,MODEL_MATRIX!$C$1:$AA$71,ROW()-ROW(X$26),0))</f>
        <v>#N/A</v>
      </c>
      <c r="Z73" t="e">
        <f>IF(OR(Z$27="",ISERROR($A73)),NA(),HLOOKUP(Z$27,MODEL_MATRIX!$C$1:$AA$71,ROW()-ROW(Y$26),0))</f>
        <v>#N/A</v>
      </c>
    </row>
    <row r="74" spans="1:26" hidden="1" x14ac:dyDescent="0.25">
      <c r="A74" t="e">
        <f>IF(MODEL_MATRIX!B48="",NA(),MODEL_MATRIX!B48)</f>
        <v>#N/A</v>
      </c>
      <c r="B74" t="e">
        <f ca="1">IF(OR(B$27="",ISERROR($A74)),NA(),HLOOKUP(B$27,MODEL_MATRIX!$C$1:$AA$71,ROW()-ROW(A$26),0))</f>
        <v>#N/A</v>
      </c>
      <c r="C74" t="e">
        <f ca="1">IF(OR(C$27="",ISERROR($A74)),NA(),HLOOKUP(C$27,MODEL_MATRIX!$C$1:$AA$71,ROW()-ROW(B$26),0))</f>
        <v>#N/A</v>
      </c>
      <c r="D74" t="e">
        <f ca="1">IF(OR(D$27="",ISERROR($A74)),NA(),HLOOKUP(D$27,MODEL_MATRIX!$C$1:$AA$71,ROW()-ROW(C$26),0))</f>
        <v>#N/A</v>
      </c>
      <c r="E74" t="e">
        <f>IF(OR(E$27="",ISERROR($A74)),NA(),HLOOKUP(E$27,MODEL_MATRIX!$C$1:$AA$71,ROW()-ROW(D$26),0))</f>
        <v>#N/A</v>
      </c>
      <c r="F74" t="e">
        <f>IF(OR(F$27="",ISERROR($A74)),NA(),HLOOKUP(F$27,MODEL_MATRIX!$C$1:$AA$71,ROW()-ROW(E$26),0))</f>
        <v>#N/A</v>
      </c>
      <c r="G74" t="e">
        <f>IF(OR(G$27="",ISERROR($A74)),NA(),HLOOKUP(G$27,MODEL_MATRIX!$C$1:$AA$71,ROW()-ROW(F$26),0))</f>
        <v>#N/A</v>
      </c>
      <c r="H74" t="e">
        <f>IF(OR(H$27="",ISERROR($A74)),NA(),HLOOKUP(H$27,MODEL_MATRIX!$C$1:$AA$71,ROW()-ROW(G$26),0))</f>
        <v>#N/A</v>
      </c>
      <c r="I74" t="e">
        <f>IF(OR(I$27="",ISERROR($A74)),NA(),HLOOKUP(I$27,MODEL_MATRIX!$C$1:$AA$71,ROW()-ROW(H$26),0))</f>
        <v>#N/A</v>
      </c>
      <c r="J74" t="e">
        <f>IF(OR(J$27="",ISERROR($A74)),NA(),HLOOKUP(J$27,MODEL_MATRIX!$C$1:$AA$71,ROW()-ROW(I$26),0))</f>
        <v>#N/A</v>
      </c>
      <c r="K74" t="e">
        <f>IF(OR(K$27="",ISERROR($A74)),NA(),HLOOKUP(K$27,MODEL_MATRIX!$C$1:$AA$71,ROW()-ROW(J$26),0))</f>
        <v>#N/A</v>
      </c>
      <c r="L74" t="e">
        <f>IF(OR(L$27="",ISERROR($A74)),NA(),HLOOKUP(L$27,MODEL_MATRIX!$C$1:$AA$71,ROW()-ROW(K$26),0))</f>
        <v>#N/A</v>
      </c>
      <c r="M74" t="e">
        <f>IF(OR(M$27="",ISERROR($A74)),NA(),HLOOKUP(M$27,MODEL_MATRIX!$C$1:$AA$71,ROW()-ROW(L$26),0))</f>
        <v>#N/A</v>
      </c>
      <c r="N74" t="e">
        <f>IF(OR(N$27="",ISERROR($A74)),NA(),HLOOKUP(N$27,MODEL_MATRIX!$C$1:$AA$71,ROW()-ROW(M$26),0))</f>
        <v>#N/A</v>
      </c>
      <c r="O74" t="e">
        <f>IF(OR(O$27="",ISERROR($A74)),NA(),HLOOKUP(O$27,MODEL_MATRIX!$C$1:$AA$71,ROW()-ROW(N$26),0))</f>
        <v>#N/A</v>
      </c>
      <c r="P74" t="e">
        <f>IF(OR(P$27="",ISERROR($A74)),NA(),HLOOKUP(P$27,MODEL_MATRIX!$C$1:$AA$71,ROW()-ROW(O$26),0))</f>
        <v>#N/A</v>
      </c>
      <c r="Q74" t="e">
        <f>IF(OR(Q$27="",ISERROR($A74)),NA(),HLOOKUP(Q$27,MODEL_MATRIX!$C$1:$AA$71,ROW()-ROW(P$26),0))</f>
        <v>#N/A</v>
      </c>
      <c r="R74" t="e">
        <f>IF(OR(R$27="",ISERROR($A74)),NA(),HLOOKUP(R$27,MODEL_MATRIX!$C$1:$AA$71,ROW()-ROW(Q$26),0))</f>
        <v>#N/A</v>
      </c>
      <c r="S74" t="e">
        <f>IF(OR(S$27="",ISERROR($A74)),NA(),HLOOKUP(S$27,MODEL_MATRIX!$C$1:$AA$71,ROW()-ROW(R$26),0))</f>
        <v>#N/A</v>
      </c>
      <c r="T74" t="e">
        <f>IF(OR(T$27="",ISERROR($A74)),NA(),HLOOKUP(T$27,MODEL_MATRIX!$C$1:$AA$71,ROW()-ROW(S$26),0))</f>
        <v>#N/A</v>
      </c>
      <c r="U74" t="e">
        <f>IF(OR(U$27="",ISERROR($A74)),NA(),HLOOKUP(U$27,MODEL_MATRIX!$C$1:$AA$71,ROW()-ROW(T$26),0))</f>
        <v>#N/A</v>
      </c>
      <c r="V74" t="e">
        <f>IF(OR(V$27="",ISERROR($A74)),NA(),HLOOKUP(V$27,MODEL_MATRIX!$C$1:$AA$71,ROW()-ROW(U$26),0))</f>
        <v>#N/A</v>
      </c>
      <c r="W74" t="e">
        <f>IF(OR(W$27="",ISERROR($A74)),NA(),HLOOKUP(W$27,MODEL_MATRIX!$C$1:$AA$71,ROW()-ROW(V$26),0))</f>
        <v>#N/A</v>
      </c>
      <c r="X74" t="e">
        <f>IF(OR(X$27="",ISERROR($A74)),NA(),HLOOKUP(X$27,MODEL_MATRIX!$C$1:$AA$71,ROW()-ROW(W$26),0))</f>
        <v>#N/A</v>
      </c>
      <c r="Y74" t="e">
        <f>IF(OR(Y$27="",ISERROR($A74)),NA(),HLOOKUP(Y$27,MODEL_MATRIX!$C$1:$AA$71,ROW()-ROW(X$26),0))</f>
        <v>#N/A</v>
      </c>
      <c r="Z74" t="e">
        <f>IF(OR(Z$27="",ISERROR($A74)),NA(),HLOOKUP(Z$27,MODEL_MATRIX!$C$1:$AA$71,ROW()-ROW(Y$26),0))</f>
        <v>#N/A</v>
      </c>
    </row>
    <row r="75" spans="1:26" hidden="1" x14ac:dyDescent="0.25">
      <c r="A75" t="e">
        <f>IF(MODEL_MATRIX!B49="",NA(),MODEL_MATRIX!B49)</f>
        <v>#N/A</v>
      </c>
      <c r="B75" t="e">
        <f ca="1">IF(OR(B$27="",ISERROR($A75)),NA(),HLOOKUP(B$27,MODEL_MATRIX!$C$1:$AA$71,ROW()-ROW(A$26),0))</f>
        <v>#N/A</v>
      </c>
      <c r="C75" t="e">
        <f ca="1">IF(OR(C$27="",ISERROR($A75)),NA(),HLOOKUP(C$27,MODEL_MATRIX!$C$1:$AA$71,ROW()-ROW(B$26),0))</f>
        <v>#N/A</v>
      </c>
      <c r="D75" t="e">
        <f ca="1">IF(OR(D$27="",ISERROR($A75)),NA(),HLOOKUP(D$27,MODEL_MATRIX!$C$1:$AA$71,ROW()-ROW(C$26),0))</f>
        <v>#N/A</v>
      </c>
      <c r="E75" t="e">
        <f>IF(OR(E$27="",ISERROR($A75)),NA(),HLOOKUP(E$27,MODEL_MATRIX!$C$1:$AA$71,ROW()-ROW(D$26),0))</f>
        <v>#N/A</v>
      </c>
      <c r="F75" t="e">
        <f>IF(OR(F$27="",ISERROR($A75)),NA(),HLOOKUP(F$27,MODEL_MATRIX!$C$1:$AA$71,ROW()-ROW(E$26),0))</f>
        <v>#N/A</v>
      </c>
      <c r="G75" t="e">
        <f>IF(OR(G$27="",ISERROR($A75)),NA(),HLOOKUP(G$27,MODEL_MATRIX!$C$1:$AA$71,ROW()-ROW(F$26),0))</f>
        <v>#N/A</v>
      </c>
      <c r="H75" t="e">
        <f>IF(OR(H$27="",ISERROR($A75)),NA(),HLOOKUP(H$27,MODEL_MATRIX!$C$1:$AA$71,ROW()-ROW(G$26),0))</f>
        <v>#N/A</v>
      </c>
      <c r="I75" t="e">
        <f>IF(OR(I$27="",ISERROR($A75)),NA(),HLOOKUP(I$27,MODEL_MATRIX!$C$1:$AA$71,ROW()-ROW(H$26),0))</f>
        <v>#N/A</v>
      </c>
      <c r="J75" t="e">
        <f>IF(OR(J$27="",ISERROR($A75)),NA(),HLOOKUP(J$27,MODEL_MATRIX!$C$1:$AA$71,ROW()-ROW(I$26),0))</f>
        <v>#N/A</v>
      </c>
      <c r="K75" t="e">
        <f>IF(OR(K$27="",ISERROR($A75)),NA(),HLOOKUP(K$27,MODEL_MATRIX!$C$1:$AA$71,ROW()-ROW(J$26),0))</f>
        <v>#N/A</v>
      </c>
      <c r="L75" t="e">
        <f>IF(OR(L$27="",ISERROR($A75)),NA(),HLOOKUP(L$27,MODEL_MATRIX!$C$1:$AA$71,ROW()-ROW(K$26),0))</f>
        <v>#N/A</v>
      </c>
      <c r="M75" t="e">
        <f>IF(OR(M$27="",ISERROR($A75)),NA(),HLOOKUP(M$27,MODEL_MATRIX!$C$1:$AA$71,ROW()-ROW(L$26),0))</f>
        <v>#N/A</v>
      </c>
      <c r="N75" t="e">
        <f>IF(OR(N$27="",ISERROR($A75)),NA(),HLOOKUP(N$27,MODEL_MATRIX!$C$1:$AA$71,ROW()-ROW(M$26),0))</f>
        <v>#N/A</v>
      </c>
      <c r="O75" t="e">
        <f>IF(OR(O$27="",ISERROR($A75)),NA(),HLOOKUP(O$27,MODEL_MATRIX!$C$1:$AA$71,ROW()-ROW(N$26),0))</f>
        <v>#N/A</v>
      </c>
      <c r="P75" t="e">
        <f>IF(OR(P$27="",ISERROR($A75)),NA(),HLOOKUP(P$27,MODEL_MATRIX!$C$1:$AA$71,ROW()-ROW(O$26),0))</f>
        <v>#N/A</v>
      </c>
      <c r="Q75" t="e">
        <f>IF(OR(Q$27="",ISERROR($A75)),NA(),HLOOKUP(Q$27,MODEL_MATRIX!$C$1:$AA$71,ROW()-ROW(P$26),0))</f>
        <v>#N/A</v>
      </c>
      <c r="R75" t="e">
        <f>IF(OR(R$27="",ISERROR($A75)),NA(),HLOOKUP(R$27,MODEL_MATRIX!$C$1:$AA$71,ROW()-ROW(Q$26),0))</f>
        <v>#N/A</v>
      </c>
      <c r="S75" t="e">
        <f>IF(OR(S$27="",ISERROR($A75)),NA(),HLOOKUP(S$27,MODEL_MATRIX!$C$1:$AA$71,ROW()-ROW(R$26),0))</f>
        <v>#N/A</v>
      </c>
      <c r="T75" t="e">
        <f>IF(OR(T$27="",ISERROR($A75)),NA(),HLOOKUP(T$27,MODEL_MATRIX!$C$1:$AA$71,ROW()-ROW(S$26),0))</f>
        <v>#N/A</v>
      </c>
      <c r="U75" t="e">
        <f>IF(OR(U$27="",ISERROR($A75)),NA(),HLOOKUP(U$27,MODEL_MATRIX!$C$1:$AA$71,ROW()-ROW(T$26),0))</f>
        <v>#N/A</v>
      </c>
      <c r="V75" t="e">
        <f>IF(OR(V$27="",ISERROR($A75)),NA(),HLOOKUP(V$27,MODEL_MATRIX!$C$1:$AA$71,ROW()-ROW(U$26),0))</f>
        <v>#N/A</v>
      </c>
      <c r="W75" t="e">
        <f>IF(OR(W$27="",ISERROR($A75)),NA(),HLOOKUP(W$27,MODEL_MATRIX!$C$1:$AA$71,ROW()-ROW(V$26),0))</f>
        <v>#N/A</v>
      </c>
      <c r="X75" t="e">
        <f>IF(OR(X$27="",ISERROR($A75)),NA(),HLOOKUP(X$27,MODEL_MATRIX!$C$1:$AA$71,ROW()-ROW(W$26),0))</f>
        <v>#N/A</v>
      </c>
      <c r="Y75" t="e">
        <f>IF(OR(Y$27="",ISERROR($A75)),NA(),HLOOKUP(Y$27,MODEL_MATRIX!$C$1:$AA$71,ROW()-ROW(X$26),0))</f>
        <v>#N/A</v>
      </c>
      <c r="Z75" t="e">
        <f>IF(OR(Z$27="",ISERROR($A75)),NA(),HLOOKUP(Z$27,MODEL_MATRIX!$C$1:$AA$71,ROW()-ROW(Y$26),0))</f>
        <v>#N/A</v>
      </c>
    </row>
    <row r="76" spans="1:26" hidden="1" x14ac:dyDescent="0.25">
      <c r="A76" t="e">
        <f>IF(MODEL_MATRIX!B50="",NA(),MODEL_MATRIX!B50)</f>
        <v>#N/A</v>
      </c>
      <c r="B76" t="e">
        <f ca="1">IF(OR(B$27="",ISERROR($A76)),NA(),HLOOKUP(B$27,MODEL_MATRIX!$C$1:$AA$71,ROW()-ROW(A$26),0))</f>
        <v>#N/A</v>
      </c>
      <c r="C76" t="e">
        <f ca="1">IF(OR(C$27="",ISERROR($A76)),NA(),HLOOKUP(C$27,MODEL_MATRIX!$C$1:$AA$71,ROW()-ROW(B$26),0))</f>
        <v>#N/A</v>
      </c>
      <c r="D76" t="e">
        <f ca="1">IF(OR(D$27="",ISERROR($A76)),NA(),HLOOKUP(D$27,MODEL_MATRIX!$C$1:$AA$71,ROW()-ROW(C$26),0))</f>
        <v>#N/A</v>
      </c>
      <c r="E76" t="e">
        <f>IF(OR(E$27="",ISERROR($A76)),NA(),HLOOKUP(E$27,MODEL_MATRIX!$C$1:$AA$71,ROW()-ROW(D$26),0))</f>
        <v>#N/A</v>
      </c>
      <c r="F76" t="e">
        <f>IF(OR(F$27="",ISERROR($A76)),NA(),HLOOKUP(F$27,MODEL_MATRIX!$C$1:$AA$71,ROW()-ROW(E$26),0))</f>
        <v>#N/A</v>
      </c>
      <c r="G76" t="e">
        <f>IF(OR(G$27="",ISERROR($A76)),NA(),HLOOKUP(G$27,MODEL_MATRIX!$C$1:$AA$71,ROW()-ROW(F$26),0))</f>
        <v>#N/A</v>
      </c>
      <c r="H76" t="e">
        <f>IF(OR(H$27="",ISERROR($A76)),NA(),HLOOKUP(H$27,MODEL_MATRIX!$C$1:$AA$71,ROW()-ROW(G$26),0))</f>
        <v>#N/A</v>
      </c>
      <c r="I76" t="e">
        <f>IF(OR(I$27="",ISERROR($A76)),NA(),HLOOKUP(I$27,MODEL_MATRIX!$C$1:$AA$71,ROW()-ROW(H$26),0))</f>
        <v>#N/A</v>
      </c>
      <c r="J76" t="e">
        <f>IF(OR(J$27="",ISERROR($A76)),NA(),HLOOKUP(J$27,MODEL_MATRIX!$C$1:$AA$71,ROW()-ROW(I$26),0))</f>
        <v>#N/A</v>
      </c>
      <c r="K76" t="e">
        <f>IF(OR(K$27="",ISERROR($A76)),NA(),HLOOKUP(K$27,MODEL_MATRIX!$C$1:$AA$71,ROW()-ROW(J$26),0))</f>
        <v>#N/A</v>
      </c>
      <c r="L76" t="e">
        <f>IF(OR(L$27="",ISERROR($A76)),NA(),HLOOKUP(L$27,MODEL_MATRIX!$C$1:$AA$71,ROW()-ROW(K$26),0))</f>
        <v>#N/A</v>
      </c>
      <c r="M76" t="e">
        <f>IF(OR(M$27="",ISERROR($A76)),NA(),HLOOKUP(M$27,MODEL_MATRIX!$C$1:$AA$71,ROW()-ROW(L$26),0))</f>
        <v>#N/A</v>
      </c>
      <c r="N76" t="e">
        <f>IF(OR(N$27="",ISERROR($A76)),NA(),HLOOKUP(N$27,MODEL_MATRIX!$C$1:$AA$71,ROW()-ROW(M$26),0))</f>
        <v>#N/A</v>
      </c>
      <c r="O76" t="e">
        <f>IF(OR(O$27="",ISERROR($A76)),NA(),HLOOKUP(O$27,MODEL_MATRIX!$C$1:$AA$71,ROW()-ROW(N$26),0))</f>
        <v>#N/A</v>
      </c>
      <c r="P76" t="e">
        <f>IF(OR(P$27="",ISERROR($A76)),NA(),HLOOKUP(P$27,MODEL_MATRIX!$C$1:$AA$71,ROW()-ROW(O$26),0))</f>
        <v>#N/A</v>
      </c>
      <c r="Q76" t="e">
        <f>IF(OR(Q$27="",ISERROR($A76)),NA(),HLOOKUP(Q$27,MODEL_MATRIX!$C$1:$AA$71,ROW()-ROW(P$26),0))</f>
        <v>#N/A</v>
      </c>
      <c r="R76" t="e">
        <f>IF(OR(R$27="",ISERROR($A76)),NA(),HLOOKUP(R$27,MODEL_MATRIX!$C$1:$AA$71,ROW()-ROW(Q$26),0))</f>
        <v>#N/A</v>
      </c>
      <c r="S76" t="e">
        <f>IF(OR(S$27="",ISERROR($A76)),NA(),HLOOKUP(S$27,MODEL_MATRIX!$C$1:$AA$71,ROW()-ROW(R$26),0))</f>
        <v>#N/A</v>
      </c>
      <c r="T76" t="e">
        <f>IF(OR(T$27="",ISERROR($A76)),NA(),HLOOKUP(T$27,MODEL_MATRIX!$C$1:$AA$71,ROW()-ROW(S$26),0))</f>
        <v>#N/A</v>
      </c>
      <c r="U76" t="e">
        <f>IF(OR(U$27="",ISERROR($A76)),NA(),HLOOKUP(U$27,MODEL_MATRIX!$C$1:$AA$71,ROW()-ROW(T$26),0))</f>
        <v>#N/A</v>
      </c>
      <c r="V76" t="e">
        <f>IF(OR(V$27="",ISERROR($A76)),NA(),HLOOKUP(V$27,MODEL_MATRIX!$C$1:$AA$71,ROW()-ROW(U$26),0))</f>
        <v>#N/A</v>
      </c>
      <c r="W76" t="e">
        <f>IF(OR(W$27="",ISERROR($A76)),NA(),HLOOKUP(W$27,MODEL_MATRIX!$C$1:$AA$71,ROW()-ROW(V$26),0))</f>
        <v>#N/A</v>
      </c>
      <c r="X76" t="e">
        <f>IF(OR(X$27="",ISERROR($A76)),NA(),HLOOKUP(X$27,MODEL_MATRIX!$C$1:$AA$71,ROW()-ROW(W$26),0))</f>
        <v>#N/A</v>
      </c>
      <c r="Y76" t="e">
        <f>IF(OR(Y$27="",ISERROR($A76)),NA(),HLOOKUP(Y$27,MODEL_MATRIX!$C$1:$AA$71,ROW()-ROW(X$26),0))</f>
        <v>#N/A</v>
      </c>
      <c r="Z76" t="e">
        <f>IF(OR(Z$27="",ISERROR($A76)),NA(),HLOOKUP(Z$27,MODEL_MATRIX!$C$1:$AA$71,ROW()-ROW(Y$26),0))</f>
        <v>#N/A</v>
      </c>
    </row>
    <row r="77" spans="1:26" hidden="1" x14ac:dyDescent="0.25">
      <c r="A77" t="e">
        <f>IF(MODEL_MATRIX!B51="",NA(),MODEL_MATRIX!B51)</f>
        <v>#N/A</v>
      </c>
      <c r="B77" t="e">
        <f ca="1">IF(OR(B$27="",ISERROR($A77)),NA(),HLOOKUP(B$27,MODEL_MATRIX!$C$1:$AA$71,ROW()-ROW(A$26),0))</f>
        <v>#N/A</v>
      </c>
      <c r="C77" t="e">
        <f ca="1">IF(OR(C$27="",ISERROR($A77)),NA(),HLOOKUP(C$27,MODEL_MATRIX!$C$1:$AA$71,ROW()-ROW(B$26),0))</f>
        <v>#N/A</v>
      </c>
      <c r="D77" t="e">
        <f ca="1">IF(OR(D$27="",ISERROR($A77)),NA(),HLOOKUP(D$27,MODEL_MATRIX!$C$1:$AA$71,ROW()-ROW(C$26),0))</f>
        <v>#N/A</v>
      </c>
      <c r="E77" t="e">
        <f>IF(OR(E$27="",ISERROR($A77)),NA(),HLOOKUP(E$27,MODEL_MATRIX!$C$1:$AA$71,ROW()-ROW(D$26),0))</f>
        <v>#N/A</v>
      </c>
      <c r="F77" t="e">
        <f>IF(OR(F$27="",ISERROR($A77)),NA(),HLOOKUP(F$27,MODEL_MATRIX!$C$1:$AA$71,ROW()-ROW(E$26),0))</f>
        <v>#N/A</v>
      </c>
      <c r="G77" t="e">
        <f>IF(OR(G$27="",ISERROR($A77)),NA(),HLOOKUP(G$27,MODEL_MATRIX!$C$1:$AA$71,ROW()-ROW(F$26),0))</f>
        <v>#N/A</v>
      </c>
      <c r="H77" t="e">
        <f>IF(OR(H$27="",ISERROR($A77)),NA(),HLOOKUP(H$27,MODEL_MATRIX!$C$1:$AA$71,ROW()-ROW(G$26),0))</f>
        <v>#N/A</v>
      </c>
      <c r="I77" t="e">
        <f>IF(OR(I$27="",ISERROR($A77)),NA(),HLOOKUP(I$27,MODEL_MATRIX!$C$1:$AA$71,ROW()-ROW(H$26),0))</f>
        <v>#N/A</v>
      </c>
      <c r="J77" t="e">
        <f>IF(OR(J$27="",ISERROR($A77)),NA(),HLOOKUP(J$27,MODEL_MATRIX!$C$1:$AA$71,ROW()-ROW(I$26),0))</f>
        <v>#N/A</v>
      </c>
      <c r="K77" t="e">
        <f>IF(OR(K$27="",ISERROR($A77)),NA(),HLOOKUP(K$27,MODEL_MATRIX!$C$1:$AA$71,ROW()-ROW(J$26),0))</f>
        <v>#N/A</v>
      </c>
      <c r="L77" t="e">
        <f>IF(OR(L$27="",ISERROR($A77)),NA(),HLOOKUP(L$27,MODEL_MATRIX!$C$1:$AA$71,ROW()-ROW(K$26),0))</f>
        <v>#N/A</v>
      </c>
      <c r="M77" t="e">
        <f>IF(OR(M$27="",ISERROR($A77)),NA(),HLOOKUP(M$27,MODEL_MATRIX!$C$1:$AA$71,ROW()-ROW(L$26),0))</f>
        <v>#N/A</v>
      </c>
      <c r="N77" t="e">
        <f>IF(OR(N$27="",ISERROR($A77)),NA(),HLOOKUP(N$27,MODEL_MATRIX!$C$1:$AA$71,ROW()-ROW(M$26),0))</f>
        <v>#N/A</v>
      </c>
      <c r="O77" t="e">
        <f>IF(OR(O$27="",ISERROR($A77)),NA(),HLOOKUP(O$27,MODEL_MATRIX!$C$1:$AA$71,ROW()-ROW(N$26),0))</f>
        <v>#N/A</v>
      </c>
      <c r="P77" t="e">
        <f>IF(OR(P$27="",ISERROR($A77)),NA(),HLOOKUP(P$27,MODEL_MATRIX!$C$1:$AA$71,ROW()-ROW(O$26),0))</f>
        <v>#N/A</v>
      </c>
      <c r="Q77" t="e">
        <f>IF(OR(Q$27="",ISERROR($A77)),NA(),HLOOKUP(Q$27,MODEL_MATRIX!$C$1:$AA$71,ROW()-ROW(P$26),0))</f>
        <v>#N/A</v>
      </c>
      <c r="R77" t="e">
        <f>IF(OR(R$27="",ISERROR($A77)),NA(),HLOOKUP(R$27,MODEL_MATRIX!$C$1:$AA$71,ROW()-ROW(Q$26),0))</f>
        <v>#N/A</v>
      </c>
      <c r="S77" t="e">
        <f>IF(OR(S$27="",ISERROR($A77)),NA(),HLOOKUP(S$27,MODEL_MATRIX!$C$1:$AA$71,ROW()-ROW(R$26),0))</f>
        <v>#N/A</v>
      </c>
      <c r="T77" t="e">
        <f>IF(OR(T$27="",ISERROR($A77)),NA(),HLOOKUP(T$27,MODEL_MATRIX!$C$1:$AA$71,ROW()-ROW(S$26),0))</f>
        <v>#N/A</v>
      </c>
      <c r="U77" t="e">
        <f>IF(OR(U$27="",ISERROR($A77)),NA(),HLOOKUP(U$27,MODEL_MATRIX!$C$1:$AA$71,ROW()-ROW(T$26),0))</f>
        <v>#N/A</v>
      </c>
      <c r="V77" t="e">
        <f>IF(OR(V$27="",ISERROR($A77)),NA(),HLOOKUP(V$27,MODEL_MATRIX!$C$1:$AA$71,ROW()-ROW(U$26),0))</f>
        <v>#N/A</v>
      </c>
      <c r="W77" t="e">
        <f>IF(OR(W$27="",ISERROR($A77)),NA(),HLOOKUP(W$27,MODEL_MATRIX!$C$1:$AA$71,ROW()-ROW(V$26),0))</f>
        <v>#N/A</v>
      </c>
      <c r="X77" t="e">
        <f>IF(OR(X$27="",ISERROR($A77)),NA(),HLOOKUP(X$27,MODEL_MATRIX!$C$1:$AA$71,ROW()-ROW(W$26),0))</f>
        <v>#N/A</v>
      </c>
      <c r="Y77" t="e">
        <f>IF(OR(Y$27="",ISERROR($A77)),NA(),HLOOKUP(Y$27,MODEL_MATRIX!$C$1:$AA$71,ROW()-ROW(X$26),0))</f>
        <v>#N/A</v>
      </c>
      <c r="Z77" t="e">
        <f>IF(OR(Z$27="",ISERROR($A77)),NA(),HLOOKUP(Z$27,MODEL_MATRIX!$C$1:$AA$71,ROW()-ROW(Y$26),0))</f>
        <v>#N/A</v>
      </c>
    </row>
    <row r="78" spans="1:26" hidden="1" x14ac:dyDescent="0.25">
      <c r="A78" t="e">
        <f>IF(MODEL_MATRIX!B52="",NA(),MODEL_MATRIX!B52)</f>
        <v>#N/A</v>
      </c>
      <c r="B78" t="e">
        <f ca="1">IF(OR(B$27="",ISERROR($A78)),NA(),HLOOKUP(B$27,MODEL_MATRIX!$C$1:$AA$71,ROW()-ROW(A$26),0))</f>
        <v>#N/A</v>
      </c>
      <c r="C78" t="e">
        <f ca="1">IF(OR(C$27="",ISERROR($A78)),NA(),HLOOKUP(C$27,MODEL_MATRIX!$C$1:$AA$71,ROW()-ROW(B$26),0))</f>
        <v>#N/A</v>
      </c>
      <c r="D78" t="e">
        <f ca="1">IF(OR(D$27="",ISERROR($A78)),NA(),HLOOKUP(D$27,MODEL_MATRIX!$C$1:$AA$71,ROW()-ROW(C$26),0))</f>
        <v>#N/A</v>
      </c>
      <c r="E78" t="e">
        <f>IF(OR(E$27="",ISERROR($A78)),NA(),HLOOKUP(E$27,MODEL_MATRIX!$C$1:$AA$71,ROW()-ROW(D$26),0))</f>
        <v>#N/A</v>
      </c>
      <c r="F78" t="e">
        <f>IF(OR(F$27="",ISERROR($A78)),NA(),HLOOKUP(F$27,MODEL_MATRIX!$C$1:$AA$71,ROW()-ROW(E$26),0))</f>
        <v>#N/A</v>
      </c>
      <c r="G78" t="e">
        <f>IF(OR(G$27="",ISERROR($A78)),NA(),HLOOKUP(G$27,MODEL_MATRIX!$C$1:$AA$71,ROW()-ROW(F$26),0))</f>
        <v>#N/A</v>
      </c>
      <c r="H78" t="e">
        <f>IF(OR(H$27="",ISERROR($A78)),NA(),HLOOKUP(H$27,MODEL_MATRIX!$C$1:$AA$71,ROW()-ROW(G$26),0))</f>
        <v>#N/A</v>
      </c>
      <c r="I78" t="e">
        <f>IF(OR(I$27="",ISERROR($A78)),NA(),HLOOKUP(I$27,MODEL_MATRIX!$C$1:$AA$71,ROW()-ROW(H$26),0))</f>
        <v>#N/A</v>
      </c>
      <c r="J78" t="e">
        <f>IF(OR(J$27="",ISERROR($A78)),NA(),HLOOKUP(J$27,MODEL_MATRIX!$C$1:$AA$71,ROW()-ROW(I$26),0))</f>
        <v>#N/A</v>
      </c>
      <c r="K78" t="e">
        <f>IF(OR(K$27="",ISERROR($A78)),NA(),HLOOKUP(K$27,MODEL_MATRIX!$C$1:$AA$71,ROW()-ROW(J$26),0))</f>
        <v>#N/A</v>
      </c>
      <c r="L78" t="e">
        <f>IF(OR(L$27="",ISERROR($A78)),NA(),HLOOKUP(L$27,MODEL_MATRIX!$C$1:$AA$71,ROW()-ROW(K$26),0))</f>
        <v>#N/A</v>
      </c>
      <c r="M78" t="e">
        <f>IF(OR(M$27="",ISERROR($A78)),NA(),HLOOKUP(M$27,MODEL_MATRIX!$C$1:$AA$71,ROW()-ROW(L$26),0))</f>
        <v>#N/A</v>
      </c>
      <c r="N78" t="e">
        <f>IF(OR(N$27="",ISERROR($A78)),NA(),HLOOKUP(N$27,MODEL_MATRIX!$C$1:$AA$71,ROW()-ROW(M$26),0))</f>
        <v>#N/A</v>
      </c>
      <c r="O78" t="e">
        <f>IF(OR(O$27="",ISERROR($A78)),NA(),HLOOKUP(O$27,MODEL_MATRIX!$C$1:$AA$71,ROW()-ROW(N$26),0))</f>
        <v>#N/A</v>
      </c>
      <c r="P78" t="e">
        <f>IF(OR(P$27="",ISERROR($A78)),NA(),HLOOKUP(P$27,MODEL_MATRIX!$C$1:$AA$71,ROW()-ROW(O$26),0))</f>
        <v>#N/A</v>
      </c>
      <c r="Q78" t="e">
        <f>IF(OR(Q$27="",ISERROR($A78)),NA(),HLOOKUP(Q$27,MODEL_MATRIX!$C$1:$AA$71,ROW()-ROW(P$26),0))</f>
        <v>#N/A</v>
      </c>
      <c r="R78" t="e">
        <f>IF(OR(R$27="",ISERROR($A78)),NA(),HLOOKUP(R$27,MODEL_MATRIX!$C$1:$AA$71,ROW()-ROW(Q$26),0))</f>
        <v>#N/A</v>
      </c>
      <c r="S78" t="e">
        <f>IF(OR(S$27="",ISERROR($A78)),NA(),HLOOKUP(S$27,MODEL_MATRIX!$C$1:$AA$71,ROW()-ROW(R$26),0))</f>
        <v>#N/A</v>
      </c>
      <c r="T78" t="e">
        <f>IF(OR(T$27="",ISERROR($A78)),NA(),HLOOKUP(T$27,MODEL_MATRIX!$C$1:$AA$71,ROW()-ROW(S$26),0))</f>
        <v>#N/A</v>
      </c>
      <c r="U78" t="e">
        <f>IF(OR(U$27="",ISERROR($A78)),NA(),HLOOKUP(U$27,MODEL_MATRIX!$C$1:$AA$71,ROW()-ROW(T$26),0))</f>
        <v>#N/A</v>
      </c>
      <c r="V78" t="e">
        <f>IF(OR(V$27="",ISERROR($A78)),NA(),HLOOKUP(V$27,MODEL_MATRIX!$C$1:$AA$71,ROW()-ROW(U$26),0))</f>
        <v>#N/A</v>
      </c>
      <c r="W78" t="e">
        <f>IF(OR(W$27="",ISERROR($A78)),NA(),HLOOKUP(W$27,MODEL_MATRIX!$C$1:$AA$71,ROW()-ROW(V$26),0))</f>
        <v>#N/A</v>
      </c>
      <c r="X78" t="e">
        <f>IF(OR(X$27="",ISERROR($A78)),NA(),HLOOKUP(X$27,MODEL_MATRIX!$C$1:$AA$71,ROW()-ROW(W$26),0))</f>
        <v>#N/A</v>
      </c>
      <c r="Y78" t="e">
        <f>IF(OR(Y$27="",ISERROR($A78)),NA(),HLOOKUP(Y$27,MODEL_MATRIX!$C$1:$AA$71,ROW()-ROW(X$26),0))</f>
        <v>#N/A</v>
      </c>
      <c r="Z78" t="e">
        <f>IF(OR(Z$27="",ISERROR($A78)),NA(),HLOOKUP(Z$27,MODEL_MATRIX!$C$1:$AA$71,ROW()-ROW(Y$26),0))</f>
        <v>#N/A</v>
      </c>
    </row>
    <row r="79" spans="1:26" hidden="1" x14ac:dyDescent="0.25">
      <c r="A79" t="e">
        <f>IF(MODEL_MATRIX!B53="",NA(),MODEL_MATRIX!B53)</f>
        <v>#N/A</v>
      </c>
      <c r="B79" t="e">
        <f ca="1">IF(OR(B$27="",ISERROR($A79)),NA(),HLOOKUP(B$27,MODEL_MATRIX!$C$1:$AA$71,ROW()-ROW(A$26),0))</f>
        <v>#N/A</v>
      </c>
      <c r="C79" t="e">
        <f ca="1">IF(OR(C$27="",ISERROR($A79)),NA(),HLOOKUP(C$27,MODEL_MATRIX!$C$1:$AA$71,ROW()-ROW(B$26),0))</f>
        <v>#N/A</v>
      </c>
      <c r="D79" t="e">
        <f ca="1">IF(OR(D$27="",ISERROR($A79)),NA(),HLOOKUP(D$27,MODEL_MATRIX!$C$1:$AA$71,ROW()-ROW(C$26),0))</f>
        <v>#N/A</v>
      </c>
      <c r="E79" t="e">
        <f>IF(OR(E$27="",ISERROR($A79)),NA(),HLOOKUP(E$27,MODEL_MATRIX!$C$1:$AA$71,ROW()-ROW(D$26),0))</f>
        <v>#N/A</v>
      </c>
      <c r="F79" t="e">
        <f>IF(OR(F$27="",ISERROR($A79)),NA(),HLOOKUP(F$27,MODEL_MATRIX!$C$1:$AA$71,ROW()-ROW(E$26),0))</f>
        <v>#N/A</v>
      </c>
      <c r="G79" t="e">
        <f>IF(OR(G$27="",ISERROR($A79)),NA(),HLOOKUP(G$27,MODEL_MATRIX!$C$1:$AA$71,ROW()-ROW(F$26),0))</f>
        <v>#N/A</v>
      </c>
      <c r="H79" t="e">
        <f>IF(OR(H$27="",ISERROR($A79)),NA(),HLOOKUP(H$27,MODEL_MATRIX!$C$1:$AA$71,ROW()-ROW(G$26),0))</f>
        <v>#N/A</v>
      </c>
      <c r="I79" t="e">
        <f>IF(OR(I$27="",ISERROR($A79)),NA(),HLOOKUP(I$27,MODEL_MATRIX!$C$1:$AA$71,ROW()-ROW(H$26),0))</f>
        <v>#N/A</v>
      </c>
      <c r="J79" t="e">
        <f>IF(OR(J$27="",ISERROR($A79)),NA(),HLOOKUP(J$27,MODEL_MATRIX!$C$1:$AA$71,ROW()-ROW(I$26),0))</f>
        <v>#N/A</v>
      </c>
      <c r="K79" t="e">
        <f>IF(OR(K$27="",ISERROR($A79)),NA(),HLOOKUP(K$27,MODEL_MATRIX!$C$1:$AA$71,ROW()-ROW(J$26),0))</f>
        <v>#N/A</v>
      </c>
      <c r="L79" t="e">
        <f>IF(OR(L$27="",ISERROR($A79)),NA(),HLOOKUP(L$27,MODEL_MATRIX!$C$1:$AA$71,ROW()-ROW(K$26),0))</f>
        <v>#N/A</v>
      </c>
      <c r="M79" t="e">
        <f>IF(OR(M$27="",ISERROR($A79)),NA(),HLOOKUP(M$27,MODEL_MATRIX!$C$1:$AA$71,ROW()-ROW(L$26),0))</f>
        <v>#N/A</v>
      </c>
      <c r="N79" t="e">
        <f>IF(OR(N$27="",ISERROR($A79)),NA(),HLOOKUP(N$27,MODEL_MATRIX!$C$1:$AA$71,ROW()-ROW(M$26),0))</f>
        <v>#N/A</v>
      </c>
      <c r="O79" t="e">
        <f>IF(OR(O$27="",ISERROR($A79)),NA(),HLOOKUP(O$27,MODEL_MATRIX!$C$1:$AA$71,ROW()-ROW(N$26),0))</f>
        <v>#N/A</v>
      </c>
      <c r="P79" t="e">
        <f>IF(OR(P$27="",ISERROR($A79)),NA(),HLOOKUP(P$27,MODEL_MATRIX!$C$1:$AA$71,ROW()-ROW(O$26),0))</f>
        <v>#N/A</v>
      </c>
      <c r="Q79" t="e">
        <f>IF(OR(Q$27="",ISERROR($A79)),NA(),HLOOKUP(Q$27,MODEL_MATRIX!$C$1:$AA$71,ROW()-ROW(P$26),0))</f>
        <v>#N/A</v>
      </c>
      <c r="R79" t="e">
        <f>IF(OR(R$27="",ISERROR($A79)),NA(),HLOOKUP(R$27,MODEL_MATRIX!$C$1:$AA$71,ROW()-ROW(Q$26),0))</f>
        <v>#N/A</v>
      </c>
      <c r="S79" t="e">
        <f>IF(OR(S$27="",ISERROR($A79)),NA(),HLOOKUP(S$27,MODEL_MATRIX!$C$1:$AA$71,ROW()-ROW(R$26),0))</f>
        <v>#N/A</v>
      </c>
      <c r="T79" t="e">
        <f>IF(OR(T$27="",ISERROR($A79)),NA(),HLOOKUP(T$27,MODEL_MATRIX!$C$1:$AA$71,ROW()-ROW(S$26),0))</f>
        <v>#N/A</v>
      </c>
      <c r="U79" t="e">
        <f>IF(OR(U$27="",ISERROR($A79)),NA(),HLOOKUP(U$27,MODEL_MATRIX!$C$1:$AA$71,ROW()-ROW(T$26),0))</f>
        <v>#N/A</v>
      </c>
      <c r="V79" t="e">
        <f>IF(OR(V$27="",ISERROR($A79)),NA(),HLOOKUP(V$27,MODEL_MATRIX!$C$1:$AA$71,ROW()-ROW(U$26),0))</f>
        <v>#N/A</v>
      </c>
      <c r="W79" t="e">
        <f>IF(OR(W$27="",ISERROR($A79)),NA(),HLOOKUP(W$27,MODEL_MATRIX!$C$1:$AA$71,ROW()-ROW(V$26),0))</f>
        <v>#N/A</v>
      </c>
      <c r="X79" t="e">
        <f>IF(OR(X$27="",ISERROR($A79)),NA(),HLOOKUP(X$27,MODEL_MATRIX!$C$1:$AA$71,ROW()-ROW(W$26),0))</f>
        <v>#N/A</v>
      </c>
      <c r="Y79" t="e">
        <f>IF(OR(Y$27="",ISERROR($A79)),NA(),HLOOKUP(Y$27,MODEL_MATRIX!$C$1:$AA$71,ROW()-ROW(X$26),0))</f>
        <v>#N/A</v>
      </c>
      <c r="Z79" t="e">
        <f>IF(OR(Z$27="",ISERROR($A79)),NA(),HLOOKUP(Z$27,MODEL_MATRIX!$C$1:$AA$71,ROW()-ROW(Y$26),0))</f>
        <v>#N/A</v>
      </c>
    </row>
    <row r="80" spans="1:26" hidden="1" x14ac:dyDescent="0.25">
      <c r="A80" t="e">
        <f>IF(MODEL_MATRIX!B54="",NA(),MODEL_MATRIX!B54)</f>
        <v>#N/A</v>
      </c>
      <c r="B80" t="e">
        <f ca="1">IF(OR(B$27="",ISERROR($A80)),NA(),HLOOKUP(B$27,MODEL_MATRIX!$C$1:$AA$71,ROW()-ROW(A$26),0))</f>
        <v>#N/A</v>
      </c>
      <c r="C80" t="e">
        <f ca="1">IF(OR(C$27="",ISERROR($A80)),NA(),HLOOKUP(C$27,MODEL_MATRIX!$C$1:$AA$71,ROW()-ROW(B$26),0))</f>
        <v>#N/A</v>
      </c>
      <c r="D80" t="e">
        <f ca="1">IF(OR(D$27="",ISERROR($A80)),NA(),HLOOKUP(D$27,MODEL_MATRIX!$C$1:$AA$71,ROW()-ROW(C$26),0))</f>
        <v>#N/A</v>
      </c>
      <c r="E80" t="e">
        <f>IF(OR(E$27="",ISERROR($A80)),NA(),HLOOKUP(E$27,MODEL_MATRIX!$C$1:$AA$71,ROW()-ROW(D$26),0))</f>
        <v>#N/A</v>
      </c>
      <c r="F80" t="e">
        <f>IF(OR(F$27="",ISERROR($A80)),NA(),HLOOKUP(F$27,MODEL_MATRIX!$C$1:$AA$71,ROW()-ROW(E$26),0))</f>
        <v>#N/A</v>
      </c>
      <c r="G80" t="e">
        <f>IF(OR(G$27="",ISERROR($A80)),NA(),HLOOKUP(G$27,MODEL_MATRIX!$C$1:$AA$71,ROW()-ROW(F$26),0))</f>
        <v>#N/A</v>
      </c>
      <c r="H80" t="e">
        <f>IF(OR(H$27="",ISERROR($A80)),NA(),HLOOKUP(H$27,MODEL_MATRIX!$C$1:$AA$71,ROW()-ROW(G$26),0))</f>
        <v>#N/A</v>
      </c>
      <c r="I80" t="e">
        <f>IF(OR(I$27="",ISERROR($A80)),NA(),HLOOKUP(I$27,MODEL_MATRIX!$C$1:$AA$71,ROW()-ROW(H$26),0))</f>
        <v>#N/A</v>
      </c>
      <c r="J80" t="e">
        <f>IF(OR(J$27="",ISERROR($A80)),NA(),HLOOKUP(J$27,MODEL_MATRIX!$C$1:$AA$71,ROW()-ROW(I$26),0))</f>
        <v>#N/A</v>
      </c>
      <c r="K80" t="e">
        <f>IF(OR(K$27="",ISERROR($A80)),NA(),HLOOKUP(K$27,MODEL_MATRIX!$C$1:$AA$71,ROW()-ROW(J$26),0))</f>
        <v>#N/A</v>
      </c>
      <c r="L80" t="e">
        <f>IF(OR(L$27="",ISERROR($A80)),NA(),HLOOKUP(L$27,MODEL_MATRIX!$C$1:$AA$71,ROW()-ROW(K$26),0))</f>
        <v>#N/A</v>
      </c>
      <c r="M80" t="e">
        <f>IF(OR(M$27="",ISERROR($A80)),NA(),HLOOKUP(M$27,MODEL_MATRIX!$C$1:$AA$71,ROW()-ROW(L$26),0))</f>
        <v>#N/A</v>
      </c>
      <c r="N80" t="e">
        <f>IF(OR(N$27="",ISERROR($A80)),NA(),HLOOKUP(N$27,MODEL_MATRIX!$C$1:$AA$71,ROW()-ROW(M$26),0))</f>
        <v>#N/A</v>
      </c>
      <c r="O80" t="e">
        <f>IF(OR(O$27="",ISERROR($A80)),NA(),HLOOKUP(O$27,MODEL_MATRIX!$C$1:$AA$71,ROW()-ROW(N$26),0))</f>
        <v>#N/A</v>
      </c>
      <c r="P80" t="e">
        <f>IF(OR(P$27="",ISERROR($A80)),NA(),HLOOKUP(P$27,MODEL_MATRIX!$C$1:$AA$71,ROW()-ROW(O$26),0))</f>
        <v>#N/A</v>
      </c>
      <c r="Q80" t="e">
        <f>IF(OR(Q$27="",ISERROR($A80)),NA(),HLOOKUP(Q$27,MODEL_MATRIX!$C$1:$AA$71,ROW()-ROW(P$26),0))</f>
        <v>#N/A</v>
      </c>
      <c r="R80" t="e">
        <f>IF(OR(R$27="",ISERROR($A80)),NA(),HLOOKUP(R$27,MODEL_MATRIX!$C$1:$AA$71,ROW()-ROW(Q$26),0))</f>
        <v>#N/A</v>
      </c>
      <c r="S80" t="e">
        <f>IF(OR(S$27="",ISERROR($A80)),NA(),HLOOKUP(S$27,MODEL_MATRIX!$C$1:$AA$71,ROW()-ROW(R$26),0))</f>
        <v>#N/A</v>
      </c>
      <c r="T80" t="e">
        <f>IF(OR(T$27="",ISERROR($A80)),NA(),HLOOKUP(T$27,MODEL_MATRIX!$C$1:$AA$71,ROW()-ROW(S$26),0))</f>
        <v>#N/A</v>
      </c>
      <c r="U80" t="e">
        <f>IF(OR(U$27="",ISERROR($A80)),NA(),HLOOKUP(U$27,MODEL_MATRIX!$C$1:$AA$71,ROW()-ROW(T$26),0))</f>
        <v>#N/A</v>
      </c>
      <c r="V80" t="e">
        <f>IF(OR(V$27="",ISERROR($A80)),NA(),HLOOKUP(V$27,MODEL_MATRIX!$C$1:$AA$71,ROW()-ROW(U$26),0))</f>
        <v>#N/A</v>
      </c>
      <c r="W80" t="e">
        <f>IF(OR(W$27="",ISERROR($A80)),NA(),HLOOKUP(W$27,MODEL_MATRIX!$C$1:$AA$71,ROW()-ROW(V$26),0))</f>
        <v>#N/A</v>
      </c>
      <c r="X80" t="e">
        <f>IF(OR(X$27="",ISERROR($A80)),NA(),HLOOKUP(X$27,MODEL_MATRIX!$C$1:$AA$71,ROW()-ROW(W$26),0))</f>
        <v>#N/A</v>
      </c>
      <c r="Y80" t="e">
        <f>IF(OR(Y$27="",ISERROR($A80)),NA(),HLOOKUP(Y$27,MODEL_MATRIX!$C$1:$AA$71,ROW()-ROW(X$26),0))</f>
        <v>#N/A</v>
      </c>
      <c r="Z80" t="e">
        <f>IF(OR(Z$27="",ISERROR($A80)),NA(),HLOOKUP(Z$27,MODEL_MATRIX!$C$1:$AA$71,ROW()-ROW(Y$26),0))</f>
        <v>#N/A</v>
      </c>
    </row>
    <row r="81" spans="1:26" hidden="1" x14ac:dyDescent="0.25">
      <c r="A81" t="e">
        <f>IF(MODEL_MATRIX!B55="",NA(),MODEL_MATRIX!B55)</f>
        <v>#N/A</v>
      </c>
      <c r="B81" t="e">
        <f ca="1">IF(OR(B$27="",ISERROR($A81)),NA(),HLOOKUP(B$27,MODEL_MATRIX!$C$1:$AA$71,ROW()-ROW(A$26),0))</f>
        <v>#N/A</v>
      </c>
      <c r="C81" t="e">
        <f ca="1">IF(OR(C$27="",ISERROR($A81)),NA(),HLOOKUP(C$27,MODEL_MATRIX!$C$1:$AA$71,ROW()-ROW(B$26),0))</f>
        <v>#N/A</v>
      </c>
      <c r="D81" t="e">
        <f ca="1">IF(OR(D$27="",ISERROR($A81)),NA(),HLOOKUP(D$27,MODEL_MATRIX!$C$1:$AA$71,ROW()-ROW(C$26),0))</f>
        <v>#N/A</v>
      </c>
      <c r="E81" t="e">
        <f>IF(OR(E$27="",ISERROR($A81)),NA(),HLOOKUP(E$27,MODEL_MATRIX!$C$1:$AA$71,ROW()-ROW(D$26),0))</f>
        <v>#N/A</v>
      </c>
      <c r="F81" t="e">
        <f>IF(OR(F$27="",ISERROR($A81)),NA(),HLOOKUP(F$27,MODEL_MATRIX!$C$1:$AA$71,ROW()-ROW(E$26),0))</f>
        <v>#N/A</v>
      </c>
      <c r="G81" t="e">
        <f>IF(OR(G$27="",ISERROR($A81)),NA(),HLOOKUP(G$27,MODEL_MATRIX!$C$1:$AA$71,ROW()-ROW(F$26),0))</f>
        <v>#N/A</v>
      </c>
      <c r="H81" t="e">
        <f>IF(OR(H$27="",ISERROR($A81)),NA(),HLOOKUP(H$27,MODEL_MATRIX!$C$1:$AA$71,ROW()-ROW(G$26),0))</f>
        <v>#N/A</v>
      </c>
      <c r="I81" t="e">
        <f>IF(OR(I$27="",ISERROR($A81)),NA(),HLOOKUP(I$27,MODEL_MATRIX!$C$1:$AA$71,ROW()-ROW(H$26),0))</f>
        <v>#N/A</v>
      </c>
      <c r="J81" t="e">
        <f>IF(OR(J$27="",ISERROR($A81)),NA(),HLOOKUP(J$27,MODEL_MATRIX!$C$1:$AA$71,ROW()-ROW(I$26),0))</f>
        <v>#N/A</v>
      </c>
      <c r="K81" t="e">
        <f>IF(OR(K$27="",ISERROR($A81)),NA(),HLOOKUP(K$27,MODEL_MATRIX!$C$1:$AA$71,ROW()-ROW(J$26),0))</f>
        <v>#N/A</v>
      </c>
      <c r="L81" t="e">
        <f>IF(OR(L$27="",ISERROR($A81)),NA(),HLOOKUP(L$27,MODEL_MATRIX!$C$1:$AA$71,ROW()-ROW(K$26),0))</f>
        <v>#N/A</v>
      </c>
      <c r="M81" t="e">
        <f>IF(OR(M$27="",ISERROR($A81)),NA(),HLOOKUP(M$27,MODEL_MATRIX!$C$1:$AA$71,ROW()-ROW(L$26),0))</f>
        <v>#N/A</v>
      </c>
      <c r="N81" t="e">
        <f>IF(OR(N$27="",ISERROR($A81)),NA(),HLOOKUP(N$27,MODEL_MATRIX!$C$1:$AA$71,ROW()-ROW(M$26),0))</f>
        <v>#N/A</v>
      </c>
      <c r="O81" t="e">
        <f>IF(OR(O$27="",ISERROR($A81)),NA(),HLOOKUP(O$27,MODEL_MATRIX!$C$1:$AA$71,ROW()-ROW(N$26),0))</f>
        <v>#N/A</v>
      </c>
      <c r="P81" t="e">
        <f>IF(OR(P$27="",ISERROR($A81)),NA(),HLOOKUP(P$27,MODEL_MATRIX!$C$1:$AA$71,ROW()-ROW(O$26),0))</f>
        <v>#N/A</v>
      </c>
      <c r="Q81" t="e">
        <f>IF(OR(Q$27="",ISERROR($A81)),NA(),HLOOKUP(Q$27,MODEL_MATRIX!$C$1:$AA$71,ROW()-ROW(P$26),0))</f>
        <v>#N/A</v>
      </c>
      <c r="R81" t="e">
        <f>IF(OR(R$27="",ISERROR($A81)),NA(),HLOOKUP(R$27,MODEL_MATRIX!$C$1:$AA$71,ROW()-ROW(Q$26),0))</f>
        <v>#N/A</v>
      </c>
      <c r="S81" t="e">
        <f>IF(OR(S$27="",ISERROR($A81)),NA(),HLOOKUP(S$27,MODEL_MATRIX!$C$1:$AA$71,ROW()-ROW(R$26),0))</f>
        <v>#N/A</v>
      </c>
      <c r="T81" t="e">
        <f>IF(OR(T$27="",ISERROR($A81)),NA(),HLOOKUP(T$27,MODEL_MATRIX!$C$1:$AA$71,ROW()-ROW(S$26),0))</f>
        <v>#N/A</v>
      </c>
      <c r="U81" t="e">
        <f>IF(OR(U$27="",ISERROR($A81)),NA(),HLOOKUP(U$27,MODEL_MATRIX!$C$1:$AA$71,ROW()-ROW(T$26),0))</f>
        <v>#N/A</v>
      </c>
      <c r="V81" t="e">
        <f>IF(OR(V$27="",ISERROR($A81)),NA(),HLOOKUP(V$27,MODEL_MATRIX!$C$1:$AA$71,ROW()-ROW(U$26),0))</f>
        <v>#N/A</v>
      </c>
      <c r="W81" t="e">
        <f>IF(OR(W$27="",ISERROR($A81)),NA(),HLOOKUP(W$27,MODEL_MATRIX!$C$1:$AA$71,ROW()-ROW(V$26),0))</f>
        <v>#N/A</v>
      </c>
      <c r="X81" t="e">
        <f>IF(OR(X$27="",ISERROR($A81)),NA(),HLOOKUP(X$27,MODEL_MATRIX!$C$1:$AA$71,ROW()-ROW(W$26),0))</f>
        <v>#N/A</v>
      </c>
      <c r="Y81" t="e">
        <f>IF(OR(Y$27="",ISERROR($A81)),NA(),HLOOKUP(Y$27,MODEL_MATRIX!$C$1:$AA$71,ROW()-ROW(X$26),0))</f>
        <v>#N/A</v>
      </c>
      <c r="Z81" t="e">
        <f>IF(OR(Z$27="",ISERROR($A81)),NA(),HLOOKUP(Z$27,MODEL_MATRIX!$C$1:$AA$71,ROW()-ROW(Y$26),0))</f>
        <v>#N/A</v>
      </c>
    </row>
    <row r="82" spans="1:26" hidden="1" x14ac:dyDescent="0.25">
      <c r="A82" t="e">
        <f>IF(MODEL_MATRIX!B56="",NA(),MODEL_MATRIX!B56)</f>
        <v>#N/A</v>
      </c>
      <c r="B82" t="e">
        <f ca="1">IF(OR(B$27="",ISERROR($A82)),NA(),HLOOKUP(B$27,MODEL_MATRIX!$C$1:$AA$71,ROW()-ROW(A$26),0))</f>
        <v>#N/A</v>
      </c>
      <c r="C82" t="e">
        <f ca="1">IF(OR(C$27="",ISERROR($A82)),NA(),HLOOKUP(C$27,MODEL_MATRIX!$C$1:$AA$71,ROW()-ROW(B$26),0))</f>
        <v>#N/A</v>
      </c>
      <c r="D82" t="e">
        <f ca="1">IF(OR(D$27="",ISERROR($A82)),NA(),HLOOKUP(D$27,MODEL_MATRIX!$C$1:$AA$71,ROW()-ROW(C$26),0))</f>
        <v>#N/A</v>
      </c>
      <c r="E82" t="e">
        <f>IF(OR(E$27="",ISERROR($A82)),NA(),HLOOKUP(E$27,MODEL_MATRIX!$C$1:$AA$71,ROW()-ROW(D$26),0))</f>
        <v>#N/A</v>
      </c>
      <c r="F82" t="e">
        <f>IF(OR(F$27="",ISERROR($A82)),NA(),HLOOKUP(F$27,MODEL_MATRIX!$C$1:$AA$71,ROW()-ROW(E$26),0))</f>
        <v>#N/A</v>
      </c>
      <c r="G82" t="e">
        <f>IF(OR(G$27="",ISERROR($A82)),NA(),HLOOKUP(G$27,MODEL_MATRIX!$C$1:$AA$71,ROW()-ROW(F$26),0))</f>
        <v>#N/A</v>
      </c>
      <c r="H82" t="e">
        <f>IF(OR(H$27="",ISERROR($A82)),NA(),HLOOKUP(H$27,MODEL_MATRIX!$C$1:$AA$71,ROW()-ROW(G$26),0))</f>
        <v>#N/A</v>
      </c>
      <c r="I82" t="e">
        <f>IF(OR(I$27="",ISERROR($A82)),NA(),HLOOKUP(I$27,MODEL_MATRIX!$C$1:$AA$71,ROW()-ROW(H$26),0))</f>
        <v>#N/A</v>
      </c>
      <c r="J82" t="e">
        <f>IF(OR(J$27="",ISERROR($A82)),NA(),HLOOKUP(J$27,MODEL_MATRIX!$C$1:$AA$71,ROW()-ROW(I$26),0))</f>
        <v>#N/A</v>
      </c>
      <c r="K82" t="e">
        <f>IF(OR(K$27="",ISERROR($A82)),NA(),HLOOKUP(K$27,MODEL_MATRIX!$C$1:$AA$71,ROW()-ROW(J$26),0))</f>
        <v>#N/A</v>
      </c>
      <c r="L82" t="e">
        <f>IF(OR(L$27="",ISERROR($A82)),NA(),HLOOKUP(L$27,MODEL_MATRIX!$C$1:$AA$71,ROW()-ROW(K$26),0))</f>
        <v>#N/A</v>
      </c>
      <c r="M82" t="e">
        <f>IF(OR(M$27="",ISERROR($A82)),NA(),HLOOKUP(M$27,MODEL_MATRIX!$C$1:$AA$71,ROW()-ROW(L$26),0))</f>
        <v>#N/A</v>
      </c>
      <c r="N82" t="e">
        <f>IF(OR(N$27="",ISERROR($A82)),NA(),HLOOKUP(N$27,MODEL_MATRIX!$C$1:$AA$71,ROW()-ROW(M$26),0))</f>
        <v>#N/A</v>
      </c>
      <c r="O82" t="e">
        <f>IF(OR(O$27="",ISERROR($A82)),NA(),HLOOKUP(O$27,MODEL_MATRIX!$C$1:$AA$71,ROW()-ROW(N$26),0))</f>
        <v>#N/A</v>
      </c>
      <c r="P82" t="e">
        <f>IF(OR(P$27="",ISERROR($A82)),NA(),HLOOKUP(P$27,MODEL_MATRIX!$C$1:$AA$71,ROW()-ROW(O$26),0))</f>
        <v>#N/A</v>
      </c>
      <c r="Q82" t="e">
        <f>IF(OR(Q$27="",ISERROR($A82)),NA(),HLOOKUP(Q$27,MODEL_MATRIX!$C$1:$AA$71,ROW()-ROW(P$26),0))</f>
        <v>#N/A</v>
      </c>
      <c r="R82" t="e">
        <f>IF(OR(R$27="",ISERROR($A82)),NA(),HLOOKUP(R$27,MODEL_MATRIX!$C$1:$AA$71,ROW()-ROW(Q$26),0))</f>
        <v>#N/A</v>
      </c>
      <c r="S82" t="e">
        <f>IF(OR(S$27="",ISERROR($A82)),NA(),HLOOKUP(S$27,MODEL_MATRIX!$C$1:$AA$71,ROW()-ROW(R$26),0))</f>
        <v>#N/A</v>
      </c>
      <c r="T82" t="e">
        <f>IF(OR(T$27="",ISERROR($A82)),NA(),HLOOKUP(T$27,MODEL_MATRIX!$C$1:$AA$71,ROW()-ROW(S$26),0))</f>
        <v>#N/A</v>
      </c>
      <c r="U82" t="e">
        <f>IF(OR(U$27="",ISERROR($A82)),NA(),HLOOKUP(U$27,MODEL_MATRIX!$C$1:$AA$71,ROW()-ROW(T$26),0))</f>
        <v>#N/A</v>
      </c>
      <c r="V82" t="e">
        <f>IF(OR(V$27="",ISERROR($A82)),NA(),HLOOKUP(V$27,MODEL_MATRIX!$C$1:$AA$71,ROW()-ROW(U$26),0))</f>
        <v>#N/A</v>
      </c>
      <c r="W82" t="e">
        <f>IF(OR(W$27="",ISERROR($A82)),NA(),HLOOKUP(W$27,MODEL_MATRIX!$C$1:$AA$71,ROW()-ROW(V$26),0))</f>
        <v>#N/A</v>
      </c>
      <c r="X82" t="e">
        <f>IF(OR(X$27="",ISERROR($A82)),NA(),HLOOKUP(X$27,MODEL_MATRIX!$C$1:$AA$71,ROW()-ROW(W$26),0))</f>
        <v>#N/A</v>
      </c>
      <c r="Y82" t="e">
        <f>IF(OR(Y$27="",ISERROR($A82)),NA(),HLOOKUP(Y$27,MODEL_MATRIX!$C$1:$AA$71,ROW()-ROW(X$26),0))</f>
        <v>#N/A</v>
      </c>
      <c r="Z82" t="e">
        <f>IF(OR(Z$27="",ISERROR($A82)),NA(),HLOOKUP(Z$27,MODEL_MATRIX!$C$1:$AA$71,ROW()-ROW(Y$26),0))</f>
        <v>#N/A</v>
      </c>
    </row>
    <row r="83" spans="1:26" hidden="1" x14ac:dyDescent="0.25">
      <c r="A83" t="e">
        <f>IF(MODEL_MATRIX!B57="",NA(),MODEL_MATRIX!B57)</f>
        <v>#N/A</v>
      </c>
      <c r="B83" t="e">
        <f ca="1">IF(OR(B$27="",ISERROR($A83)),NA(),HLOOKUP(B$27,MODEL_MATRIX!$C$1:$AA$71,ROW()-ROW(A$26),0))</f>
        <v>#N/A</v>
      </c>
      <c r="C83" t="e">
        <f ca="1">IF(OR(C$27="",ISERROR($A83)),NA(),HLOOKUP(C$27,MODEL_MATRIX!$C$1:$AA$71,ROW()-ROW(B$26),0))</f>
        <v>#N/A</v>
      </c>
      <c r="D83" t="e">
        <f ca="1">IF(OR(D$27="",ISERROR($A83)),NA(),HLOOKUP(D$27,MODEL_MATRIX!$C$1:$AA$71,ROW()-ROW(C$26),0))</f>
        <v>#N/A</v>
      </c>
      <c r="E83" t="e">
        <f>IF(OR(E$27="",ISERROR($A83)),NA(),HLOOKUP(E$27,MODEL_MATRIX!$C$1:$AA$71,ROW()-ROW(D$26),0))</f>
        <v>#N/A</v>
      </c>
      <c r="F83" t="e">
        <f>IF(OR(F$27="",ISERROR($A83)),NA(),HLOOKUP(F$27,MODEL_MATRIX!$C$1:$AA$71,ROW()-ROW(E$26),0))</f>
        <v>#N/A</v>
      </c>
      <c r="G83" t="e">
        <f>IF(OR(G$27="",ISERROR($A83)),NA(),HLOOKUP(G$27,MODEL_MATRIX!$C$1:$AA$71,ROW()-ROW(F$26),0))</f>
        <v>#N/A</v>
      </c>
      <c r="H83" t="e">
        <f>IF(OR(H$27="",ISERROR($A83)),NA(),HLOOKUP(H$27,MODEL_MATRIX!$C$1:$AA$71,ROW()-ROW(G$26),0))</f>
        <v>#N/A</v>
      </c>
      <c r="I83" t="e">
        <f>IF(OR(I$27="",ISERROR($A83)),NA(),HLOOKUP(I$27,MODEL_MATRIX!$C$1:$AA$71,ROW()-ROW(H$26),0))</f>
        <v>#N/A</v>
      </c>
      <c r="J83" t="e">
        <f>IF(OR(J$27="",ISERROR($A83)),NA(),HLOOKUP(J$27,MODEL_MATRIX!$C$1:$AA$71,ROW()-ROW(I$26),0))</f>
        <v>#N/A</v>
      </c>
      <c r="K83" t="e">
        <f>IF(OR(K$27="",ISERROR($A83)),NA(),HLOOKUP(K$27,MODEL_MATRIX!$C$1:$AA$71,ROW()-ROW(J$26),0))</f>
        <v>#N/A</v>
      </c>
      <c r="L83" t="e">
        <f>IF(OR(L$27="",ISERROR($A83)),NA(),HLOOKUP(L$27,MODEL_MATRIX!$C$1:$AA$71,ROW()-ROW(K$26),0))</f>
        <v>#N/A</v>
      </c>
      <c r="M83" t="e">
        <f>IF(OR(M$27="",ISERROR($A83)),NA(),HLOOKUP(M$27,MODEL_MATRIX!$C$1:$AA$71,ROW()-ROW(L$26),0))</f>
        <v>#N/A</v>
      </c>
      <c r="N83" t="e">
        <f>IF(OR(N$27="",ISERROR($A83)),NA(),HLOOKUP(N$27,MODEL_MATRIX!$C$1:$AA$71,ROW()-ROW(M$26),0))</f>
        <v>#N/A</v>
      </c>
      <c r="O83" t="e">
        <f>IF(OR(O$27="",ISERROR($A83)),NA(),HLOOKUP(O$27,MODEL_MATRIX!$C$1:$AA$71,ROW()-ROW(N$26),0))</f>
        <v>#N/A</v>
      </c>
      <c r="P83" t="e">
        <f>IF(OR(P$27="",ISERROR($A83)),NA(),HLOOKUP(P$27,MODEL_MATRIX!$C$1:$AA$71,ROW()-ROW(O$26),0))</f>
        <v>#N/A</v>
      </c>
      <c r="Q83" t="e">
        <f>IF(OR(Q$27="",ISERROR($A83)),NA(),HLOOKUP(Q$27,MODEL_MATRIX!$C$1:$AA$71,ROW()-ROW(P$26),0))</f>
        <v>#N/A</v>
      </c>
      <c r="R83" t="e">
        <f>IF(OR(R$27="",ISERROR($A83)),NA(),HLOOKUP(R$27,MODEL_MATRIX!$C$1:$AA$71,ROW()-ROW(Q$26),0))</f>
        <v>#N/A</v>
      </c>
      <c r="S83" t="e">
        <f>IF(OR(S$27="",ISERROR($A83)),NA(),HLOOKUP(S$27,MODEL_MATRIX!$C$1:$AA$71,ROW()-ROW(R$26),0))</f>
        <v>#N/A</v>
      </c>
      <c r="T83" t="e">
        <f>IF(OR(T$27="",ISERROR($A83)),NA(),HLOOKUP(T$27,MODEL_MATRIX!$C$1:$AA$71,ROW()-ROW(S$26),0))</f>
        <v>#N/A</v>
      </c>
      <c r="U83" t="e">
        <f>IF(OR(U$27="",ISERROR($A83)),NA(),HLOOKUP(U$27,MODEL_MATRIX!$C$1:$AA$71,ROW()-ROW(T$26),0))</f>
        <v>#N/A</v>
      </c>
      <c r="V83" t="e">
        <f>IF(OR(V$27="",ISERROR($A83)),NA(),HLOOKUP(V$27,MODEL_MATRIX!$C$1:$AA$71,ROW()-ROW(U$26),0))</f>
        <v>#N/A</v>
      </c>
      <c r="W83" t="e">
        <f>IF(OR(W$27="",ISERROR($A83)),NA(),HLOOKUP(W$27,MODEL_MATRIX!$C$1:$AA$71,ROW()-ROW(V$26),0))</f>
        <v>#N/A</v>
      </c>
      <c r="X83" t="e">
        <f>IF(OR(X$27="",ISERROR($A83)),NA(),HLOOKUP(X$27,MODEL_MATRIX!$C$1:$AA$71,ROW()-ROW(W$26),0))</f>
        <v>#N/A</v>
      </c>
      <c r="Y83" t="e">
        <f>IF(OR(Y$27="",ISERROR($A83)),NA(),HLOOKUP(Y$27,MODEL_MATRIX!$C$1:$AA$71,ROW()-ROW(X$26),0))</f>
        <v>#N/A</v>
      </c>
      <c r="Z83" t="e">
        <f>IF(OR(Z$27="",ISERROR($A83)),NA(),HLOOKUP(Z$27,MODEL_MATRIX!$C$1:$AA$71,ROW()-ROW(Y$26),0))</f>
        <v>#N/A</v>
      </c>
    </row>
    <row r="84" spans="1:26" hidden="1" x14ac:dyDescent="0.25">
      <c r="A84" t="e">
        <f>IF(MODEL_MATRIX!B58="",NA(),MODEL_MATRIX!B58)</f>
        <v>#N/A</v>
      </c>
      <c r="B84" t="e">
        <f ca="1">IF(OR(B$27="",ISERROR($A84)),NA(),HLOOKUP(B$27,MODEL_MATRIX!$C$1:$AA$71,ROW()-ROW(A$26),0))</f>
        <v>#N/A</v>
      </c>
      <c r="C84" t="e">
        <f ca="1">IF(OR(C$27="",ISERROR($A84)),NA(),HLOOKUP(C$27,MODEL_MATRIX!$C$1:$AA$71,ROW()-ROW(B$26),0))</f>
        <v>#N/A</v>
      </c>
      <c r="D84" t="e">
        <f ca="1">IF(OR(D$27="",ISERROR($A84)),NA(),HLOOKUP(D$27,MODEL_MATRIX!$C$1:$AA$71,ROW()-ROW(C$26),0))</f>
        <v>#N/A</v>
      </c>
      <c r="E84" t="e">
        <f>IF(OR(E$27="",ISERROR($A84)),NA(),HLOOKUP(E$27,MODEL_MATRIX!$C$1:$AA$71,ROW()-ROW(D$26),0))</f>
        <v>#N/A</v>
      </c>
      <c r="F84" t="e">
        <f>IF(OR(F$27="",ISERROR($A84)),NA(),HLOOKUP(F$27,MODEL_MATRIX!$C$1:$AA$71,ROW()-ROW(E$26),0))</f>
        <v>#N/A</v>
      </c>
      <c r="G84" t="e">
        <f>IF(OR(G$27="",ISERROR($A84)),NA(),HLOOKUP(G$27,MODEL_MATRIX!$C$1:$AA$71,ROW()-ROW(F$26),0))</f>
        <v>#N/A</v>
      </c>
      <c r="H84" t="e">
        <f>IF(OR(H$27="",ISERROR($A84)),NA(),HLOOKUP(H$27,MODEL_MATRIX!$C$1:$AA$71,ROW()-ROW(G$26),0))</f>
        <v>#N/A</v>
      </c>
      <c r="I84" t="e">
        <f>IF(OR(I$27="",ISERROR($A84)),NA(),HLOOKUP(I$27,MODEL_MATRIX!$C$1:$AA$71,ROW()-ROW(H$26),0))</f>
        <v>#N/A</v>
      </c>
      <c r="J84" t="e">
        <f>IF(OR(J$27="",ISERROR($A84)),NA(),HLOOKUP(J$27,MODEL_MATRIX!$C$1:$AA$71,ROW()-ROW(I$26),0))</f>
        <v>#N/A</v>
      </c>
      <c r="K84" t="e">
        <f>IF(OR(K$27="",ISERROR($A84)),NA(),HLOOKUP(K$27,MODEL_MATRIX!$C$1:$AA$71,ROW()-ROW(J$26),0))</f>
        <v>#N/A</v>
      </c>
      <c r="L84" t="e">
        <f>IF(OR(L$27="",ISERROR($A84)),NA(),HLOOKUP(L$27,MODEL_MATRIX!$C$1:$AA$71,ROW()-ROW(K$26),0))</f>
        <v>#N/A</v>
      </c>
      <c r="M84" t="e">
        <f>IF(OR(M$27="",ISERROR($A84)),NA(),HLOOKUP(M$27,MODEL_MATRIX!$C$1:$AA$71,ROW()-ROW(L$26),0))</f>
        <v>#N/A</v>
      </c>
      <c r="N84" t="e">
        <f>IF(OR(N$27="",ISERROR($A84)),NA(),HLOOKUP(N$27,MODEL_MATRIX!$C$1:$AA$71,ROW()-ROW(M$26),0))</f>
        <v>#N/A</v>
      </c>
      <c r="O84" t="e">
        <f>IF(OR(O$27="",ISERROR($A84)),NA(),HLOOKUP(O$27,MODEL_MATRIX!$C$1:$AA$71,ROW()-ROW(N$26),0))</f>
        <v>#N/A</v>
      </c>
      <c r="P84" t="e">
        <f>IF(OR(P$27="",ISERROR($A84)),NA(),HLOOKUP(P$27,MODEL_MATRIX!$C$1:$AA$71,ROW()-ROW(O$26),0))</f>
        <v>#N/A</v>
      </c>
      <c r="Q84" t="e">
        <f>IF(OR(Q$27="",ISERROR($A84)),NA(),HLOOKUP(Q$27,MODEL_MATRIX!$C$1:$AA$71,ROW()-ROW(P$26),0))</f>
        <v>#N/A</v>
      </c>
      <c r="R84" t="e">
        <f>IF(OR(R$27="",ISERROR($A84)),NA(),HLOOKUP(R$27,MODEL_MATRIX!$C$1:$AA$71,ROW()-ROW(Q$26),0))</f>
        <v>#N/A</v>
      </c>
      <c r="S84" t="e">
        <f>IF(OR(S$27="",ISERROR($A84)),NA(),HLOOKUP(S$27,MODEL_MATRIX!$C$1:$AA$71,ROW()-ROW(R$26),0))</f>
        <v>#N/A</v>
      </c>
      <c r="T84" t="e">
        <f>IF(OR(T$27="",ISERROR($A84)),NA(),HLOOKUP(T$27,MODEL_MATRIX!$C$1:$AA$71,ROW()-ROW(S$26),0))</f>
        <v>#N/A</v>
      </c>
      <c r="U84" t="e">
        <f>IF(OR(U$27="",ISERROR($A84)),NA(),HLOOKUP(U$27,MODEL_MATRIX!$C$1:$AA$71,ROW()-ROW(T$26),0))</f>
        <v>#N/A</v>
      </c>
      <c r="V84" t="e">
        <f>IF(OR(V$27="",ISERROR($A84)),NA(),HLOOKUP(V$27,MODEL_MATRIX!$C$1:$AA$71,ROW()-ROW(U$26),0))</f>
        <v>#N/A</v>
      </c>
      <c r="W84" t="e">
        <f>IF(OR(W$27="",ISERROR($A84)),NA(),HLOOKUP(W$27,MODEL_MATRIX!$C$1:$AA$71,ROW()-ROW(V$26),0))</f>
        <v>#N/A</v>
      </c>
      <c r="X84" t="e">
        <f>IF(OR(X$27="",ISERROR($A84)),NA(),HLOOKUP(X$27,MODEL_MATRIX!$C$1:$AA$71,ROW()-ROW(W$26),0))</f>
        <v>#N/A</v>
      </c>
      <c r="Y84" t="e">
        <f>IF(OR(Y$27="",ISERROR($A84)),NA(),HLOOKUP(Y$27,MODEL_MATRIX!$C$1:$AA$71,ROW()-ROW(X$26),0))</f>
        <v>#N/A</v>
      </c>
      <c r="Z84" t="e">
        <f>IF(OR(Z$27="",ISERROR($A84)),NA(),HLOOKUP(Z$27,MODEL_MATRIX!$C$1:$AA$71,ROW()-ROW(Y$26),0))</f>
        <v>#N/A</v>
      </c>
    </row>
    <row r="85" spans="1:26" hidden="1" x14ac:dyDescent="0.25">
      <c r="A85" t="e">
        <f>IF(MODEL_MATRIX!B59="",NA(),MODEL_MATRIX!B59)</f>
        <v>#N/A</v>
      </c>
      <c r="B85" t="e">
        <f ca="1">IF(OR(B$27="",ISERROR($A85)),NA(),HLOOKUP(B$27,MODEL_MATRIX!$C$1:$AA$71,ROW()-ROW(A$26),0))</f>
        <v>#N/A</v>
      </c>
      <c r="C85" t="e">
        <f ca="1">IF(OR(C$27="",ISERROR($A85)),NA(),HLOOKUP(C$27,MODEL_MATRIX!$C$1:$AA$71,ROW()-ROW(B$26),0))</f>
        <v>#N/A</v>
      </c>
      <c r="D85" t="e">
        <f ca="1">IF(OR(D$27="",ISERROR($A85)),NA(),HLOOKUP(D$27,MODEL_MATRIX!$C$1:$AA$71,ROW()-ROW(C$26),0))</f>
        <v>#N/A</v>
      </c>
      <c r="E85" t="e">
        <f>IF(OR(E$27="",ISERROR($A85)),NA(),HLOOKUP(E$27,MODEL_MATRIX!$C$1:$AA$71,ROW()-ROW(D$26),0))</f>
        <v>#N/A</v>
      </c>
      <c r="F85" t="e">
        <f>IF(OR(F$27="",ISERROR($A85)),NA(),HLOOKUP(F$27,MODEL_MATRIX!$C$1:$AA$71,ROW()-ROW(E$26),0))</f>
        <v>#N/A</v>
      </c>
      <c r="G85" t="e">
        <f>IF(OR(G$27="",ISERROR($A85)),NA(),HLOOKUP(G$27,MODEL_MATRIX!$C$1:$AA$71,ROW()-ROW(F$26),0))</f>
        <v>#N/A</v>
      </c>
      <c r="H85" t="e">
        <f>IF(OR(H$27="",ISERROR($A85)),NA(),HLOOKUP(H$27,MODEL_MATRIX!$C$1:$AA$71,ROW()-ROW(G$26),0))</f>
        <v>#N/A</v>
      </c>
      <c r="I85" t="e">
        <f>IF(OR(I$27="",ISERROR($A85)),NA(),HLOOKUP(I$27,MODEL_MATRIX!$C$1:$AA$71,ROW()-ROW(H$26),0))</f>
        <v>#N/A</v>
      </c>
      <c r="J85" t="e">
        <f>IF(OR(J$27="",ISERROR($A85)),NA(),HLOOKUP(J$27,MODEL_MATRIX!$C$1:$AA$71,ROW()-ROW(I$26),0))</f>
        <v>#N/A</v>
      </c>
      <c r="K85" t="e">
        <f>IF(OR(K$27="",ISERROR($A85)),NA(),HLOOKUP(K$27,MODEL_MATRIX!$C$1:$AA$71,ROW()-ROW(J$26),0))</f>
        <v>#N/A</v>
      </c>
      <c r="L85" t="e">
        <f>IF(OR(L$27="",ISERROR($A85)),NA(),HLOOKUP(L$27,MODEL_MATRIX!$C$1:$AA$71,ROW()-ROW(K$26),0))</f>
        <v>#N/A</v>
      </c>
      <c r="M85" t="e">
        <f>IF(OR(M$27="",ISERROR($A85)),NA(),HLOOKUP(M$27,MODEL_MATRIX!$C$1:$AA$71,ROW()-ROW(L$26),0))</f>
        <v>#N/A</v>
      </c>
      <c r="N85" t="e">
        <f>IF(OR(N$27="",ISERROR($A85)),NA(),HLOOKUP(N$27,MODEL_MATRIX!$C$1:$AA$71,ROW()-ROW(M$26),0))</f>
        <v>#N/A</v>
      </c>
      <c r="O85" t="e">
        <f>IF(OR(O$27="",ISERROR($A85)),NA(),HLOOKUP(O$27,MODEL_MATRIX!$C$1:$AA$71,ROW()-ROW(N$26),0))</f>
        <v>#N/A</v>
      </c>
      <c r="P85" t="e">
        <f>IF(OR(P$27="",ISERROR($A85)),NA(),HLOOKUP(P$27,MODEL_MATRIX!$C$1:$AA$71,ROW()-ROW(O$26),0))</f>
        <v>#N/A</v>
      </c>
      <c r="Q85" t="e">
        <f>IF(OR(Q$27="",ISERROR($A85)),NA(),HLOOKUP(Q$27,MODEL_MATRIX!$C$1:$AA$71,ROW()-ROW(P$26),0))</f>
        <v>#N/A</v>
      </c>
      <c r="R85" t="e">
        <f>IF(OR(R$27="",ISERROR($A85)),NA(),HLOOKUP(R$27,MODEL_MATRIX!$C$1:$AA$71,ROW()-ROW(Q$26),0))</f>
        <v>#N/A</v>
      </c>
      <c r="S85" t="e">
        <f>IF(OR(S$27="",ISERROR($A85)),NA(),HLOOKUP(S$27,MODEL_MATRIX!$C$1:$AA$71,ROW()-ROW(R$26),0))</f>
        <v>#N/A</v>
      </c>
      <c r="T85" t="e">
        <f>IF(OR(T$27="",ISERROR($A85)),NA(),HLOOKUP(T$27,MODEL_MATRIX!$C$1:$AA$71,ROW()-ROW(S$26),0))</f>
        <v>#N/A</v>
      </c>
      <c r="U85" t="e">
        <f>IF(OR(U$27="",ISERROR($A85)),NA(),HLOOKUP(U$27,MODEL_MATRIX!$C$1:$AA$71,ROW()-ROW(T$26),0))</f>
        <v>#N/A</v>
      </c>
      <c r="V85" t="e">
        <f>IF(OR(V$27="",ISERROR($A85)),NA(),HLOOKUP(V$27,MODEL_MATRIX!$C$1:$AA$71,ROW()-ROW(U$26),0))</f>
        <v>#N/A</v>
      </c>
      <c r="W85" t="e">
        <f>IF(OR(W$27="",ISERROR($A85)),NA(),HLOOKUP(W$27,MODEL_MATRIX!$C$1:$AA$71,ROW()-ROW(V$26),0))</f>
        <v>#N/A</v>
      </c>
      <c r="X85" t="e">
        <f>IF(OR(X$27="",ISERROR($A85)),NA(),HLOOKUP(X$27,MODEL_MATRIX!$C$1:$AA$71,ROW()-ROW(W$26),0))</f>
        <v>#N/A</v>
      </c>
      <c r="Y85" t="e">
        <f>IF(OR(Y$27="",ISERROR($A85)),NA(),HLOOKUP(Y$27,MODEL_MATRIX!$C$1:$AA$71,ROW()-ROW(X$26),0))</f>
        <v>#N/A</v>
      </c>
      <c r="Z85" t="e">
        <f>IF(OR(Z$27="",ISERROR($A85)),NA(),HLOOKUP(Z$27,MODEL_MATRIX!$C$1:$AA$71,ROW()-ROW(Y$26),0))</f>
        <v>#N/A</v>
      </c>
    </row>
    <row r="86" spans="1:26" hidden="1" x14ac:dyDescent="0.25">
      <c r="A86" t="e">
        <f>IF(MODEL_MATRIX!B60="",NA(),MODEL_MATRIX!B60)</f>
        <v>#N/A</v>
      </c>
      <c r="B86" t="e">
        <f ca="1">IF(OR(B$27="",ISERROR($A86)),NA(),HLOOKUP(B$27,MODEL_MATRIX!$C$1:$AA$71,ROW()-ROW(A$26),0))</f>
        <v>#N/A</v>
      </c>
      <c r="C86" t="e">
        <f ca="1">IF(OR(C$27="",ISERROR($A86)),NA(),HLOOKUP(C$27,MODEL_MATRIX!$C$1:$AA$71,ROW()-ROW(B$26),0))</f>
        <v>#N/A</v>
      </c>
      <c r="D86" t="e">
        <f ca="1">IF(OR(D$27="",ISERROR($A86)),NA(),HLOOKUP(D$27,MODEL_MATRIX!$C$1:$AA$71,ROW()-ROW(C$26),0))</f>
        <v>#N/A</v>
      </c>
      <c r="E86" t="e">
        <f>IF(OR(E$27="",ISERROR($A86)),NA(),HLOOKUP(E$27,MODEL_MATRIX!$C$1:$AA$71,ROW()-ROW(D$26),0))</f>
        <v>#N/A</v>
      </c>
      <c r="F86" t="e">
        <f>IF(OR(F$27="",ISERROR($A86)),NA(),HLOOKUP(F$27,MODEL_MATRIX!$C$1:$AA$71,ROW()-ROW(E$26),0))</f>
        <v>#N/A</v>
      </c>
      <c r="G86" t="e">
        <f>IF(OR(G$27="",ISERROR($A86)),NA(),HLOOKUP(G$27,MODEL_MATRIX!$C$1:$AA$71,ROW()-ROW(F$26),0))</f>
        <v>#N/A</v>
      </c>
      <c r="H86" t="e">
        <f>IF(OR(H$27="",ISERROR($A86)),NA(),HLOOKUP(H$27,MODEL_MATRIX!$C$1:$AA$71,ROW()-ROW(G$26),0))</f>
        <v>#N/A</v>
      </c>
      <c r="I86" t="e">
        <f>IF(OR(I$27="",ISERROR($A86)),NA(),HLOOKUP(I$27,MODEL_MATRIX!$C$1:$AA$71,ROW()-ROW(H$26),0))</f>
        <v>#N/A</v>
      </c>
      <c r="J86" t="e">
        <f>IF(OR(J$27="",ISERROR($A86)),NA(),HLOOKUP(J$27,MODEL_MATRIX!$C$1:$AA$71,ROW()-ROW(I$26),0))</f>
        <v>#N/A</v>
      </c>
      <c r="K86" t="e">
        <f>IF(OR(K$27="",ISERROR($A86)),NA(),HLOOKUP(K$27,MODEL_MATRIX!$C$1:$AA$71,ROW()-ROW(J$26),0))</f>
        <v>#N/A</v>
      </c>
      <c r="L86" t="e">
        <f>IF(OR(L$27="",ISERROR($A86)),NA(),HLOOKUP(L$27,MODEL_MATRIX!$C$1:$AA$71,ROW()-ROW(K$26),0))</f>
        <v>#N/A</v>
      </c>
      <c r="M86" t="e">
        <f>IF(OR(M$27="",ISERROR($A86)),NA(),HLOOKUP(M$27,MODEL_MATRIX!$C$1:$AA$71,ROW()-ROW(L$26),0))</f>
        <v>#N/A</v>
      </c>
      <c r="N86" t="e">
        <f>IF(OR(N$27="",ISERROR($A86)),NA(),HLOOKUP(N$27,MODEL_MATRIX!$C$1:$AA$71,ROW()-ROW(M$26),0))</f>
        <v>#N/A</v>
      </c>
      <c r="O86" t="e">
        <f>IF(OR(O$27="",ISERROR($A86)),NA(),HLOOKUP(O$27,MODEL_MATRIX!$C$1:$AA$71,ROW()-ROW(N$26),0))</f>
        <v>#N/A</v>
      </c>
      <c r="P86" t="e">
        <f>IF(OR(P$27="",ISERROR($A86)),NA(),HLOOKUP(P$27,MODEL_MATRIX!$C$1:$AA$71,ROW()-ROW(O$26),0))</f>
        <v>#N/A</v>
      </c>
      <c r="Q86" t="e">
        <f>IF(OR(Q$27="",ISERROR($A86)),NA(),HLOOKUP(Q$27,MODEL_MATRIX!$C$1:$AA$71,ROW()-ROW(P$26),0))</f>
        <v>#N/A</v>
      </c>
      <c r="R86" t="e">
        <f>IF(OR(R$27="",ISERROR($A86)),NA(),HLOOKUP(R$27,MODEL_MATRIX!$C$1:$AA$71,ROW()-ROW(Q$26),0))</f>
        <v>#N/A</v>
      </c>
      <c r="S86" t="e">
        <f>IF(OR(S$27="",ISERROR($A86)),NA(),HLOOKUP(S$27,MODEL_MATRIX!$C$1:$AA$71,ROW()-ROW(R$26),0))</f>
        <v>#N/A</v>
      </c>
      <c r="T86" t="e">
        <f>IF(OR(T$27="",ISERROR($A86)),NA(),HLOOKUP(T$27,MODEL_MATRIX!$C$1:$AA$71,ROW()-ROW(S$26),0))</f>
        <v>#N/A</v>
      </c>
      <c r="U86" t="e">
        <f>IF(OR(U$27="",ISERROR($A86)),NA(),HLOOKUP(U$27,MODEL_MATRIX!$C$1:$AA$71,ROW()-ROW(T$26),0))</f>
        <v>#N/A</v>
      </c>
      <c r="V86" t="e">
        <f>IF(OR(V$27="",ISERROR($A86)),NA(),HLOOKUP(V$27,MODEL_MATRIX!$C$1:$AA$71,ROW()-ROW(U$26),0))</f>
        <v>#N/A</v>
      </c>
      <c r="W86" t="e">
        <f>IF(OR(W$27="",ISERROR($A86)),NA(),HLOOKUP(W$27,MODEL_MATRIX!$C$1:$AA$71,ROW()-ROW(V$26),0))</f>
        <v>#N/A</v>
      </c>
      <c r="X86" t="e">
        <f>IF(OR(X$27="",ISERROR($A86)),NA(),HLOOKUP(X$27,MODEL_MATRIX!$C$1:$AA$71,ROW()-ROW(W$26),0))</f>
        <v>#N/A</v>
      </c>
      <c r="Y86" t="e">
        <f>IF(OR(Y$27="",ISERROR($A86)),NA(),HLOOKUP(Y$27,MODEL_MATRIX!$C$1:$AA$71,ROW()-ROW(X$26),0))</f>
        <v>#N/A</v>
      </c>
      <c r="Z86" t="e">
        <f>IF(OR(Z$27="",ISERROR($A86)),NA(),HLOOKUP(Z$27,MODEL_MATRIX!$C$1:$AA$71,ROW()-ROW(Y$26),0))</f>
        <v>#N/A</v>
      </c>
    </row>
    <row r="87" spans="1:26" hidden="1" x14ac:dyDescent="0.25">
      <c r="A87" t="e">
        <f>IF(MODEL_MATRIX!B61="",NA(),MODEL_MATRIX!B61)</f>
        <v>#N/A</v>
      </c>
      <c r="B87" t="e">
        <f ca="1">IF(OR(B$27="",ISERROR($A87)),NA(),HLOOKUP(B$27,MODEL_MATRIX!$C$1:$AA$71,ROW()-ROW(A$26),0))</f>
        <v>#N/A</v>
      </c>
      <c r="C87" t="e">
        <f ca="1">IF(OR(C$27="",ISERROR($A87)),NA(),HLOOKUP(C$27,MODEL_MATRIX!$C$1:$AA$71,ROW()-ROW(B$26),0))</f>
        <v>#N/A</v>
      </c>
      <c r="D87" t="e">
        <f ca="1">IF(OR(D$27="",ISERROR($A87)),NA(),HLOOKUP(D$27,MODEL_MATRIX!$C$1:$AA$71,ROW()-ROW(C$26),0))</f>
        <v>#N/A</v>
      </c>
      <c r="E87" t="e">
        <f>IF(OR(E$27="",ISERROR($A87)),NA(),HLOOKUP(E$27,MODEL_MATRIX!$C$1:$AA$71,ROW()-ROW(D$26),0))</f>
        <v>#N/A</v>
      </c>
      <c r="F87" t="e">
        <f>IF(OR(F$27="",ISERROR($A87)),NA(),HLOOKUP(F$27,MODEL_MATRIX!$C$1:$AA$71,ROW()-ROW(E$26),0))</f>
        <v>#N/A</v>
      </c>
      <c r="G87" t="e">
        <f>IF(OR(G$27="",ISERROR($A87)),NA(),HLOOKUP(G$27,MODEL_MATRIX!$C$1:$AA$71,ROW()-ROW(F$26),0))</f>
        <v>#N/A</v>
      </c>
      <c r="H87" t="e">
        <f>IF(OR(H$27="",ISERROR($A87)),NA(),HLOOKUP(H$27,MODEL_MATRIX!$C$1:$AA$71,ROW()-ROW(G$26),0))</f>
        <v>#N/A</v>
      </c>
      <c r="I87" t="e">
        <f>IF(OR(I$27="",ISERROR($A87)),NA(),HLOOKUP(I$27,MODEL_MATRIX!$C$1:$AA$71,ROW()-ROW(H$26),0))</f>
        <v>#N/A</v>
      </c>
      <c r="J87" t="e">
        <f>IF(OR(J$27="",ISERROR($A87)),NA(),HLOOKUP(J$27,MODEL_MATRIX!$C$1:$AA$71,ROW()-ROW(I$26),0))</f>
        <v>#N/A</v>
      </c>
      <c r="K87" t="e">
        <f>IF(OR(K$27="",ISERROR($A87)),NA(),HLOOKUP(K$27,MODEL_MATRIX!$C$1:$AA$71,ROW()-ROW(J$26),0))</f>
        <v>#N/A</v>
      </c>
      <c r="L87" t="e">
        <f>IF(OR(L$27="",ISERROR($A87)),NA(),HLOOKUP(L$27,MODEL_MATRIX!$C$1:$AA$71,ROW()-ROW(K$26),0))</f>
        <v>#N/A</v>
      </c>
      <c r="M87" t="e">
        <f>IF(OR(M$27="",ISERROR($A87)),NA(),HLOOKUP(M$27,MODEL_MATRIX!$C$1:$AA$71,ROW()-ROW(L$26),0))</f>
        <v>#N/A</v>
      </c>
      <c r="N87" t="e">
        <f>IF(OR(N$27="",ISERROR($A87)),NA(),HLOOKUP(N$27,MODEL_MATRIX!$C$1:$AA$71,ROW()-ROW(M$26),0))</f>
        <v>#N/A</v>
      </c>
      <c r="O87" t="e">
        <f>IF(OR(O$27="",ISERROR($A87)),NA(),HLOOKUP(O$27,MODEL_MATRIX!$C$1:$AA$71,ROW()-ROW(N$26),0))</f>
        <v>#N/A</v>
      </c>
      <c r="P87" t="e">
        <f>IF(OR(P$27="",ISERROR($A87)),NA(),HLOOKUP(P$27,MODEL_MATRIX!$C$1:$AA$71,ROW()-ROW(O$26),0))</f>
        <v>#N/A</v>
      </c>
      <c r="Q87" t="e">
        <f>IF(OR(Q$27="",ISERROR($A87)),NA(),HLOOKUP(Q$27,MODEL_MATRIX!$C$1:$AA$71,ROW()-ROW(P$26),0))</f>
        <v>#N/A</v>
      </c>
      <c r="R87" t="e">
        <f>IF(OR(R$27="",ISERROR($A87)),NA(),HLOOKUP(R$27,MODEL_MATRIX!$C$1:$AA$71,ROW()-ROW(Q$26),0))</f>
        <v>#N/A</v>
      </c>
      <c r="S87" t="e">
        <f>IF(OR(S$27="",ISERROR($A87)),NA(),HLOOKUP(S$27,MODEL_MATRIX!$C$1:$AA$71,ROW()-ROW(R$26),0))</f>
        <v>#N/A</v>
      </c>
      <c r="T87" t="e">
        <f>IF(OR(T$27="",ISERROR($A87)),NA(),HLOOKUP(T$27,MODEL_MATRIX!$C$1:$AA$71,ROW()-ROW(S$26),0))</f>
        <v>#N/A</v>
      </c>
      <c r="U87" t="e">
        <f>IF(OR(U$27="",ISERROR($A87)),NA(),HLOOKUP(U$27,MODEL_MATRIX!$C$1:$AA$71,ROW()-ROW(T$26),0))</f>
        <v>#N/A</v>
      </c>
      <c r="V87" t="e">
        <f>IF(OR(V$27="",ISERROR($A87)),NA(),HLOOKUP(V$27,MODEL_MATRIX!$C$1:$AA$71,ROW()-ROW(U$26),0))</f>
        <v>#N/A</v>
      </c>
      <c r="W87" t="e">
        <f>IF(OR(W$27="",ISERROR($A87)),NA(),HLOOKUP(W$27,MODEL_MATRIX!$C$1:$AA$71,ROW()-ROW(V$26),0))</f>
        <v>#N/A</v>
      </c>
      <c r="X87" t="e">
        <f>IF(OR(X$27="",ISERROR($A87)),NA(),HLOOKUP(X$27,MODEL_MATRIX!$C$1:$AA$71,ROW()-ROW(W$26),0))</f>
        <v>#N/A</v>
      </c>
      <c r="Y87" t="e">
        <f>IF(OR(Y$27="",ISERROR($A87)),NA(),HLOOKUP(Y$27,MODEL_MATRIX!$C$1:$AA$71,ROW()-ROW(X$26),0))</f>
        <v>#N/A</v>
      </c>
      <c r="Z87" t="e">
        <f>IF(OR(Z$27="",ISERROR($A87)),NA(),HLOOKUP(Z$27,MODEL_MATRIX!$C$1:$AA$71,ROW()-ROW(Y$26),0))</f>
        <v>#N/A</v>
      </c>
    </row>
    <row r="88" spans="1:26" hidden="1" x14ac:dyDescent="0.25">
      <c r="A88" t="e">
        <f>IF(MODEL_MATRIX!B62="",NA(),MODEL_MATRIX!B62)</f>
        <v>#N/A</v>
      </c>
      <c r="B88" t="e">
        <f ca="1">IF(OR(B$27="",ISERROR($A88)),NA(),HLOOKUP(B$27,MODEL_MATRIX!$C$1:$AA$71,ROW()-ROW(A$26),0))</f>
        <v>#N/A</v>
      </c>
      <c r="C88" t="e">
        <f ca="1">IF(OR(C$27="",ISERROR($A88)),NA(),HLOOKUP(C$27,MODEL_MATRIX!$C$1:$AA$71,ROW()-ROW(B$26),0))</f>
        <v>#N/A</v>
      </c>
      <c r="D88" t="e">
        <f ca="1">IF(OR(D$27="",ISERROR($A88)),NA(),HLOOKUP(D$27,MODEL_MATRIX!$C$1:$AA$71,ROW()-ROW(C$26),0))</f>
        <v>#N/A</v>
      </c>
      <c r="E88" t="e">
        <f>IF(OR(E$27="",ISERROR($A88)),NA(),HLOOKUP(E$27,MODEL_MATRIX!$C$1:$AA$71,ROW()-ROW(D$26),0))</f>
        <v>#N/A</v>
      </c>
      <c r="F88" t="e">
        <f>IF(OR(F$27="",ISERROR($A88)),NA(),HLOOKUP(F$27,MODEL_MATRIX!$C$1:$AA$71,ROW()-ROW(E$26),0))</f>
        <v>#N/A</v>
      </c>
      <c r="G88" t="e">
        <f>IF(OR(G$27="",ISERROR($A88)),NA(),HLOOKUP(G$27,MODEL_MATRIX!$C$1:$AA$71,ROW()-ROW(F$26),0))</f>
        <v>#N/A</v>
      </c>
      <c r="H88" t="e">
        <f>IF(OR(H$27="",ISERROR($A88)),NA(),HLOOKUP(H$27,MODEL_MATRIX!$C$1:$AA$71,ROW()-ROW(G$26),0))</f>
        <v>#N/A</v>
      </c>
      <c r="I88" t="e">
        <f>IF(OR(I$27="",ISERROR($A88)),NA(),HLOOKUP(I$27,MODEL_MATRIX!$C$1:$AA$71,ROW()-ROW(H$26),0))</f>
        <v>#N/A</v>
      </c>
      <c r="J88" t="e">
        <f>IF(OR(J$27="",ISERROR($A88)),NA(),HLOOKUP(J$27,MODEL_MATRIX!$C$1:$AA$71,ROW()-ROW(I$26),0))</f>
        <v>#N/A</v>
      </c>
      <c r="K88" t="e">
        <f>IF(OR(K$27="",ISERROR($A88)),NA(),HLOOKUP(K$27,MODEL_MATRIX!$C$1:$AA$71,ROW()-ROW(J$26),0))</f>
        <v>#N/A</v>
      </c>
      <c r="L88" t="e">
        <f>IF(OR(L$27="",ISERROR($A88)),NA(),HLOOKUP(L$27,MODEL_MATRIX!$C$1:$AA$71,ROW()-ROW(K$26),0))</f>
        <v>#N/A</v>
      </c>
      <c r="M88" t="e">
        <f>IF(OR(M$27="",ISERROR($A88)),NA(),HLOOKUP(M$27,MODEL_MATRIX!$C$1:$AA$71,ROW()-ROW(L$26),0))</f>
        <v>#N/A</v>
      </c>
      <c r="N88" t="e">
        <f>IF(OR(N$27="",ISERROR($A88)),NA(),HLOOKUP(N$27,MODEL_MATRIX!$C$1:$AA$71,ROW()-ROW(M$26),0))</f>
        <v>#N/A</v>
      </c>
      <c r="O88" t="e">
        <f>IF(OR(O$27="",ISERROR($A88)),NA(),HLOOKUP(O$27,MODEL_MATRIX!$C$1:$AA$71,ROW()-ROW(N$26),0))</f>
        <v>#N/A</v>
      </c>
      <c r="P88" t="e">
        <f>IF(OR(P$27="",ISERROR($A88)),NA(),HLOOKUP(P$27,MODEL_MATRIX!$C$1:$AA$71,ROW()-ROW(O$26),0))</f>
        <v>#N/A</v>
      </c>
      <c r="Q88" t="e">
        <f>IF(OR(Q$27="",ISERROR($A88)),NA(),HLOOKUP(Q$27,MODEL_MATRIX!$C$1:$AA$71,ROW()-ROW(P$26),0))</f>
        <v>#N/A</v>
      </c>
      <c r="R88" t="e">
        <f>IF(OR(R$27="",ISERROR($A88)),NA(),HLOOKUP(R$27,MODEL_MATRIX!$C$1:$AA$71,ROW()-ROW(Q$26),0))</f>
        <v>#N/A</v>
      </c>
      <c r="S88" t="e">
        <f>IF(OR(S$27="",ISERROR($A88)),NA(),HLOOKUP(S$27,MODEL_MATRIX!$C$1:$AA$71,ROW()-ROW(R$26),0))</f>
        <v>#N/A</v>
      </c>
      <c r="T88" t="e">
        <f>IF(OR(T$27="",ISERROR($A88)),NA(),HLOOKUP(T$27,MODEL_MATRIX!$C$1:$AA$71,ROW()-ROW(S$26),0))</f>
        <v>#N/A</v>
      </c>
      <c r="U88" t="e">
        <f>IF(OR(U$27="",ISERROR($A88)),NA(),HLOOKUP(U$27,MODEL_MATRIX!$C$1:$AA$71,ROW()-ROW(T$26),0))</f>
        <v>#N/A</v>
      </c>
      <c r="V88" t="e">
        <f>IF(OR(V$27="",ISERROR($A88)),NA(),HLOOKUP(V$27,MODEL_MATRIX!$C$1:$AA$71,ROW()-ROW(U$26),0))</f>
        <v>#N/A</v>
      </c>
      <c r="W88" t="e">
        <f>IF(OR(W$27="",ISERROR($A88)),NA(),HLOOKUP(W$27,MODEL_MATRIX!$C$1:$AA$71,ROW()-ROW(V$26),0))</f>
        <v>#N/A</v>
      </c>
      <c r="X88" t="e">
        <f>IF(OR(X$27="",ISERROR($A88)),NA(),HLOOKUP(X$27,MODEL_MATRIX!$C$1:$AA$71,ROW()-ROW(W$26),0))</f>
        <v>#N/A</v>
      </c>
      <c r="Y88" t="e">
        <f>IF(OR(Y$27="",ISERROR($A88)),NA(),HLOOKUP(Y$27,MODEL_MATRIX!$C$1:$AA$71,ROW()-ROW(X$26),0))</f>
        <v>#N/A</v>
      </c>
      <c r="Z88" t="e">
        <f>IF(OR(Z$27="",ISERROR($A88)),NA(),HLOOKUP(Z$27,MODEL_MATRIX!$C$1:$AA$71,ROW()-ROW(Y$26),0))</f>
        <v>#N/A</v>
      </c>
    </row>
    <row r="89" spans="1:26" hidden="1" x14ac:dyDescent="0.25">
      <c r="A89" t="e">
        <f>IF(MODEL_MATRIX!B63="",NA(),MODEL_MATRIX!B63)</f>
        <v>#N/A</v>
      </c>
      <c r="B89" t="e">
        <f ca="1">IF(OR(B$27="",ISERROR($A89)),NA(),HLOOKUP(B$27,MODEL_MATRIX!$C$1:$AA$71,ROW()-ROW(A$26),0))</f>
        <v>#N/A</v>
      </c>
      <c r="C89" t="e">
        <f ca="1">IF(OR(C$27="",ISERROR($A89)),NA(),HLOOKUP(C$27,MODEL_MATRIX!$C$1:$AA$71,ROW()-ROW(B$26),0))</f>
        <v>#N/A</v>
      </c>
      <c r="D89" t="e">
        <f ca="1">IF(OR(D$27="",ISERROR($A89)),NA(),HLOOKUP(D$27,MODEL_MATRIX!$C$1:$AA$71,ROW()-ROW(C$26),0))</f>
        <v>#N/A</v>
      </c>
      <c r="E89" t="e">
        <f>IF(OR(E$27="",ISERROR($A89)),NA(),HLOOKUP(E$27,MODEL_MATRIX!$C$1:$AA$71,ROW()-ROW(D$26),0))</f>
        <v>#N/A</v>
      </c>
      <c r="F89" t="e">
        <f>IF(OR(F$27="",ISERROR($A89)),NA(),HLOOKUP(F$27,MODEL_MATRIX!$C$1:$AA$71,ROW()-ROW(E$26),0))</f>
        <v>#N/A</v>
      </c>
      <c r="G89" t="e">
        <f>IF(OR(G$27="",ISERROR($A89)),NA(),HLOOKUP(G$27,MODEL_MATRIX!$C$1:$AA$71,ROW()-ROW(F$26),0))</f>
        <v>#N/A</v>
      </c>
      <c r="H89" t="e">
        <f>IF(OR(H$27="",ISERROR($A89)),NA(),HLOOKUP(H$27,MODEL_MATRIX!$C$1:$AA$71,ROW()-ROW(G$26),0))</f>
        <v>#N/A</v>
      </c>
      <c r="I89" t="e">
        <f>IF(OR(I$27="",ISERROR($A89)),NA(),HLOOKUP(I$27,MODEL_MATRIX!$C$1:$AA$71,ROW()-ROW(H$26),0))</f>
        <v>#N/A</v>
      </c>
      <c r="J89" t="e">
        <f>IF(OR(J$27="",ISERROR($A89)),NA(),HLOOKUP(J$27,MODEL_MATRIX!$C$1:$AA$71,ROW()-ROW(I$26),0))</f>
        <v>#N/A</v>
      </c>
      <c r="K89" t="e">
        <f>IF(OR(K$27="",ISERROR($A89)),NA(),HLOOKUP(K$27,MODEL_MATRIX!$C$1:$AA$71,ROW()-ROW(J$26),0))</f>
        <v>#N/A</v>
      </c>
      <c r="L89" t="e">
        <f>IF(OR(L$27="",ISERROR($A89)),NA(),HLOOKUP(L$27,MODEL_MATRIX!$C$1:$AA$71,ROW()-ROW(K$26),0))</f>
        <v>#N/A</v>
      </c>
      <c r="M89" t="e">
        <f>IF(OR(M$27="",ISERROR($A89)),NA(),HLOOKUP(M$27,MODEL_MATRIX!$C$1:$AA$71,ROW()-ROW(L$26),0))</f>
        <v>#N/A</v>
      </c>
      <c r="N89" t="e">
        <f>IF(OR(N$27="",ISERROR($A89)),NA(),HLOOKUP(N$27,MODEL_MATRIX!$C$1:$AA$71,ROW()-ROW(M$26),0))</f>
        <v>#N/A</v>
      </c>
      <c r="O89" t="e">
        <f>IF(OR(O$27="",ISERROR($A89)),NA(),HLOOKUP(O$27,MODEL_MATRIX!$C$1:$AA$71,ROW()-ROW(N$26),0))</f>
        <v>#N/A</v>
      </c>
      <c r="P89" t="e">
        <f>IF(OR(P$27="",ISERROR($A89)),NA(),HLOOKUP(P$27,MODEL_MATRIX!$C$1:$AA$71,ROW()-ROW(O$26),0))</f>
        <v>#N/A</v>
      </c>
      <c r="Q89" t="e">
        <f>IF(OR(Q$27="",ISERROR($A89)),NA(),HLOOKUP(Q$27,MODEL_MATRIX!$C$1:$AA$71,ROW()-ROW(P$26),0))</f>
        <v>#N/A</v>
      </c>
      <c r="R89" t="e">
        <f>IF(OR(R$27="",ISERROR($A89)),NA(),HLOOKUP(R$27,MODEL_MATRIX!$C$1:$AA$71,ROW()-ROW(Q$26),0))</f>
        <v>#N/A</v>
      </c>
      <c r="S89" t="e">
        <f>IF(OR(S$27="",ISERROR($A89)),NA(),HLOOKUP(S$27,MODEL_MATRIX!$C$1:$AA$71,ROW()-ROW(R$26),0))</f>
        <v>#N/A</v>
      </c>
      <c r="T89" t="e">
        <f>IF(OR(T$27="",ISERROR($A89)),NA(),HLOOKUP(T$27,MODEL_MATRIX!$C$1:$AA$71,ROW()-ROW(S$26),0))</f>
        <v>#N/A</v>
      </c>
      <c r="U89" t="e">
        <f>IF(OR(U$27="",ISERROR($A89)),NA(),HLOOKUP(U$27,MODEL_MATRIX!$C$1:$AA$71,ROW()-ROW(T$26),0))</f>
        <v>#N/A</v>
      </c>
      <c r="V89" t="e">
        <f>IF(OR(V$27="",ISERROR($A89)),NA(),HLOOKUP(V$27,MODEL_MATRIX!$C$1:$AA$71,ROW()-ROW(U$26),0))</f>
        <v>#N/A</v>
      </c>
      <c r="W89" t="e">
        <f>IF(OR(W$27="",ISERROR($A89)),NA(),HLOOKUP(W$27,MODEL_MATRIX!$C$1:$AA$71,ROW()-ROW(V$26),0))</f>
        <v>#N/A</v>
      </c>
      <c r="X89" t="e">
        <f>IF(OR(X$27="",ISERROR($A89)),NA(),HLOOKUP(X$27,MODEL_MATRIX!$C$1:$AA$71,ROW()-ROW(W$26),0))</f>
        <v>#N/A</v>
      </c>
      <c r="Y89" t="e">
        <f>IF(OR(Y$27="",ISERROR($A89)),NA(),HLOOKUP(Y$27,MODEL_MATRIX!$C$1:$AA$71,ROW()-ROW(X$26),0))</f>
        <v>#N/A</v>
      </c>
      <c r="Z89" t="e">
        <f>IF(OR(Z$27="",ISERROR($A89)),NA(),HLOOKUP(Z$27,MODEL_MATRIX!$C$1:$AA$71,ROW()-ROW(Y$26),0))</f>
        <v>#N/A</v>
      </c>
    </row>
    <row r="90" spans="1:26" hidden="1" x14ac:dyDescent="0.25">
      <c r="A90" t="e">
        <f>IF(MODEL_MATRIX!B64="",NA(),MODEL_MATRIX!B64)</f>
        <v>#N/A</v>
      </c>
      <c r="B90" t="e">
        <f ca="1">IF(OR(B$27="",ISERROR($A90)),NA(),HLOOKUP(B$27,MODEL_MATRIX!$C$1:$AA$71,ROW()-ROW(A$26),0))</f>
        <v>#N/A</v>
      </c>
      <c r="C90" t="e">
        <f ca="1">IF(OR(C$27="",ISERROR($A90)),NA(),HLOOKUP(C$27,MODEL_MATRIX!$C$1:$AA$71,ROW()-ROW(B$26),0))</f>
        <v>#N/A</v>
      </c>
      <c r="D90" t="e">
        <f ca="1">IF(OR(D$27="",ISERROR($A90)),NA(),HLOOKUP(D$27,MODEL_MATRIX!$C$1:$AA$71,ROW()-ROW(C$26),0))</f>
        <v>#N/A</v>
      </c>
      <c r="E90" t="e">
        <f>IF(OR(E$27="",ISERROR($A90)),NA(),HLOOKUP(E$27,MODEL_MATRIX!$C$1:$AA$71,ROW()-ROW(D$26),0))</f>
        <v>#N/A</v>
      </c>
      <c r="F90" t="e">
        <f>IF(OR(F$27="",ISERROR($A90)),NA(),HLOOKUP(F$27,MODEL_MATRIX!$C$1:$AA$71,ROW()-ROW(E$26),0))</f>
        <v>#N/A</v>
      </c>
      <c r="G90" t="e">
        <f>IF(OR(G$27="",ISERROR($A90)),NA(),HLOOKUP(G$27,MODEL_MATRIX!$C$1:$AA$71,ROW()-ROW(F$26),0))</f>
        <v>#N/A</v>
      </c>
      <c r="H90" t="e">
        <f>IF(OR(H$27="",ISERROR($A90)),NA(),HLOOKUP(H$27,MODEL_MATRIX!$C$1:$AA$71,ROW()-ROW(G$26),0))</f>
        <v>#N/A</v>
      </c>
      <c r="I90" t="e">
        <f>IF(OR(I$27="",ISERROR($A90)),NA(),HLOOKUP(I$27,MODEL_MATRIX!$C$1:$AA$71,ROW()-ROW(H$26),0))</f>
        <v>#N/A</v>
      </c>
      <c r="J90" t="e">
        <f>IF(OR(J$27="",ISERROR($A90)),NA(),HLOOKUP(J$27,MODEL_MATRIX!$C$1:$AA$71,ROW()-ROW(I$26),0))</f>
        <v>#N/A</v>
      </c>
      <c r="K90" t="e">
        <f>IF(OR(K$27="",ISERROR($A90)),NA(),HLOOKUP(K$27,MODEL_MATRIX!$C$1:$AA$71,ROW()-ROW(J$26),0))</f>
        <v>#N/A</v>
      </c>
      <c r="L90" t="e">
        <f>IF(OR(L$27="",ISERROR($A90)),NA(),HLOOKUP(L$27,MODEL_MATRIX!$C$1:$AA$71,ROW()-ROW(K$26),0))</f>
        <v>#N/A</v>
      </c>
      <c r="M90" t="e">
        <f>IF(OR(M$27="",ISERROR($A90)),NA(),HLOOKUP(M$27,MODEL_MATRIX!$C$1:$AA$71,ROW()-ROW(L$26),0))</f>
        <v>#N/A</v>
      </c>
      <c r="N90" t="e">
        <f>IF(OR(N$27="",ISERROR($A90)),NA(),HLOOKUP(N$27,MODEL_MATRIX!$C$1:$AA$71,ROW()-ROW(M$26),0))</f>
        <v>#N/A</v>
      </c>
      <c r="O90" t="e">
        <f>IF(OR(O$27="",ISERROR($A90)),NA(),HLOOKUP(O$27,MODEL_MATRIX!$C$1:$AA$71,ROW()-ROW(N$26),0))</f>
        <v>#N/A</v>
      </c>
      <c r="P90" t="e">
        <f>IF(OR(P$27="",ISERROR($A90)),NA(),HLOOKUP(P$27,MODEL_MATRIX!$C$1:$AA$71,ROW()-ROW(O$26),0))</f>
        <v>#N/A</v>
      </c>
      <c r="Q90" t="e">
        <f>IF(OR(Q$27="",ISERROR($A90)),NA(),HLOOKUP(Q$27,MODEL_MATRIX!$C$1:$AA$71,ROW()-ROW(P$26),0))</f>
        <v>#N/A</v>
      </c>
      <c r="R90" t="e">
        <f>IF(OR(R$27="",ISERROR($A90)),NA(),HLOOKUP(R$27,MODEL_MATRIX!$C$1:$AA$71,ROW()-ROW(Q$26),0))</f>
        <v>#N/A</v>
      </c>
      <c r="S90" t="e">
        <f>IF(OR(S$27="",ISERROR($A90)),NA(),HLOOKUP(S$27,MODEL_MATRIX!$C$1:$AA$71,ROW()-ROW(R$26),0))</f>
        <v>#N/A</v>
      </c>
      <c r="T90" t="e">
        <f>IF(OR(T$27="",ISERROR($A90)),NA(),HLOOKUP(T$27,MODEL_MATRIX!$C$1:$AA$71,ROW()-ROW(S$26),0))</f>
        <v>#N/A</v>
      </c>
      <c r="U90" t="e">
        <f>IF(OR(U$27="",ISERROR($A90)),NA(),HLOOKUP(U$27,MODEL_MATRIX!$C$1:$AA$71,ROW()-ROW(T$26),0))</f>
        <v>#N/A</v>
      </c>
      <c r="V90" t="e">
        <f>IF(OR(V$27="",ISERROR($A90)),NA(),HLOOKUP(V$27,MODEL_MATRIX!$C$1:$AA$71,ROW()-ROW(U$26),0))</f>
        <v>#N/A</v>
      </c>
      <c r="W90" t="e">
        <f>IF(OR(W$27="",ISERROR($A90)),NA(),HLOOKUP(W$27,MODEL_MATRIX!$C$1:$AA$71,ROW()-ROW(V$26),0))</f>
        <v>#N/A</v>
      </c>
      <c r="X90" t="e">
        <f>IF(OR(X$27="",ISERROR($A90)),NA(),HLOOKUP(X$27,MODEL_MATRIX!$C$1:$AA$71,ROW()-ROW(W$26),0))</f>
        <v>#N/A</v>
      </c>
      <c r="Y90" t="e">
        <f>IF(OR(Y$27="",ISERROR($A90)),NA(),HLOOKUP(Y$27,MODEL_MATRIX!$C$1:$AA$71,ROW()-ROW(X$26),0))</f>
        <v>#N/A</v>
      </c>
      <c r="Z90" t="e">
        <f>IF(OR(Z$27="",ISERROR($A90)),NA(),HLOOKUP(Z$27,MODEL_MATRIX!$C$1:$AA$71,ROW()-ROW(Y$26),0))</f>
        <v>#N/A</v>
      </c>
    </row>
    <row r="91" spans="1:26" hidden="1" x14ac:dyDescent="0.25">
      <c r="A91" t="e">
        <f>IF(MODEL_MATRIX!B65="",NA(),MODEL_MATRIX!B65)</f>
        <v>#N/A</v>
      </c>
      <c r="B91" t="e">
        <f ca="1">IF(OR(B$27="",ISERROR($A91)),NA(),HLOOKUP(B$27,MODEL_MATRIX!$C$1:$AA$71,ROW()-ROW(A$26),0))</f>
        <v>#N/A</v>
      </c>
      <c r="C91" t="e">
        <f ca="1">IF(OR(C$27="",ISERROR($A91)),NA(),HLOOKUP(C$27,MODEL_MATRIX!$C$1:$AA$71,ROW()-ROW(B$26),0))</f>
        <v>#N/A</v>
      </c>
      <c r="D91" t="e">
        <f ca="1">IF(OR(D$27="",ISERROR($A91)),NA(),HLOOKUP(D$27,MODEL_MATRIX!$C$1:$AA$71,ROW()-ROW(C$26),0))</f>
        <v>#N/A</v>
      </c>
      <c r="E91" t="e">
        <f>IF(OR(E$27="",ISERROR($A91)),NA(),HLOOKUP(E$27,MODEL_MATRIX!$C$1:$AA$71,ROW()-ROW(D$26),0))</f>
        <v>#N/A</v>
      </c>
      <c r="F91" t="e">
        <f>IF(OR(F$27="",ISERROR($A91)),NA(),HLOOKUP(F$27,MODEL_MATRIX!$C$1:$AA$71,ROW()-ROW(E$26),0))</f>
        <v>#N/A</v>
      </c>
      <c r="G91" t="e">
        <f>IF(OR(G$27="",ISERROR($A91)),NA(),HLOOKUP(G$27,MODEL_MATRIX!$C$1:$AA$71,ROW()-ROW(F$26),0))</f>
        <v>#N/A</v>
      </c>
      <c r="H91" t="e">
        <f>IF(OR(H$27="",ISERROR($A91)),NA(),HLOOKUP(H$27,MODEL_MATRIX!$C$1:$AA$71,ROW()-ROW(G$26),0))</f>
        <v>#N/A</v>
      </c>
      <c r="I91" t="e">
        <f>IF(OR(I$27="",ISERROR($A91)),NA(),HLOOKUP(I$27,MODEL_MATRIX!$C$1:$AA$71,ROW()-ROW(H$26),0))</f>
        <v>#N/A</v>
      </c>
      <c r="J91" t="e">
        <f>IF(OR(J$27="",ISERROR($A91)),NA(),HLOOKUP(J$27,MODEL_MATRIX!$C$1:$AA$71,ROW()-ROW(I$26),0))</f>
        <v>#N/A</v>
      </c>
      <c r="K91" t="e">
        <f>IF(OR(K$27="",ISERROR($A91)),NA(),HLOOKUP(K$27,MODEL_MATRIX!$C$1:$AA$71,ROW()-ROW(J$26),0))</f>
        <v>#N/A</v>
      </c>
      <c r="L91" t="e">
        <f>IF(OR(L$27="",ISERROR($A91)),NA(),HLOOKUP(L$27,MODEL_MATRIX!$C$1:$AA$71,ROW()-ROW(K$26),0))</f>
        <v>#N/A</v>
      </c>
      <c r="M91" t="e">
        <f>IF(OR(M$27="",ISERROR($A91)),NA(),HLOOKUP(M$27,MODEL_MATRIX!$C$1:$AA$71,ROW()-ROW(L$26),0))</f>
        <v>#N/A</v>
      </c>
      <c r="N91" t="e">
        <f>IF(OR(N$27="",ISERROR($A91)),NA(),HLOOKUP(N$27,MODEL_MATRIX!$C$1:$AA$71,ROW()-ROW(M$26),0))</f>
        <v>#N/A</v>
      </c>
      <c r="O91" t="e">
        <f>IF(OR(O$27="",ISERROR($A91)),NA(),HLOOKUP(O$27,MODEL_MATRIX!$C$1:$AA$71,ROW()-ROW(N$26),0))</f>
        <v>#N/A</v>
      </c>
      <c r="P91" t="e">
        <f>IF(OR(P$27="",ISERROR($A91)),NA(),HLOOKUP(P$27,MODEL_MATRIX!$C$1:$AA$71,ROW()-ROW(O$26),0))</f>
        <v>#N/A</v>
      </c>
      <c r="Q91" t="e">
        <f>IF(OR(Q$27="",ISERROR($A91)),NA(),HLOOKUP(Q$27,MODEL_MATRIX!$C$1:$AA$71,ROW()-ROW(P$26),0))</f>
        <v>#N/A</v>
      </c>
      <c r="R91" t="e">
        <f>IF(OR(R$27="",ISERROR($A91)),NA(),HLOOKUP(R$27,MODEL_MATRIX!$C$1:$AA$71,ROW()-ROW(Q$26),0))</f>
        <v>#N/A</v>
      </c>
      <c r="S91" t="e">
        <f>IF(OR(S$27="",ISERROR($A91)),NA(),HLOOKUP(S$27,MODEL_MATRIX!$C$1:$AA$71,ROW()-ROW(R$26),0))</f>
        <v>#N/A</v>
      </c>
      <c r="T91" t="e">
        <f>IF(OR(T$27="",ISERROR($A91)),NA(),HLOOKUP(T$27,MODEL_MATRIX!$C$1:$AA$71,ROW()-ROW(S$26),0))</f>
        <v>#N/A</v>
      </c>
      <c r="U91" t="e">
        <f>IF(OR(U$27="",ISERROR($A91)),NA(),HLOOKUP(U$27,MODEL_MATRIX!$C$1:$AA$71,ROW()-ROW(T$26),0))</f>
        <v>#N/A</v>
      </c>
      <c r="V91" t="e">
        <f>IF(OR(V$27="",ISERROR($A91)),NA(),HLOOKUP(V$27,MODEL_MATRIX!$C$1:$AA$71,ROW()-ROW(U$26),0))</f>
        <v>#N/A</v>
      </c>
      <c r="W91" t="e">
        <f>IF(OR(W$27="",ISERROR($A91)),NA(),HLOOKUP(W$27,MODEL_MATRIX!$C$1:$AA$71,ROW()-ROW(V$26),0))</f>
        <v>#N/A</v>
      </c>
      <c r="X91" t="e">
        <f>IF(OR(X$27="",ISERROR($A91)),NA(),HLOOKUP(X$27,MODEL_MATRIX!$C$1:$AA$71,ROW()-ROW(W$26),0))</f>
        <v>#N/A</v>
      </c>
      <c r="Y91" t="e">
        <f>IF(OR(Y$27="",ISERROR($A91)),NA(),HLOOKUP(Y$27,MODEL_MATRIX!$C$1:$AA$71,ROW()-ROW(X$26),0))</f>
        <v>#N/A</v>
      </c>
      <c r="Z91" t="e">
        <f>IF(OR(Z$27="",ISERROR($A91)),NA(),HLOOKUP(Z$27,MODEL_MATRIX!$C$1:$AA$71,ROW()-ROW(Y$26),0))</f>
        <v>#N/A</v>
      </c>
    </row>
    <row r="92" spans="1:26" hidden="1" x14ac:dyDescent="0.25">
      <c r="A92" t="e">
        <f>IF(MODEL_MATRIX!B66="",NA(),MODEL_MATRIX!B66)</f>
        <v>#N/A</v>
      </c>
      <c r="B92" t="e">
        <f ca="1">IF(OR(B$27="",ISERROR($A92)),NA(),HLOOKUP(B$27,MODEL_MATRIX!$C$1:$AA$71,ROW()-ROW(A$26),0))</f>
        <v>#N/A</v>
      </c>
      <c r="C92" t="e">
        <f ca="1">IF(OR(C$27="",ISERROR($A92)),NA(),HLOOKUP(C$27,MODEL_MATRIX!$C$1:$AA$71,ROW()-ROW(B$26),0))</f>
        <v>#N/A</v>
      </c>
      <c r="D92" t="e">
        <f ca="1">IF(OR(D$27="",ISERROR($A92)),NA(),HLOOKUP(D$27,MODEL_MATRIX!$C$1:$AA$71,ROW()-ROW(C$26),0))</f>
        <v>#N/A</v>
      </c>
      <c r="E92" t="e">
        <f>IF(OR(E$27="",ISERROR($A92)),NA(),HLOOKUP(E$27,MODEL_MATRIX!$C$1:$AA$71,ROW()-ROW(D$26),0))</f>
        <v>#N/A</v>
      </c>
      <c r="F92" t="e">
        <f>IF(OR(F$27="",ISERROR($A92)),NA(),HLOOKUP(F$27,MODEL_MATRIX!$C$1:$AA$71,ROW()-ROW(E$26),0))</f>
        <v>#N/A</v>
      </c>
      <c r="G92" t="e">
        <f>IF(OR(G$27="",ISERROR($A92)),NA(),HLOOKUP(G$27,MODEL_MATRIX!$C$1:$AA$71,ROW()-ROW(F$26),0))</f>
        <v>#N/A</v>
      </c>
      <c r="H92" t="e">
        <f>IF(OR(H$27="",ISERROR($A92)),NA(),HLOOKUP(H$27,MODEL_MATRIX!$C$1:$AA$71,ROW()-ROW(G$26),0))</f>
        <v>#N/A</v>
      </c>
      <c r="I92" t="e">
        <f>IF(OR(I$27="",ISERROR($A92)),NA(),HLOOKUP(I$27,MODEL_MATRIX!$C$1:$AA$71,ROW()-ROW(H$26),0))</f>
        <v>#N/A</v>
      </c>
      <c r="J92" t="e">
        <f>IF(OR(J$27="",ISERROR($A92)),NA(),HLOOKUP(J$27,MODEL_MATRIX!$C$1:$AA$71,ROW()-ROW(I$26),0))</f>
        <v>#N/A</v>
      </c>
      <c r="K92" t="e">
        <f>IF(OR(K$27="",ISERROR($A92)),NA(),HLOOKUP(K$27,MODEL_MATRIX!$C$1:$AA$71,ROW()-ROW(J$26),0))</f>
        <v>#N/A</v>
      </c>
      <c r="L92" t="e">
        <f>IF(OR(L$27="",ISERROR($A92)),NA(),HLOOKUP(L$27,MODEL_MATRIX!$C$1:$AA$71,ROW()-ROW(K$26),0))</f>
        <v>#N/A</v>
      </c>
      <c r="M92" t="e">
        <f>IF(OR(M$27="",ISERROR($A92)),NA(),HLOOKUP(M$27,MODEL_MATRIX!$C$1:$AA$71,ROW()-ROW(L$26),0))</f>
        <v>#N/A</v>
      </c>
      <c r="N92" t="e">
        <f>IF(OR(N$27="",ISERROR($A92)),NA(),HLOOKUP(N$27,MODEL_MATRIX!$C$1:$AA$71,ROW()-ROW(M$26),0))</f>
        <v>#N/A</v>
      </c>
      <c r="O92" t="e">
        <f>IF(OR(O$27="",ISERROR($A92)),NA(),HLOOKUP(O$27,MODEL_MATRIX!$C$1:$AA$71,ROW()-ROW(N$26),0))</f>
        <v>#N/A</v>
      </c>
      <c r="P92" t="e">
        <f>IF(OR(P$27="",ISERROR($A92)),NA(),HLOOKUP(P$27,MODEL_MATRIX!$C$1:$AA$71,ROW()-ROW(O$26),0))</f>
        <v>#N/A</v>
      </c>
      <c r="Q92" t="e">
        <f>IF(OR(Q$27="",ISERROR($A92)),NA(),HLOOKUP(Q$27,MODEL_MATRIX!$C$1:$AA$71,ROW()-ROW(P$26),0))</f>
        <v>#N/A</v>
      </c>
      <c r="R92" t="e">
        <f>IF(OR(R$27="",ISERROR($A92)),NA(),HLOOKUP(R$27,MODEL_MATRIX!$C$1:$AA$71,ROW()-ROW(Q$26),0))</f>
        <v>#N/A</v>
      </c>
      <c r="S92" t="e">
        <f>IF(OR(S$27="",ISERROR($A92)),NA(),HLOOKUP(S$27,MODEL_MATRIX!$C$1:$AA$71,ROW()-ROW(R$26),0))</f>
        <v>#N/A</v>
      </c>
      <c r="T92" t="e">
        <f>IF(OR(T$27="",ISERROR($A92)),NA(),HLOOKUP(T$27,MODEL_MATRIX!$C$1:$AA$71,ROW()-ROW(S$26),0))</f>
        <v>#N/A</v>
      </c>
      <c r="U92" t="e">
        <f>IF(OR(U$27="",ISERROR($A92)),NA(),HLOOKUP(U$27,MODEL_MATRIX!$C$1:$AA$71,ROW()-ROW(T$26),0))</f>
        <v>#N/A</v>
      </c>
      <c r="V92" t="e">
        <f>IF(OR(V$27="",ISERROR($A92)),NA(),HLOOKUP(V$27,MODEL_MATRIX!$C$1:$AA$71,ROW()-ROW(U$26),0))</f>
        <v>#N/A</v>
      </c>
      <c r="W92" t="e">
        <f>IF(OR(W$27="",ISERROR($A92)),NA(),HLOOKUP(W$27,MODEL_MATRIX!$C$1:$AA$71,ROW()-ROW(V$26),0))</f>
        <v>#N/A</v>
      </c>
      <c r="X92" t="e">
        <f>IF(OR(X$27="",ISERROR($A92)),NA(),HLOOKUP(X$27,MODEL_MATRIX!$C$1:$AA$71,ROW()-ROW(W$26),0))</f>
        <v>#N/A</v>
      </c>
      <c r="Y92" t="e">
        <f>IF(OR(Y$27="",ISERROR($A92)),NA(),HLOOKUP(Y$27,MODEL_MATRIX!$C$1:$AA$71,ROW()-ROW(X$26),0))</f>
        <v>#N/A</v>
      </c>
      <c r="Z92" t="e">
        <f>IF(OR(Z$27="",ISERROR($A92)),NA(),HLOOKUP(Z$27,MODEL_MATRIX!$C$1:$AA$71,ROW()-ROW(Y$26),0))</f>
        <v>#N/A</v>
      </c>
    </row>
    <row r="93" spans="1:26" hidden="1" x14ac:dyDescent="0.25">
      <c r="A93" t="e">
        <f>IF(MODEL_MATRIX!B67="",NA(),MODEL_MATRIX!B67)</f>
        <v>#N/A</v>
      </c>
      <c r="B93" t="e">
        <f ca="1">IF(OR(B$27="",ISERROR($A93)),NA(),HLOOKUP(B$27,MODEL_MATRIX!$C$1:$AA$71,ROW()-ROW(A$26),0))</f>
        <v>#N/A</v>
      </c>
      <c r="C93" t="e">
        <f ca="1">IF(OR(C$27="",ISERROR($A93)),NA(),HLOOKUP(C$27,MODEL_MATRIX!$C$1:$AA$71,ROW()-ROW(B$26),0))</f>
        <v>#N/A</v>
      </c>
      <c r="D93" t="e">
        <f ca="1">IF(OR(D$27="",ISERROR($A93)),NA(),HLOOKUP(D$27,MODEL_MATRIX!$C$1:$AA$71,ROW()-ROW(C$26),0))</f>
        <v>#N/A</v>
      </c>
      <c r="E93" t="e">
        <f>IF(OR(E$27="",ISERROR($A93)),NA(),HLOOKUP(E$27,MODEL_MATRIX!$C$1:$AA$71,ROW()-ROW(D$26),0))</f>
        <v>#N/A</v>
      </c>
      <c r="F93" t="e">
        <f>IF(OR(F$27="",ISERROR($A93)),NA(),HLOOKUP(F$27,MODEL_MATRIX!$C$1:$AA$71,ROW()-ROW(E$26),0))</f>
        <v>#N/A</v>
      </c>
      <c r="G93" t="e">
        <f>IF(OR(G$27="",ISERROR($A93)),NA(),HLOOKUP(G$27,MODEL_MATRIX!$C$1:$AA$71,ROW()-ROW(F$26),0))</f>
        <v>#N/A</v>
      </c>
      <c r="H93" t="e">
        <f>IF(OR(H$27="",ISERROR($A93)),NA(),HLOOKUP(H$27,MODEL_MATRIX!$C$1:$AA$71,ROW()-ROW(G$26),0))</f>
        <v>#N/A</v>
      </c>
      <c r="I93" t="e">
        <f>IF(OR(I$27="",ISERROR($A93)),NA(),HLOOKUP(I$27,MODEL_MATRIX!$C$1:$AA$71,ROW()-ROW(H$26),0))</f>
        <v>#N/A</v>
      </c>
      <c r="J93" t="e">
        <f>IF(OR(J$27="",ISERROR($A93)),NA(),HLOOKUP(J$27,MODEL_MATRIX!$C$1:$AA$71,ROW()-ROW(I$26),0))</f>
        <v>#N/A</v>
      </c>
      <c r="K93" t="e">
        <f>IF(OR(K$27="",ISERROR($A93)),NA(),HLOOKUP(K$27,MODEL_MATRIX!$C$1:$AA$71,ROW()-ROW(J$26),0))</f>
        <v>#N/A</v>
      </c>
      <c r="L93" t="e">
        <f>IF(OR(L$27="",ISERROR($A93)),NA(),HLOOKUP(L$27,MODEL_MATRIX!$C$1:$AA$71,ROW()-ROW(K$26),0))</f>
        <v>#N/A</v>
      </c>
      <c r="M93" t="e">
        <f>IF(OR(M$27="",ISERROR($A93)),NA(),HLOOKUP(M$27,MODEL_MATRIX!$C$1:$AA$71,ROW()-ROW(L$26),0))</f>
        <v>#N/A</v>
      </c>
      <c r="N93" t="e">
        <f>IF(OR(N$27="",ISERROR($A93)),NA(),HLOOKUP(N$27,MODEL_MATRIX!$C$1:$AA$71,ROW()-ROW(M$26),0))</f>
        <v>#N/A</v>
      </c>
      <c r="O93" t="e">
        <f>IF(OR(O$27="",ISERROR($A93)),NA(),HLOOKUP(O$27,MODEL_MATRIX!$C$1:$AA$71,ROW()-ROW(N$26),0))</f>
        <v>#N/A</v>
      </c>
      <c r="P93" t="e">
        <f>IF(OR(P$27="",ISERROR($A93)),NA(),HLOOKUP(P$27,MODEL_MATRIX!$C$1:$AA$71,ROW()-ROW(O$26),0))</f>
        <v>#N/A</v>
      </c>
      <c r="Q93" t="e">
        <f>IF(OR(Q$27="",ISERROR($A93)),NA(),HLOOKUP(Q$27,MODEL_MATRIX!$C$1:$AA$71,ROW()-ROW(P$26),0))</f>
        <v>#N/A</v>
      </c>
      <c r="R93" t="e">
        <f>IF(OR(R$27="",ISERROR($A93)),NA(),HLOOKUP(R$27,MODEL_MATRIX!$C$1:$AA$71,ROW()-ROW(Q$26),0))</f>
        <v>#N/A</v>
      </c>
      <c r="S93" t="e">
        <f>IF(OR(S$27="",ISERROR($A93)),NA(),HLOOKUP(S$27,MODEL_MATRIX!$C$1:$AA$71,ROW()-ROW(R$26),0))</f>
        <v>#N/A</v>
      </c>
      <c r="T93" t="e">
        <f>IF(OR(T$27="",ISERROR($A93)),NA(),HLOOKUP(T$27,MODEL_MATRIX!$C$1:$AA$71,ROW()-ROW(S$26),0))</f>
        <v>#N/A</v>
      </c>
      <c r="U93" t="e">
        <f>IF(OR(U$27="",ISERROR($A93)),NA(),HLOOKUP(U$27,MODEL_MATRIX!$C$1:$AA$71,ROW()-ROW(T$26),0))</f>
        <v>#N/A</v>
      </c>
      <c r="V93" t="e">
        <f>IF(OR(V$27="",ISERROR($A93)),NA(),HLOOKUP(V$27,MODEL_MATRIX!$C$1:$AA$71,ROW()-ROW(U$26),0))</f>
        <v>#N/A</v>
      </c>
      <c r="W93" t="e">
        <f>IF(OR(W$27="",ISERROR($A93)),NA(),HLOOKUP(W$27,MODEL_MATRIX!$C$1:$AA$71,ROW()-ROW(V$26),0))</f>
        <v>#N/A</v>
      </c>
      <c r="X93" t="e">
        <f>IF(OR(X$27="",ISERROR($A93)),NA(),HLOOKUP(X$27,MODEL_MATRIX!$C$1:$AA$71,ROW()-ROW(W$26),0))</f>
        <v>#N/A</v>
      </c>
      <c r="Y93" t="e">
        <f>IF(OR(Y$27="",ISERROR($A93)),NA(),HLOOKUP(Y$27,MODEL_MATRIX!$C$1:$AA$71,ROW()-ROW(X$26),0))</f>
        <v>#N/A</v>
      </c>
      <c r="Z93" t="e">
        <f>IF(OR(Z$27="",ISERROR($A93)),NA(),HLOOKUP(Z$27,MODEL_MATRIX!$C$1:$AA$71,ROW()-ROW(Y$26),0))</f>
        <v>#N/A</v>
      </c>
    </row>
    <row r="94" spans="1:26" hidden="1" x14ac:dyDescent="0.25">
      <c r="A94" t="e">
        <f>IF(MODEL_MATRIX!B68="",NA(),MODEL_MATRIX!B68)</f>
        <v>#N/A</v>
      </c>
      <c r="B94" t="e">
        <f ca="1">IF(OR(B$27="",ISERROR($A94)),NA(),HLOOKUP(B$27,MODEL_MATRIX!$C$1:$AA$71,ROW()-ROW(A$26),0))</f>
        <v>#N/A</v>
      </c>
      <c r="C94" t="e">
        <f ca="1">IF(OR(C$27="",ISERROR($A94)),NA(),HLOOKUP(C$27,MODEL_MATRIX!$C$1:$AA$71,ROW()-ROW(B$26),0))</f>
        <v>#N/A</v>
      </c>
      <c r="D94" t="e">
        <f ca="1">IF(OR(D$27="",ISERROR($A94)),NA(),HLOOKUP(D$27,MODEL_MATRIX!$C$1:$AA$71,ROW()-ROW(C$26),0))</f>
        <v>#N/A</v>
      </c>
      <c r="E94" t="e">
        <f>IF(OR(E$27="",ISERROR($A94)),NA(),HLOOKUP(E$27,MODEL_MATRIX!$C$1:$AA$71,ROW()-ROW(D$26),0))</f>
        <v>#N/A</v>
      </c>
      <c r="F94" t="e">
        <f>IF(OR(F$27="",ISERROR($A94)),NA(),HLOOKUP(F$27,MODEL_MATRIX!$C$1:$AA$71,ROW()-ROW(E$26),0))</f>
        <v>#N/A</v>
      </c>
      <c r="G94" t="e">
        <f>IF(OR(G$27="",ISERROR($A94)),NA(),HLOOKUP(G$27,MODEL_MATRIX!$C$1:$AA$71,ROW()-ROW(F$26),0))</f>
        <v>#N/A</v>
      </c>
      <c r="H94" t="e">
        <f>IF(OR(H$27="",ISERROR($A94)),NA(),HLOOKUP(H$27,MODEL_MATRIX!$C$1:$AA$71,ROW()-ROW(G$26),0))</f>
        <v>#N/A</v>
      </c>
      <c r="I94" t="e">
        <f>IF(OR(I$27="",ISERROR($A94)),NA(),HLOOKUP(I$27,MODEL_MATRIX!$C$1:$AA$71,ROW()-ROW(H$26),0))</f>
        <v>#N/A</v>
      </c>
      <c r="J94" t="e">
        <f>IF(OR(J$27="",ISERROR($A94)),NA(),HLOOKUP(J$27,MODEL_MATRIX!$C$1:$AA$71,ROW()-ROW(I$26),0))</f>
        <v>#N/A</v>
      </c>
      <c r="K94" t="e">
        <f>IF(OR(K$27="",ISERROR($A94)),NA(),HLOOKUP(K$27,MODEL_MATRIX!$C$1:$AA$71,ROW()-ROW(J$26),0))</f>
        <v>#N/A</v>
      </c>
      <c r="L94" t="e">
        <f>IF(OR(L$27="",ISERROR($A94)),NA(),HLOOKUP(L$27,MODEL_MATRIX!$C$1:$AA$71,ROW()-ROW(K$26),0))</f>
        <v>#N/A</v>
      </c>
      <c r="M94" t="e">
        <f>IF(OR(M$27="",ISERROR($A94)),NA(),HLOOKUP(M$27,MODEL_MATRIX!$C$1:$AA$71,ROW()-ROW(L$26),0))</f>
        <v>#N/A</v>
      </c>
      <c r="N94" t="e">
        <f>IF(OR(N$27="",ISERROR($A94)),NA(),HLOOKUP(N$27,MODEL_MATRIX!$C$1:$AA$71,ROW()-ROW(M$26),0))</f>
        <v>#N/A</v>
      </c>
      <c r="O94" t="e">
        <f>IF(OR(O$27="",ISERROR($A94)),NA(),HLOOKUP(O$27,MODEL_MATRIX!$C$1:$AA$71,ROW()-ROW(N$26),0))</f>
        <v>#N/A</v>
      </c>
      <c r="P94" t="e">
        <f>IF(OR(P$27="",ISERROR($A94)),NA(),HLOOKUP(P$27,MODEL_MATRIX!$C$1:$AA$71,ROW()-ROW(O$26),0))</f>
        <v>#N/A</v>
      </c>
      <c r="Q94" t="e">
        <f>IF(OR(Q$27="",ISERROR($A94)),NA(),HLOOKUP(Q$27,MODEL_MATRIX!$C$1:$AA$71,ROW()-ROW(P$26),0))</f>
        <v>#N/A</v>
      </c>
      <c r="R94" t="e">
        <f>IF(OR(R$27="",ISERROR($A94)),NA(),HLOOKUP(R$27,MODEL_MATRIX!$C$1:$AA$71,ROW()-ROW(Q$26),0))</f>
        <v>#N/A</v>
      </c>
      <c r="S94" t="e">
        <f>IF(OR(S$27="",ISERROR($A94)),NA(),HLOOKUP(S$27,MODEL_MATRIX!$C$1:$AA$71,ROW()-ROW(R$26),0))</f>
        <v>#N/A</v>
      </c>
      <c r="T94" t="e">
        <f>IF(OR(T$27="",ISERROR($A94)),NA(),HLOOKUP(T$27,MODEL_MATRIX!$C$1:$AA$71,ROW()-ROW(S$26),0))</f>
        <v>#N/A</v>
      </c>
      <c r="U94" t="e">
        <f>IF(OR(U$27="",ISERROR($A94)),NA(),HLOOKUP(U$27,MODEL_MATRIX!$C$1:$AA$71,ROW()-ROW(T$26),0))</f>
        <v>#N/A</v>
      </c>
      <c r="V94" t="e">
        <f>IF(OR(V$27="",ISERROR($A94)),NA(),HLOOKUP(V$27,MODEL_MATRIX!$C$1:$AA$71,ROW()-ROW(U$26),0))</f>
        <v>#N/A</v>
      </c>
      <c r="W94" t="e">
        <f>IF(OR(W$27="",ISERROR($A94)),NA(),HLOOKUP(W$27,MODEL_MATRIX!$C$1:$AA$71,ROW()-ROW(V$26),0))</f>
        <v>#N/A</v>
      </c>
      <c r="X94" t="e">
        <f>IF(OR(X$27="",ISERROR($A94)),NA(),HLOOKUP(X$27,MODEL_MATRIX!$C$1:$AA$71,ROW()-ROW(W$26),0))</f>
        <v>#N/A</v>
      </c>
      <c r="Y94" t="e">
        <f>IF(OR(Y$27="",ISERROR($A94)),NA(),HLOOKUP(Y$27,MODEL_MATRIX!$C$1:$AA$71,ROW()-ROW(X$26),0))</f>
        <v>#N/A</v>
      </c>
      <c r="Z94" t="e">
        <f>IF(OR(Z$27="",ISERROR($A94)),NA(),HLOOKUP(Z$27,MODEL_MATRIX!$C$1:$AA$71,ROW()-ROW(Y$26),0))</f>
        <v>#N/A</v>
      </c>
    </row>
    <row r="95" spans="1:26" hidden="1" x14ac:dyDescent="0.25">
      <c r="A95" t="e">
        <f>IF(MODEL_MATRIX!B69="",NA(),MODEL_MATRIX!B69)</f>
        <v>#N/A</v>
      </c>
      <c r="B95" t="e">
        <f ca="1">IF(OR(B$27="",ISERROR($A95)),NA(),HLOOKUP(B$27,MODEL_MATRIX!$C$1:$AA$71,ROW()-ROW(A$26),0))</f>
        <v>#N/A</v>
      </c>
      <c r="C95" t="e">
        <f ca="1">IF(OR(C$27="",ISERROR($A95)),NA(),HLOOKUP(C$27,MODEL_MATRIX!$C$1:$AA$71,ROW()-ROW(B$26),0))</f>
        <v>#N/A</v>
      </c>
      <c r="D95" t="e">
        <f ca="1">IF(OR(D$27="",ISERROR($A95)),NA(),HLOOKUP(D$27,MODEL_MATRIX!$C$1:$AA$71,ROW()-ROW(C$26),0))</f>
        <v>#N/A</v>
      </c>
      <c r="E95" t="e">
        <f>IF(OR(E$27="",ISERROR($A95)),NA(),HLOOKUP(E$27,MODEL_MATRIX!$C$1:$AA$71,ROW()-ROW(D$26),0))</f>
        <v>#N/A</v>
      </c>
      <c r="F95" t="e">
        <f>IF(OR(F$27="",ISERROR($A95)),NA(),HLOOKUP(F$27,MODEL_MATRIX!$C$1:$AA$71,ROW()-ROW(E$26),0))</f>
        <v>#N/A</v>
      </c>
      <c r="G95" t="e">
        <f>IF(OR(G$27="",ISERROR($A95)),NA(),HLOOKUP(G$27,MODEL_MATRIX!$C$1:$AA$71,ROW()-ROW(F$26),0))</f>
        <v>#N/A</v>
      </c>
      <c r="H95" t="e">
        <f>IF(OR(H$27="",ISERROR($A95)),NA(),HLOOKUP(H$27,MODEL_MATRIX!$C$1:$AA$71,ROW()-ROW(G$26),0))</f>
        <v>#N/A</v>
      </c>
      <c r="I95" t="e">
        <f>IF(OR(I$27="",ISERROR($A95)),NA(),HLOOKUP(I$27,MODEL_MATRIX!$C$1:$AA$71,ROW()-ROW(H$26),0))</f>
        <v>#N/A</v>
      </c>
      <c r="J95" t="e">
        <f>IF(OR(J$27="",ISERROR($A95)),NA(),HLOOKUP(J$27,MODEL_MATRIX!$C$1:$AA$71,ROW()-ROW(I$26),0))</f>
        <v>#N/A</v>
      </c>
      <c r="K95" t="e">
        <f>IF(OR(K$27="",ISERROR($A95)),NA(),HLOOKUP(K$27,MODEL_MATRIX!$C$1:$AA$71,ROW()-ROW(J$26),0))</f>
        <v>#N/A</v>
      </c>
      <c r="L95" t="e">
        <f>IF(OR(L$27="",ISERROR($A95)),NA(),HLOOKUP(L$27,MODEL_MATRIX!$C$1:$AA$71,ROW()-ROW(K$26),0))</f>
        <v>#N/A</v>
      </c>
      <c r="M95" t="e">
        <f>IF(OR(M$27="",ISERROR($A95)),NA(),HLOOKUP(M$27,MODEL_MATRIX!$C$1:$AA$71,ROW()-ROW(L$26),0))</f>
        <v>#N/A</v>
      </c>
      <c r="N95" t="e">
        <f>IF(OR(N$27="",ISERROR($A95)),NA(),HLOOKUP(N$27,MODEL_MATRIX!$C$1:$AA$71,ROW()-ROW(M$26),0))</f>
        <v>#N/A</v>
      </c>
      <c r="O95" t="e">
        <f>IF(OR(O$27="",ISERROR($A95)),NA(),HLOOKUP(O$27,MODEL_MATRIX!$C$1:$AA$71,ROW()-ROW(N$26),0))</f>
        <v>#N/A</v>
      </c>
      <c r="P95" t="e">
        <f>IF(OR(P$27="",ISERROR($A95)),NA(),HLOOKUP(P$27,MODEL_MATRIX!$C$1:$AA$71,ROW()-ROW(O$26),0))</f>
        <v>#N/A</v>
      </c>
      <c r="Q95" t="e">
        <f>IF(OR(Q$27="",ISERROR($A95)),NA(),HLOOKUP(Q$27,MODEL_MATRIX!$C$1:$AA$71,ROW()-ROW(P$26),0))</f>
        <v>#N/A</v>
      </c>
      <c r="R95" t="e">
        <f>IF(OR(R$27="",ISERROR($A95)),NA(),HLOOKUP(R$27,MODEL_MATRIX!$C$1:$AA$71,ROW()-ROW(Q$26),0))</f>
        <v>#N/A</v>
      </c>
      <c r="S95" t="e">
        <f>IF(OR(S$27="",ISERROR($A95)),NA(),HLOOKUP(S$27,MODEL_MATRIX!$C$1:$AA$71,ROW()-ROW(R$26),0))</f>
        <v>#N/A</v>
      </c>
      <c r="T95" t="e">
        <f>IF(OR(T$27="",ISERROR($A95)),NA(),HLOOKUP(T$27,MODEL_MATRIX!$C$1:$AA$71,ROW()-ROW(S$26),0))</f>
        <v>#N/A</v>
      </c>
      <c r="U95" t="e">
        <f>IF(OR(U$27="",ISERROR($A95)),NA(),HLOOKUP(U$27,MODEL_MATRIX!$C$1:$AA$71,ROW()-ROW(T$26),0))</f>
        <v>#N/A</v>
      </c>
      <c r="V95" t="e">
        <f>IF(OR(V$27="",ISERROR($A95)),NA(),HLOOKUP(V$27,MODEL_MATRIX!$C$1:$AA$71,ROW()-ROW(U$26),0))</f>
        <v>#N/A</v>
      </c>
      <c r="W95" t="e">
        <f>IF(OR(W$27="",ISERROR($A95)),NA(),HLOOKUP(W$27,MODEL_MATRIX!$C$1:$AA$71,ROW()-ROW(V$26),0))</f>
        <v>#N/A</v>
      </c>
      <c r="X95" t="e">
        <f>IF(OR(X$27="",ISERROR($A95)),NA(),HLOOKUP(X$27,MODEL_MATRIX!$C$1:$AA$71,ROW()-ROW(W$26),0))</f>
        <v>#N/A</v>
      </c>
      <c r="Y95" t="e">
        <f>IF(OR(Y$27="",ISERROR($A95)),NA(),HLOOKUP(Y$27,MODEL_MATRIX!$C$1:$AA$71,ROW()-ROW(X$26),0))</f>
        <v>#N/A</v>
      </c>
      <c r="Z95" t="e">
        <f>IF(OR(Z$27="",ISERROR($A95)),NA(),HLOOKUP(Z$27,MODEL_MATRIX!$C$1:$AA$71,ROW()-ROW(Y$26),0))</f>
        <v>#N/A</v>
      </c>
    </row>
    <row r="96" spans="1:26" hidden="1" x14ac:dyDescent="0.25">
      <c r="A96" t="e">
        <f>IF(MODEL_MATRIX!B70="",NA(),MODEL_MATRIX!B70)</f>
        <v>#N/A</v>
      </c>
      <c r="B96" t="e">
        <f ca="1">IF(OR(B$27="",ISERROR($A96)),NA(),HLOOKUP(B$27,MODEL_MATRIX!$C$1:$AA$71,ROW()-ROW(A$26),0))</f>
        <v>#N/A</v>
      </c>
      <c r="C96" t="e">
        <f ca="1">IF(OR(C$27="",ISERROR($A96)),NA(),HLOOKUP(C$27,MODEL_MATRIX!$C$1:$AA$71,ROW()-ROW(B$26),0))</f>
        <v>#N/A</v>
      </c>
      <c r="D96" t="e">
        <f ca="1">IF(OR(D$27="",ISERROR($A96)),NA(),HLOOKUP(D$27,MODEL_MATRIX!$C$1:$AA$71,ROW()-ROW(C$26),0))</f>
        <v>#N/A</v>
      </c>
      <c r="E96" t="e">
        <f>IF(OR(E$27="",ISERROR($A96)),NA(),HLOOKUP(E$27,MODEL_MATRIX!$C$1:$AA$71,ROW()-ROW(D$26),0))</f>
        <v>#N/A</v>
      </c>
      <c r="F96" t="e">
        <f>IF(OR(F$27="",ISERROR($A96)),NA(),HLOOKUP(F$27,MODEL_MATRIX!$C$1:$AA$71,ROW()-ROW(E$26),0))</f>
        <v>#N/A</v>
      </c>
      <c r="G96" t="e">
        <f>IF(OR(G$27="",ISERROR($A96)),NA(),HLOOKUP(G$27,MODEL_MATRIX!$C$1:$AA$71,ROW()-ROW(F$26),0))</f>
        <v>#N/A</v>
      </c>
      <c r="H96" t="e">
        <f>IF(OR(H$27="",ISERROR($A96)),NA(),HLOOKUP(H$27,MODEL_MATRIX!$C$1:$AA$71,ROW()-ROW(G$26),0))</f>
        <v>#N/A</v>
      </c>
      <c r="I96" t="e">
        <f>IF(OR(I$27="",ISERROR($A96)),NA(),HLOOKUP(I$27,MODEL_MATRIX!$C$1:$AA$71,ROW()-ROW(H$26),0))</f>
        <v>#N/A</v>
      </c>
      <c r="J96" t="e">
        <f>IF(OR(J$27="",ISERROR($A96)),NA(),HLOOKUP(J$27,MODEL_MATRIX!$C$1:$AA$71,ROW()-ROW(I$26),0))</f>
        <v>#N/A</v>
      </c>
      <c r="K96" t="e">
        <f>IF(OR(K$27="",ISERROR($A96)),NA(),HLOOKUP(K$27,MODEL_MATRIX!$C$1:$AA$71,ROW()-ROW(J$26),0))</f>
        <v>#N/A</v>
      </c>
      <c r="L96" t="e">
        <f>IF(OR(L$27="",ISERROR($A96)),NA(),HLOOKUP(L$27,MODEL_MATRIX!$C$1:$AA$71,ROW()-ROW(K$26),0))</f>
        <v>#N/A</v>
      </c>
      <c r="M96" t="e">
        <f>IF(OR(M$27="",ISERROR($A96)),NA(),HLOOKUP(M$27,MODEL_MATRIX!$C$1:$AA$71,ROW()-ROW(L$26),0))</f>
        <v>#N/A</v>
      </c>
      <c r="N96" t="e">
        <f>IF(OR(N$27="",ISERROR($A96)),NA(),HLOOKUP(N$27,MODEL_MATRIX!$C$1:$AA$71,ROW()-ROW(M$26),0))</f>
        <v>#N/A</v>
      </c>
      <c r="O96" t="e">
        <f>IF(OR(O$27="",ISERROR($A96)),NA(),HLOOKUP(O$27,MODEL_MATRIX!$C$1:$AA$71,ROW()-ROW(N$26),0))</f>
        <v>#N/A</v>
      </c>
      <c r="P96" t="e">
        <f>IF(OR(P$27="",ISERROR($A96)),NA(),HLOOKUP(P$27,MODEL_MATRIX!$C$1:$AA$71,ROW()-ROW(O$26),0))</f>
        <v>#N/A</v>
      </c>
      <c r="Q96" t="e">
        <f>IF(OR(Q$27="",ISERROR($A96)),NA(),HLOOKUP(Q$27,MODEL_MATRIX!$C$1:$AA$71,ROW()-ROW(P$26),0))</f>
        <v>#N/A</v>
      </c>
      <c r="R96" t="e">
        <f>IF(OR(R$27="",ISERROR($A96)),NA(),HLOOKUP(R$27,MODEL_MATRIX!$C$1:$AA$71,ROW()-ROW(Q$26),0))</f>
        <v>#N/A</v>
      </c>
      <c r="S96" t="e">
        <f>IF(OR(S$27="",ISERROR($A96)),NA(),HLOOKUP(S$27,MODEL_MATRIX!$C$1:$AA$71,ROW()-ROW(R$26),0))</f>
        <v>#N/A</v>
      </c>
      <c r="T96" t="e">
        <f>IF(OR(T$27="",ISERROR($A96)),NA(),HLOOKUP(T$27,MODEL_MATRIX!$C$1:$AA$71,ROW()-ROW(S$26),0))</f>
        <v>#N/A</v>
      </c>
      <c r="U96" t="e">
        <f>IF(OR(U$27="",ISERROR($A96)),NA(),HLOOKUP(U$27,MODEL_MATRIX!$C$1:$AA$71,ROW()-ROW(T$26),0))</f>
        <v>#N/A</v>
      </c>
      <c r="V96" t="e">
        <f>IF(OR(V$27="",ISERROR($A96)),NA(),HLOOKUP(V$27,MODEL_MATRIX!$C$1:$AA$71,ROW()-ROW(U$26),0))</f>
        <v>#N/A</v>
      </c>
      <c r="W96" t="e">
        <f>IF(OR(W$27="",ISERROR($A96)),NA(),HLOOKUP(W$27,MODEL_MATRIX!$C$1:$AA$71,ROW()-ROW(V$26),0))</f>
        <v>#N/A</v>
      </c>
      <c r="X96" t="e">
        <f>IF(OR(X$27="",ISERROR($A96)),NA(),HLOOKUP(X$27,MODEL_MATRIX!$C$1:$AA$71,ROW()-ROW(W$26),0))</f>
        <v>#N/A</v>
      </c>
      <c r="Y96" t="e">
        <f>IF(OR(Y$27="",ISERROR($A96)),NA(),HLOOKUP(Y$27,MODEL_MATRIX!$C$1:$AA$71,ROW()-ROW(X$26),0))</f>
        <v>#N/A</v>
      </c>
      <c r="Z96" t="e">
        <f>IF(OR(Z$27="",ISERROR($A96)),NA(),HLOOKUP(Z$27,MODEL_MATRIX!$C$1:$AA$71,ROW()-ROW(Y$26),0))</f>
        <v>#N/A</v>
      </c>
    </row>
    <row r="97" spans="1:26" hidden="1" x14ac:dyDescent="0.25">
      <c r="A97" t="e">
        <f>IF(MODEL_MATRIX!B71="",NA(),MODEL_MATRIX!B71)</f>
        <v>#N/A</v>
      </c>
      <c r="B97" t="e">
        <f ca="1">IF(OR(B$27="",ISERROR($A97)),NA(),HLOOKUP(B$27,MODEL_MATRIX!$C$1:$AA$71,ROW()-ROW(A$26),0))</f>
        <v>#N/A</v>
      </c>
      <c r="C97" t="e">
        <f ca="1">IF(OR(C$27="",ISERROR($A97)),NA(),HLOOKUP(C$27,MODEL_MATRIX!$C$1:$AA$71,ROW()-ROW(B$26),0))</f>
        <v>#N/A</v>
      </c>
      <c r="D97" t="e">
        <f ca="1">IF(OR(D$27="",ISERROR($A97)),NA(),HLOOKUP(D$27,MODEL_MATRIX!$C$1:$AA$71,ROW()-ROW(C$26),0))</f>
        <v>#N/A</v>
      </c>
      <c r="E97" t="e">
        <f>IF(OR(E$27="",ISERROR($A97)),NA(),HLOOKUP(E$27,MODEL_MATRIX!$C$1:$AA$71,ROW()-ROW(D$26),0))</f>
        <v>#N/A</v>
      </c>
      <c r="F97" t="e">
        <f>IF(OR(F$27="",ISERROR($A97)),NA(),HLOOKUP(F$27,MODEL_MATRIX!$C$1:$AA$71,ROW()-ROW(E$26),0))</f>
        <v>#N/A</v>
      </c>
      <c r="G97" t="e">
        <f>IF(OR(G$27="",ISERROR($A97)),NA(),HLOOKUP(G$27,MODEL_MATRIX!$C$1:$AA$71,ROW()-ROW(F$26),0))</f>
        <v>#N/A</v>
      </c>
      <c r="H97" t="e">
        <f>IF(OR(H$27="",ISERROR($A97)),NA(),HLOOKUP(H$27,MODEL_MATRIX!$C$1:$AA$71,ROW()-ROW(G$26),0))</f>
        <v>#N/A</v>
      </c>
      <c r="I97" t="e">
        <f>IF(OR(I$27="",ISERROR($A97)),NA(),HLOOKUP(I$27,MODEL_MATRIX!$C$1:$AA$71,ROW()-ROW(H$26),0))</f>
        <v>#N/A</v>
      </c>
      <c r="J97" t="e">
        <f>IF(OR(J$27="",ISERROR($A97)),NA(),HLOOKUP(J$27,MODEL_MATRIX!$C$1:$AA$71,ROW()-ROW(I$26),0))</f>
        <v>#N/A</v>
      </c>
      <c r="K97" t="e">
        <f>IF(OR(K$27="",ISERROR($A97)),NA(),HLOOKUP(K$27,MODEL_MATRIX!$C$1:$AA$71,ROW()-ROW(J$26),0))</f>
        <v>#N/A</v>
      </c>
      <c r="L97" t="e">
        <f>IF(OR(L$27="",ISERROR($A97)),NA(),HLOOKUP(L$27,MODEL_MATRIX!$C$1:$AA$71,ROW()-ROW(K$26),0))</f>
        <v>#N/A</v>
      </c>
      <c r="M97" t="e">
        <f>IF(OR(M$27="",ISERROR($A97)),NA(),HLOOKUP(M$27,MODEL_MATRIX!$C$1:$AA$71,ROW()-ROW(L$26),0))</f>
        <v>#N/A</v>
      </c>
      <c r="N97" t="e">
        <f>IF(OR(N$27="",ISERROR($A97)),NA(),HLOOKUP(N$27,MODEL_MATRIX!$C$1:$AA$71,ROW()-ROW(M$26),0))</f>
        <v>#N/A</v>
      </c>
      <c r="O97" t="e">
        <f>IF(OR(O$27="",ISERROR($A97)),NA(),HLOOKUP(O$27,MODEL_MATRIX!$C$1:$AA$71,ROW()-ROW(N$26),0))</f>
        <v>#N/A</v>
      </c>
      <c r="P97" t="e">
        <f>IF(OR(P$27="",ISERROR($A97)),NA(),HLOOKUP(P$27,MODEL_MATRIX!$C$1:$AA$71,ROW()-ROW(O$26),0))</f>
        <v>#N/A</v>
      </c>
      <c r="Q97" t="e">
        <f>IF(OR(Q$27="",ISERROR($A97)),NA(),HLOOKUP(Q$27,MODEL_MATRIX!$C$1:$AA$71,ROW()-ROW(P$26),0))</f>
        <v>#N/A</v>
      </c>
      <c r="R97" t="e">
        <f>IF(OR(R$27="",ISERROR($A97)),NA(),HLOOKUP(R$27,MODEL_MATRIX!$C$1:$AA$71,ROW()-ROW(Q$26),0))</f>
        <v>#N/A</v>
      </c>
      <c r="S97" t="e">
        <f>IF(OR(S$27="",ISERROR($A97)),NA(),HLOOKUP(S$27,MODEL_MATRIX!$C$1:$AA$71,ROW()-ROW(R$26),0))</f>
        <v>#N/A</v>
      </c>
      <c r="T97" t="e">
        <f>IF(OR(T$27="",ISERROR($A97)),NA(),HLOOKUP(T$27,MODEL_MATRIX!$C$1:$AA$71,ROW()-ROW(S$26),0))</f>
        <v>#N/A</v>
      </c>
      <c r="U97" t="e">
        <f>IF(OR(U$27="",ISERROR($A97)),NA(),HLOOKUP(U$27,MODEL_MATRIX!$C$1:$AA$71,ROW()-ROW(T$26),0))</f>
        <v>#N/A</v>
      </c>
      <c r="V97" t="e">
        <f>IF(OR(V$27="",ISERROR($A97)),NA(),HLOOKUP(V$27,MODEL_MATRIX!$C$1:$AA$71,ROW()-ROW(U$26),0))</f>
        <v>#N/A</v>
      </c>
      <c r="W97" t="e">
        <f>IF(OR(W$27="",ISERROR($A97)),NA(),HLOOKUP(W$27,MODEL_MATRIX!$C$1:$AA$71,ROW()-ROW(V$26),0))</f>
        <v>#N/A</v>
      </c>
      <c r="X97" t="e">
        <f>IF(OR(X$27="",ISERROR($A97)),NA(),HLOOKUP(X$27,MODEL_MATRIX!$C$1:$AA$71,ROW()-ROW(W$26),0))</f>
        <v>#N/A</v>
      </c>
      <c r="Y97" t="e">
        <f>IF(OR(Y$27="",ISERROR($A97)),NA(),HLOOKUP(Y$27,MODEL_MATRIX!$C$1:$AA$71,ROW()-ROW(X$26),0))</f>
        <v>#N/A</v>
      </c>
      <c r="Z97" t="e">
        <f>IF(OR(Z$27="",ISERROR($A97)),NA(),HLOOKUP(Z$27,MODEL_MATRIX!$C$1:$AA$71,ROW()-ROW(Y$26),0))</f>
        <v>#N/A</v>
      </c>
    </row>
  </sheetData>
  <mergeCells count="1">
    <mergeCell ref="AR1:AR1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A657B-A978-47E7-939E-297A83F694EB}">
  <sheetPr>
    <tabColor rgb="FF92D050"/>
  </sheetPr>
  <dimension ref="A1:AP150"/>
  <sheetViews>
    <sheetView topLeftCell="AB1" zoomScaleNormal="100" workbookViewId="0">
      <selection activeCell="AB1" sqref="AB1"/>
    </sheetView>
  </sheetViews>
  <sheetFormatPr baseColWidth="10" defaultColWidth="0" defaultRowHeight="15" zeroHeight="1" x14ac:dyDescent="0.25"/>
  <cols>
    <col min="1" max="27" width="6.28515625" hidden="1" customWidth="1"/>
    <col min="28" max="41" width="14.28515625" customWidth="1"/>
    <col min="42" max="42" width="34.140625" customWidth="1"/>
    <col min="43" max="16384" width="11.42578125" hidden="1"/>
  </cols>
  <sheetData>
    <row r="1" spans="1:42" ht="15" customHeight="1" x14ac:dyDescent="0.25">
      <c r="A1">
        <v>0</v>
      </c>
      <c r="B1" s="1" t="str">
        <f>IF(B2="","",MAX($A$1:A1)+1)</f>
        <v/>
      </c>
      <c r="C1" s="1" t="str">
        <f>IF(C2="","",MAX($A$1:B1)+1)</f>
        <v/>
      </c>
      <c r="D1" s="1" t="str">
        <f>IF(D2="","",MAX($A$1:C1)+1)</f>
        <v/>
      </c>
      <c r="E1" s="1">
        <f>IF(E2="","",MAX($A$1:D1)+1)</f>
        <v>1</v>
      </c>
      <c r="F1" s="1">
        <f>IF(F2="","",MAX($A$1:E1)+1)</f>
        <v>2</v>
      </c>
      <c r="G1" s="1" t="str">
        <f>IF(G2="","",MAX($A$1:F1)+1)</f>
        <v/>
      </c>
      <c r="H1" s="1" t="str">
        <f>IF(H2="","",MAX($A$1:G1)+1)</f>
        <v/>
      </c>
      <c r="I1" s="1" t="str">
        <f>IF(I2="","",MAX($A$1:H1)+1)</f>
        <v/>
      </c>
      <c r="J1" s="1" t="str">
        <f>IF(J2="","",MAX($A$1:I1)+1)</f>
        <v/>
      </c>
      <c r="K1" s="1" t="str">
        <f>IF(K2="","",MAX($A$1:J1)+1)</f>
        <v/>
      </c>
      <c r="L1" s="1" t="str">
        <f>IF(L2="","",MAX($A$1:K1)+1)</f>
        <v/>
      </c>
      <c r="M1" s="1" t="str">
        <f>IF(M2="","",MAX($A$1:L1)+1)</f>
        <v/>
      </c>
      <c r="N1" s="1" t="str">
        <f>IF(N2="","",MAX($A$1:M1)+1)</f>
        <v/>
      </c>
      <c r="O1" s="1" t="str">
        <f>IF(O2="","",MAX($A$1:N1)+1)</f>
        <v/>
      </c>
      <c r="P1" s="1" t="str">
        <f>IF(P2="","",MAX($A$1:O1)+1)</f>
        <v/>
      </c>
      <c r="Q1" s="1" t="str">
        <f>IF(Q2="","",MAX($A$1:P1)+1)</f>
        <v/>
      </c>
      <c r="R1" s="1" t="str">
        <f>IF(R2="","",MAX($A$1:Q1)+1)</f>
        <v/>
      </c>
      <c r="S1" s="1" t="str">
        <f>IF(S2="","",MAX($A$1:R1)+1)</f>
        <v/>
      </c>
      <c r="T1" s="1" t="str">
        <f>IF(T2="","",MAX($A$1:S1)+1)</f>
        <v/>
      </c>
      <c r="U1" s="1" t="str">
        <f>IF(U2="","",MAX($A$1:T1)+1)</f>
        <v/>
      </c>
      <c r="V1" s="1" t="str">
        <f>IF(V2="","",MAX($A$1:U1)+1)</f>
        <v/>
      </c>
      <c r="W1" s="1" t="str">
        <f>IF(W2="","",MAX($A$1:V1)+1)</f>
        <v/>
      </c>
      <c r="X1" s="1" t="str">
        <f>IF(X2="","",MAX($A$1:W1)+1)</f>
        <v/>
      </c>
      <c r="Y1" s="1" t="str">
        <f>IF(Y2="","",MAX($A$1:X1)+1)</f>
        <v/>
      </c>
      <c r="Z1" s="1" t="str">
        <f>IF(Z2="","",MAX($A$1:Y1)+1)</f>
        <v/>
      </c>
      <c r="AB1" t="s">
        <v>137</v>
      </c>
      <c r="AE1" s="2"/>
      <c r="AF1" s="2"/>
      <c r="AG1" t="s">
        <v>136</v>
      </c>
      <c r="AP1" s="20" t="s">
        <v>138</v>
      </c>
    </row>
    <row r="2" spans="1:42" x14ac:dyDescent="0.25">
      <c r="B2" s="1" t="str">
        <f>IF(OR(MID(MODEL!A15,2,1)="2",LEN(MODEL!A15)&lt;&gt;2),"",MODEL!A15)</f>
        <v/>
      </c>
      <c r="C2" s="1" t="str">
        <f>IF(OR(MID(MODEL!B15,2,1)="2",LEN(MODEL!B15)&lt;&gt;2),"",MODEL!B15)</f>
        <v/>
      </c>
      <c r="D2" s="1" t="str">
        <f>IF(OR(MID(MODEL!C15,2,1)="2",LEN(MODEL!C15)&lt;&gt;2),"",MODEL!C15)</f>
        <v/>
      </c>
      <c r="E2" s="1" t="str">
        <f>IF(OR(MID(MODEL!D15,2,1)="2",LEN(MODEL!D15)&lt;&gt;2),"",MODEL!D15)</f>
        <v>AC</v>
      </c>
      <c r="F2" s="1" t="str">
        <f>IF(OR(MID(MODEL!E15,2,1)="2",LEN(MODEL!E15)&lt;&gt;2),"",MODEL!E15)</f>
        <v>AE</v>
      </c>
      <c r="G2" s="1" t="str">
        <f>IF(OR(MID(MODEL!F15,2,1)="2",LEN(MODEL!F15)&lt;&gt;2),"",MODEL!F15)</f>
        <v/>
      </c>
      <c r="H2" s="1" t="str">
        <f>IF(OR(MID(MODEL!G15,2,1)="2",LEN(MODEL!G15)&lt;&gt;2),"",MODEL!G15)</f>
        <v/>
      </c>
      <c r="I2" s="1" t="str">
        <f>IF(OR(MID(MODEL!H15,2,1)="2",LEN(MODEL!H15)&lt;&gt;2),"",MODEL!H15)</f>
        <v/>
      </c>
      <c r="J2" s="1" t="str">
        <f>IF(OR(MID(MODEL!I15,2,1)="2",LEN(MODEL!I15)&lt;&gt;2),"",MODEL!I15)</f>
        <v/>
      </c>
      <c r="K2" s="1" t="str">
        <f>IF(OR(MID(MODEL!J15,2,1)="2",LEN(MODEL!J15)&lt;&gt;2),"",MODEL!J15)</f>
        <v/>
      </c>
      <c r="L2" s="1" t="str">
        <f>IF(OR(MID(MODEL!K15,2,1)="2",LEN(MODEL!K15)&lt;&gt;2),"",MODEL!K15)</f>
        <v/>
      </c>
      <c r="M2" s="1" t="str">
        <f>IF(OR(MID(MODEL!L15,2,1)="2",LEN(MODEL!L15)&lt;&gt;2),"",MODEL!L15)</f>
        <v/>
      </c>
      <c r="N2" s="1" t="str">
        <f>IF(OR(MID(MODEL!M15,2,1)="2",LEN(MODEL!M15)&lt;&gt;2),"",MODEL!M15)</f>
        <v/>
      </c>
      <c r="O2" s="1" t="str">
        <f>IF(OR(MID(MODEL!N15,2,1)="2",LEN(MODEL!N15)&lt;&gt;2),"",MODEL!N15)</f>
        <v/>
      </c>
      <c r="P2" s="1" t="str">
        <f>IF(OR(MID(MODEL!O15,2,1)="2",LEN(MODEL!O15)&lt;&gt;2),"",MODEL!O15)</f>
        <v/>
      </c>
      <c r="Q2" s="1" t="str">
        <f>IF(OR(MID(MODEL!P15,2,1)="2",LEN(MODEL!P15)&lt;&gt;2),"",MODEL!P15)</f>
        <v/>
      </c>
      <c r="R2" s="1" t="str">
        <f>IF(OR(MID(MODEL!Q15,2,1)="2",LEN(MODEL!Q15)&lt;&gt;2),"",MODEL!Q15)</f>
        <v/>
      </c>
      <c r="S2" s="1" t="str">
        <f>IF(OR(MID(MODEL!R15,2,1)="2",LEN(MODEL!R15)&lt;&gt;2),"",MODEL!R15)</f>
        <v/>
      </c>
      <c r="T2" s="1" t="str">
        <f>IF(OR(MID(MODEL!S15,2,1)="2",LEN(MODEL!S15)&lt;&gt;2),"",MODEL!S15)</f>
        <v/>
      </c>
      <c r="U2" s="1" t="str">
        <f>IF(OR(MID(MODEL!T15,2,1)="2",LEN(MODEL!T15)&lt;&gt;2),"",MODEL!T15)</f>
        <v/>
      </c>
      <c r="V2" s="1" t="str">
        <f>IF(OR(MID(MODEL!U15,2,1)="2",LEN(MODEL!U15)&lt;&gt;2),"",MODEL!U15)</f>
        <v/>
      </c>
      <c r="W2" s="1" t="str">
        <f>IF(OR(MID(MODEL!V15,2,1)="2",LEN(MODEL!V15)&lt;&gt;2),"",MODEL!V15)</f>
        <v/>
      </c>
      <c r="X2" s="1" t="str">
        <f>IF(OR(MID(MODEL!W15,2,1)="2",LEN(MODEL!W15)&lt;&gt;2),"",MODEL!W15)</f>
        <v/>
      </c>
      <c r="Y2" s="1" t="str">
        <f>IF(OR(MID(MODEL!X15,2,1)="2",LEN(MODEL!X15)&lt;&gt;2),"",MODEL!X15)</f>
        <v/>
      </c>
      <c r="Z2" s="1" t="str">
        <f>IF(OR(MID(MODEL!Y15,2,1)="2",LEN(MODEL!Y15)&lt;&gt;2),"",MODEL!Y15)</f>
        <v/>
      </c>
      <c r="AB2" s="19"/>
      <c r="AC2" s="19"/>
      <c r="AD2" s="19"/>
      <c r="AE2" s="19"/>
      <c r="AF2" s="19"/>
      <c r="AG2" s="19"/>
      <c r="AH2" s="19"/>
      <c r="AI2" s="19"/>
      <c r="AJ2" s="19"/>
      <c r="AK2" s="19"/>
      <c r="AL2" s="19"/>
      <c r="AM2" s="19"/>
      <c r="AN2" s="19"/>
      <c r="AO2" s="19"/>
      <c r="AP2" s="20"/>
    </row>
    <row r="3" spans="1:42" x14ac:dyDescent="0.25">
      <c r="B3" s="1">
        <f>IFERROR(SMALL($B$1:$Z$1,COLUMN()-1),"")</f>
        <v>1</v>
      </c>
      <c r="C3" s="1">
        <f t="shared" ref="C3:Z3" si="0">IFERROR(SMALL($B$1:$Z$1,COLUMN()-1),"")</f>
        <v>2</v>
      </c>
      <c r="D3" s="1" t="str">
        <f t="shared" si="0"/>
        <v/>
      </c>
      <c r="E3" s="1" t="str">
        <f t="shared" si="0"/>
        <v/>
      </c>
      <c r="F3" s="1" t="str">
        <f t="shared" si="0"/>
        <v/>
      </c>
      <c r="G3" s="1" t="str">
        <f t="shared" si="0"/>
        <v/>
      </c>
      <c r="H3" s="1" t="str">
        <f t="shared" si="0"/>
        <v/>
      </c>
      <c r="I3" s="1" t="str">
        <f t="shared" si="0"/>
        <v/>
      </c>
      <c r="J3" s="1" t="str">
        <f t="shared" si="0"/>
        <v/>
      </c>
      <c r="K3" s="1" t="str">
        <f t="shared" si="0"/>
        <v/>
      </c>
      <c r="L3" s="1" t="str">
        <f t="shared" si="0"/>
        <v/>
      </c>
      <c r="M3" s="1" t="str">
        <f t="shared" si="0"/>
        <v/>
      </c>
      <c r="N3" s="1" t="str">
        <f t="shared" si="0"/>
        <v/>
      </c>
      <c r="O3" s="1" t="str">
        <f t="shared" si="0"/>
        <v/>
      </c>
      <c r="P3" s="1" t="str">
        <f t="shared" si="0"/>
        <v/>
      </c>
      <c r="Q3" s="1" t="str">
        <f t="shared" si="0"/>
        <v/>
      </c>
      <c r="R3" s="1" t="str">
        <f t="shared" si="0"/>
        <v/>
      </c>
      <c r="S3" s="1" t="str">
        <f t="shared" si="0"/>
        <v/>
      </c>
      <c r="T3" s="1" t="str">
        <f t="shared" si="0"/>
        <v/>
      </c>
      <c r="U3" s="1" t="str">
        <f t="shared" si="0"/>
        <v/>
      </c>
      <c r="V3" s="1" t="str">
        <f t="shared" si="0"/>
        <v/>
      </c>
      <c r="W3" s="1" t="str">
        <f t="shared" si="0"/>
        <v/>
      </c>
      <c r="X3" s="1" t="str">
        <f t="shared" si="0"/>
        <v/>
      </c>
      <c r="Y3" s="1" t="str">
        <f t="shared" si="0"/>
        <v/>
      </c>
      <c r="Z3" s="1" t="str">
        <f t="shared" si="0"/>
        <v/>
      </c>
      <c r="AB3" s="19"/>
      <c r="AC3" s="19"/>
      <c r="AD3" s="19"/>
      <c r="AE3" s="19"/>
      <c r="AF3" s="19"/>
      <c r="AG3" s="19"/>
      <c r="AH3" s="19"/>
      <c r="AI3" s="19"/>
      <c r="AJ3" s="19"/>
      <c r="AK3" s="19"/>
      <c r="AL3" s="19"/>
      <c r="AM3" s="19"/>
      <c r="AN3" s="19"/>
      <c r="AO3" s="19"/>
      <c r="AP3" s="20"/>
    </row>
    <row r="4" spans="1:42" x14ac:dyDescent="0.25">
      <c r="B4" s="1" t="str">
        <f>IF(B3="","",HLOOKUP(B3,$B$1:$Z$2,2,0))</f>
        <v>AC</v>
      </c>
      <c r="C4" s="1" t="str">
        <f t="shared" ref="C4:Z4" si="1">IF(C3="","",HLOOKUP(C3,$B$1:$Z$2,2,0))</f>
        <v>AE</v>
      </c>
      <c r="D4" s="1" t="str">
        <f t="shared" si="1"/>
        <v/>
      </c>
      <c r="E4" s="1" t="str">
        <f t="shared" si="1"/>
        <v/>
      </c>
      <c r="F4" s="1" t="str">
        <f t="shared" si="1"/>
        <v/>
      </c>
      <c r="G4" s="1" t="str">
        <f t="shared" si="1"/>
        <v/>
      </c>
      <c r="H4" s="1" t="str">
        <f t="shared" si="1"/>
        <v/>
      </c>
      <c r="I4" s="1" t="str">
        <f t="shared" si="1"/>
        <v/>
      </c>
      <c r="J4" s="1" t="str">
        <f t="shared" si="1"/>
        <v/>
      </c>
      <c r="K4" s="1" t="str">
        <f t="shared" si="1"/>
        <v/>
      </c>
      <c r="L4" s="1" t="str">
        <f t="shared" si="1"/>
        <v/>
      </c>
      <c r="M4" s="1" t="str">
        <f t="shared" si="1"/>
        <v/>
      </c>
      <c r="N4" s="1" t="str">
        <f t="shared" si="1"/>
        <v/>
      </c>
      <c r="O4" s="1" t="str">
        <f t="shared" si="1"/>
        <v/>
      </c>
      <c r="P4" s="1" t="str">
        <f t="shared" si="1"/>
        <v/>
      </c>
      <c r="Q4" s="1" t="str">
        <f t="shared" si="1"/>
        <v/>
      </c>
      <c r="R4" s="1" t="str">
        <f t="shared" si="1"/>
        <v/>
      </c>
      <c r="S4" s="1" t="str">
        <f t="shared" si="1"/>
        <v/>
      </c>
      <c r="T4" s="1" t="str">
        <f t="shared" si="1"/>
        <v/>
      </c>
      <c r="U4" s="1" t="str">
        <f t="shared" si="1"/>
        <v/>
      </c>
      <c r="V4" s="1" t="str">
        <f t="shared" si="1"/>
        <v/>
      </c>
      <c r="W4" s="1" t="str">
        <f t="shared" si="1"/>
        <v/>
      </c>
      <c r="X4" s="1" t="str">
        <f t="shared" si="1"/>
        <v/>
      </c>
      <c r="Y4" s="1" t="str">
        <f t="shared" si="1"/>
        <v/>
      </c>
      <c r="Z4" s="1" t="str">
        <f t="shared" si="1"/>
        <v/>
      </c>
      <c r="AB4" s="19"/>
      <c r="AC4" s="19"/>
      <c r="AD4" s="19"/>
      <c r="AE4" s="19"/>
      <c r="AF4" s="19"/>
      <c r="AG4" s="19"/>
      <c r="AH4" s="19"/>
      <c r="AI4" s="19"/>
      <c r="AJ4" s="19"/>
      <c r="AK4" s="19"/>
      <c r="AL4" s="19"/>
      <c r="AM4" s="19"/>
      <c r="AN4" s="19"/>
      <c r="AO4" s="19"/>
      <c r="AP4" s="20"/>
    </row>
    <row r="5" spans="1:42" x14ac:dyDescent="0.25">
      <c r="AB5" s="19"/>
      <c r="AC5" s="19"/>
      <c r="AD5" s="19"/>
      <c r="AE5" s="19"/>
      <c r="AF5" s="19"/>
      <c r="AG5" s="19"/>
      <c r="AH5" s="19"/>
      <c r="AI5" s="19"/>
      <c r="AJ5" s="19"/>
      <c r="AK5" s="19"/>
      <c r="AL5" s="19"/>
      <c r="AM5" s="19"/>
      <c r="AN5" s="19"/>
      <c r="AO5" s="19"/>
      <c r="AP5" s="20"/>
    </row>
    <row r="6" spans="1:42" x14ac:dyDescent="0.25">
      <c r="AB6" s="19"/>
      <c r="AC6" s="19"/>
      <c r="AD6" s="19"/>
      <c r="AE6" s="19"/>
      <c r="AF6" s="19"/>
      <c r="AG6" s="19"/>
      <c r="AH6" s="19"/>
      <c r="AI6" s="19"/>
      <c r="AJ6" s="19"/>
      <c r="AK6" s="19"/>
      <c r="AL6" s="19"/>
      <c r="AM6" s="19"/>
      <c r="AN6" s="19"/>
      <c r="AO6" s="19"/>
      <c r="AP6" s="20"/>
    </row>
    <row r="7" spans="1:42" x14ac:dyDescent="0.25">
      <c r="A7" s="1" t="str">
        <f>IF(MODEL_MATRIX!B1="","",MODEL_MATRIX!B1)</f>
        <v>Y</v>
      </c>
      <c r="B7" s="1" t="str">
        <f>O8</f>
        <v>A</v>
      </c>
      <c r="C7" s="1" t="str">
        <f>N8</f>
        <v>C</v>
      </c>
      <c r="E7" t="str">
        <f>B7</f>
        <v>A</v>
      </c>
      <c r="F7" t="str">
        <f>C7</f>
        <v>C</v>
      </c>
      <c r="I7" t="str">
        <f>B7</f>
        <v>A</v>
      </c>
      <c r="J7" t="str">
        <f>C7</f>
        <v>C</v>
      </c>
      <c r="K7" t="s">
        <v>15</v>
      </c>
      <c r="O7" s="1" t="str">
        <f>IF(AE1="",B4,AE1)</f>
        <v>AC</v>
      </c>
      <c r="P7" t="str">
        <f>N8</f>
        <v>C</v>
      </c>
      <c r="AB7" s="19"/>
      <c r="AC7" s="19"/>
      <c r="AD7" s="19"/>
      <c r="AE7" s="19"/>
      <c r="AF7" s="19"/>
      <c r="AG7" s="19"/>
      <c r="AH7" s="19"/>
      <c r="AI7" s="19"/>
      <c r="AJ7" s="19"/>
      <c r="AK7" s="19"/>
      <c r="AL7" s="19"/>
      <c r="AM7" s="19"/>
      <c r="AN7" s="19"/>
      <c r="AO7" s="19"/>
      <c r="AP7" s="20"/>
    </row>
    <row r="8" spans="1:42" x14ac:dyDescent="0.25">
      <c r="A8" s="1">
        <f>IF(MODEL_MATRIX!B2="","",MODEL_MATRIX!B2)</f>
        <v>4.2919815187500001</v>
      </c>
      <c r="B8" s="1">
        <f>IF(OR(B$7="",ISERROR($A8)),"",HLOOKUP(B$7,MODEL_MATRIX!$C$1:$AA$71,ROW()-ROW(A$7)+1,0))</f>
        <v>-1</v>
      </c>
      <c r="C8" s="1">
        <f>IF(OR(C$7="",ISERROR($A8)),"",HLOOKUP(C$7,MODEL_MATRIX!$C$1:$AA$71,ROW()-ROW(B$7)+1,0))</f>
        <v>-1</v>
      </c>
      <c r="E8">
        <f>IF(E7="","",HLOOKUP(E7,MODEL!$A$13:$Y$14,2,0))</f>
        <v>2</v>
      </c>
      <c r="F8">
        <f>IF(F7="","",HLOOKUP(F7,MODEL!$A$13:$Y$14,2,0))</f>
        <v>2</v>
      </c>
      <c r="I8">
        <f>AVERAGE(B8:B77)</f>
        <v>0</v>
      </c>
      <c r="J8">
        <f>AVERAGE(C8:C77)</f>
        <v>0</v>
      </c>
      <c r="K8">
        <f>MIN(A8:A77)</f>
        <v>3.8313652687499999</v>
      </c>
      <c r="N8" t="str">
        <f>MID(O7,2,1)</f>
        <v>C</v>
      </c>
      <c r="O8" t="str">
        <f>MID(O7,1,1)</f>
        <v>A</v>
      </c>
      <c r="P8" cm="1">
        <f t="array" ref="P8:X8">TRANSPOSE(N9:N17)</f>
        <v>-1</v>
      </c>
      <c r="Q8">
        <v>1</v>
      </c>
      <c r="R8" t="e">
        <v>#N/A</v>
      </c>
      <c r="S8" t="e">
        <v>#N/A</v>
      </c>
      <c r="T8" t="e">
        <v>#N/A</v>
      </c>
      <c r="U8" t="e">
        <v>#N/A</v>
      </c>
      <c r="V8" t="e">
        <v>#N/A</v>
      </c>
      <c r="W8" t="e">
        <v>#N/A</v>
      </c>
      <c r="X8" t="e">
        <v>#N/A</v>
      </c>
      <c r="AB8" s="19"/>
      <c r="AC8" s="19"/>
      <c r="AD8" s="19"/>
      <c r="AE8" s="19"/>
      <c r="AF8" s="19"/>
      <c r="AG8" s="19"/>
      <c r="AH8" s="19"/>
      <c r="AI8" s="19"/>
      <c r="AJ8" s="19"/>
      <c r="AK8" s="19"/>
      <c r="AL8" s="19"/>
      <c r="AM8" s="19"/>
      <c r="AN8" s="19"/>
      <c r="AO8" s="19"/>
      <c r="AP8" s="20"/>
    </row>
    <row r="9" spans="1:42" x14ac:dyDescent="0.25">
      <c r="A9" s="1">
        <f>IF(MODEL_MATRIX!B3="","",MODEL_MATRIX!B3)</f>
        <v>4.00793976875</v>
      </c>
      <c r="B9" s="1">
        <f>IF(OR(B$7="",ISERROR($A9)),"",HLOOKUP(B$7,MODEL_MATRIX!$C$1:$AA$71,ROW()-ROW(A$7)+1,0))</f>
        <v>1</v>
      </c>
      <c r="C9" s="1">
        <f>IF(OR(C$7="",ISERROR($A9)),"",HLOOKUP(C$7,MODEL_MATRIX!$C$1:$AA$71,ROW()-ROW(B$7)+1,0))</f>
        <v>-1</v>
      </c>
      <c r="E9" t="str">
        <f t="shared" ref="E9:F9" si="2">IF(E7="","",E7)</f>
        <v>A</v>
      </c>
      <c r="F9" t="str">
        <f t="shared" si="2"/>
        <v>C</v>
      </c>
      <c r="I9">
        <f>I8</f>
        <v>0</v>
      </c>
      <c r="J9">
        <f>J8</f>
        <v>0</v>
      </c>
      <c r="K9">
        <f>MAX(A8:A77)</f>
        <v>8.9268260187500008</v>
      </c>
      <c r="N9">
        <f t="shared" ref="N9:O17" si="3">HLOOKUP(N$8,$E$9:$F$18,ROW()-ROW($O$7),0)</f>
        <v>-1</v>
      </c>
      <c r="O9">
        <f t="shared" si="3"/>
        <v>-1</v>
      </c>
      <c r="P9">
        <f t="array" ref="P9">IF(ISERROR(P$8&amp;$O9),NA(),IFERROR(AVERAGE(IF($B$8:$B$77=$O9,IF($C$8:$C$77=P$8,$A$8:$A$77,""),"")),NA()))</f>
        <v>5.0216155812500007</v>
      </c>
      <c r="Q9">
        <f t="array" ref="Q9">IF(ISERROR(Q$8&amp;$O9),NA(),IFERROR(AVERAGE(IF($B$8:$B$77=$O9,IF($C$8:$C$77=Q$8,$A$8:$A$77,""),"")),NA()))</f>
        <v>7.9087287687499987</v>
      </c>
      <c r="R9" t="e">
        <f t="array" ref="R9">IF(ISERROR(R$8&amp;$O9),NA(),IFERROR(AVERAGE(IF($B$8:$B$77=$O9,IF($C$8:$C$77=R$8,$A$8:$A$77,""),"")),NA()))</f>
        <v>#N/A</v>
      </c>
      <c r="S9" t="e">
        <f t="array" ref="S9">IF(ISERROR(S$8&amp;$O9),NA(),IFERROR(AVERAGE(IF($B$8:$B$77=$O9,IF($C$8:$C$77=S$8,$A$8:$A$77,""),"")),NA()))</f>
        <v>#N/A</v>
      </c>
      <c r="T9" t="e">
        <f t="array" ref="T9">IF(ISERROR(T$8&amp;$O9),NA(),IFERROR(AVERAGE(IF($B$8:$B$77=$O9,IF($C$8:$C$77=T$8,$A$8:$A$77,""),"")),NA()))</f>
        <v>#N/A</v>
      </c>
      <c r="U9" t="e">
        <f t="array" ref="U9">IF(ISERROR(U$8&amp;$O9),NA(),IFERROR(AVERAGE(IF($B$8:$B$77=$O9,IF($C$8:$C$77=U$8,$A$8:$A$77,""),"")),NA()))</f>
        <v>#N/A</v>
      </c>
      <c r="V9" t="e">
        <f t="array" ref="V9">IF(ISERROR(V$8&amp;$O9),NA(),IFERROR(AVERAGE(IF($B$8:$B$77=$O9,IF($C$8:$C$77=V$8,$A$8:$A$77,""),"")),NA()))</f>
        <v>#N/A</v>
      </c>
      <c r="W9" t="e">
        <f t="array" ref="W9">IF(ISERROR(W$8&amp;$O9),NA(),IFERROR(AVERAGE(IF($B$8:$B$77=$O9,IF($C$8:$C$77=W$8,$A$8:$A$77,""),"")),NA()))</f>
        <v>#N/A</v>
      </c>
      <c r="X9" t="e">
        <f t="array" ref="X9">IF(ISERROR(X$8&amp;$O9),NA(),IFERROR(AVERAGE(IF($B$8:$B$77=$O9,IF($C$8:$C$77=X$8,$A$8:$A$77,""),"")),NA()))</f>
        <v>#N/A</v>
      </c>
      <c r="AB9" s="19"/>
      <c r="AC9" s="19"/>
      <c r="AD9" s="19"/>
      <c r="AE9" s="19"/>
      <c r="AF9" s="19"/>
      <c r="AG9" s="19"/>
      <c r="AH9" s="19"/>
      <c r="AI9" s="19"/>
      <c r="AJ9" s="19"/>
      <c r="AK9" s="19"/>
      <c r="AL9" s="19"/>
      <c r="AM9" s="19"/>
      <c r="AN9" s="19"/>
      <c r="AO9" s="19"/>
      <c r="AP9" s="20"/>
    </row>
    <row r="10" spans="1:42" x14ac:dyDescent="0.25">
      <c r="A10" s="1">
        <f>IF(MODEL_MATRIX!B4="","",MODEL_MATRIX!B4)</f>
        <v>5.1804760187500003</v>
      </c>
      <c r="B10" s="1">
        <f>IF(OR(B$7="",ISERROR($A10)),"",HLOOKUP(B$7,MODEL_MATRIX!$C$1:$AA$71,ROW()-ROW(A$7)+1,0))</f>
        <v>-1</v>
      </c>
      <c r="C10" s="1">
        <f>IF(OR(C$7="",ISERROR($A10)),"",HLOOKUP(C$7,MODEL_MATRIX!$C$1:$AA$71,ROW()-ROW(B$7)+1,0))</f>
        <v>-1</v>
      </c>
      <c r="E10">
        <f>IF(OR(ROW()-ROW(D$8)&gt;MAX(0,E$8)+1,E$8=""),NA(),HLOOKUP(E$9,MODEL!$A$15:$Y$24,ROW()-ROW(D$8),0))</f>
        <v>-1</v>
      </c>
      <c r="F10">
        <f>IF(OR(ROW()-ROW(E$8)&gt;MAX(0,F$8)+1,F$8=""),NA(),HLOOKUP(F$9,MODEL!$A$15:$Y$24,ROW()-ROW(E$8),0))</f>
        <v>-1</v>
      </c>
      <c r="N10">
        <f t="shared" si="3"/>
        <v>1</v>
      </c>
      <c r="O10">
        <f t="shared" si="3"/>
        <v>1</v>
      </c>
      <c r="P10">
        <f t="array" ref="P10">IF(ISERROR(P$8&amp;$O10),NA(),IFERROR(AVERAGE(IF($B$8:$B$77=$O10,IF($C$8:$C$77=P$8,$A$8:$A$77,""),"")),NA()))</f>
        <v>4.7888573624999999</v>
      </c>
      <c r="Q10">
        <f t="array" ref="Q10">IF(ISERROR(Q$8&amp;$O10),NA(),IFERROR(AVERAGE(IF($B$8:$B$77=$O10,IF($C$8:$C$77=Q$8,$A$8:$A$77,""),"")),NA()))</f>
        <v>6.2365143312499995</v>
      </c>
      <c r="R10" t="e">
        <f t="array" ref="R10">IF(ISERROR(R$8&amp;$O10),NA(),IFERROR(AVERAGE(IF($B$8:$B$77=$O10,IF($C$8:$C$77=R$8,$A$8:$A$77,""),"")),NA()))</f>
        <v>#N/A</v>
      </c>
      <c r="S10" t="e">
        <f t="array" ref="S10">IF(ISERROR(S$8&amp;$O10),NA(),IFERROR(AVERAGE(IF($B$8:$B$77=$O10,IF($C$8:$C$77=S$8,$A$8:$A$77,""),"")),NA()))</f>
        <v>#N/A</v>
      </c>
      <c r="T10" t="e">
        <f t="array" ref="T10">IF(ISERROR(T$8&amp;$O10),NA(),IFERROR(AVERAGE(IF($B$8:$B$77=$O10,IF($C$8:$C$77=T$8,$A$8:$A$77,""),"")),NA()))</f>
        <v>#N/A</v>
      </c>
      <c r="U10" t="e">
        <f t="array" ref="U10">IF(ISERROR(U$8&amp;$O10),NA(),IFERROR(AVERAGE(IF($B$8:$B$77=$O10,IF($C$8:$C$77=U$8,$A$8:$A$77,""),"")),NA()))</f>
        <v>#N/A</v>
      </c>
      <c r="V10" t="e">
        <f t="array" ref="V10">IF(ISERROR(V$8&amp;$O10),NA(),IFERROR(AVERAGE(IF($B$8:$B$77=$O10,IF($C$8:$C$77=V$8,$A$8:$A$77,""),"")),NA()))</f>
        <v>#N/A</v>
      </c>
      <c r="W10" t="e">
        <f t="array" ref="W10">IF(ISERROR(W$8&amp;$O10),NA(),IFERROR(AVERAGE(IF($B$8:$B$77=$O10,IF($C$8:$C$77=W$8,$A$8:$A$77,""),"")),NA()))</f>
        <v>#N/A</v>
      </c>
      <c r="X10" t="e">
        <f t="array" ref="X10">IF(ISERROR(X$8&amp;$O10),NA(),IFERROR(AVERAGE(IF($B$8:$B$77=$O10,IF($C$8:$C$77=X$8,$A$8:$A$77,""),"")),NA()))</f>
        <v>#N/A</v>
      </c>
      <c r="AB10" s="19"/>
      <c r="AC10" s="19"/>
      <c r="AD10" s="19"/>
      <c r="AE10" s="19"/>
      <c r="AF10" s="19"/>
      <c r="AG10" s="19"/>
      <c r="AH10" s="19"/>
      <c r="AI10" s="19"/>
      <c r="AJ10" s="19"/>
      <c r="AK10" s="19"/>
      <c r="AL10" s="19"/>
      <c r="AM10" s="19"/>
      <c r="AN10" s="19"/>
      <c r="AO10" s="19"/>
      <c r="AP10" s="20"/>
    </row>
    <row r="11" spans="1:42" x14ac:dyDescent="0.25">
      <c r="A11" s="1">
        <f>IF(MODEL_MATRIX!B5="","",MODEL_MATRIX!B5)</f>
        <v>4.6917005187500003</v>
      </c>
      <c r="B11" s="1">
        <f>IF(OR(B$7="",ISERROR($A11)),"",HLOOKUP(B$7,MODEL_MATRIX!$C$1:$AA$71,ROW()-ROW(A$7)+1,0))</f>
        <v>1</v>
      </c>
      <c r="C11" s="1">
        <f>IF(OR(C$7="",ISERROR($A11)),"",HLOOKUP(C$7,MODEL_MATRIX!$C$1:$AA$71,ROW()-ROW(B$7)+1,0))</f>
        <v>-1</v>
      </c>
      <c r="E11">
        <f>IF(OR(ROW()-ROW(D$8)&gt;MAX(0,E$8)+1,E$8=""),NA(),HLOOKUP(E$9,MODEL!$A$15:$Y$24,ROW()-ROW(D$8),0))</f>
        <v>1</v>
      </c>
      <c r="F11">
        <f>IF(OR(ROW()-ROW(E$8)&gt;MAX(0,F$8)+1,F$8=""),NA(),HLOOKUP(F$9,MODEL!$A$15:$Y$24,ROW()-ROW(E$8),0))</f>
        <v>1</v>
      </c>
      <c r="N11" t="e">
        <f t="shared" si="3"/>
        <v>#N/A</v>
      </c>
      <c r="O11" t="e">
        <f t="shared" si="3"/>
        <v>#N/A</v>
      </c>
      <c r="P11" t="e">
        <f t="array" ref="P11">IF(ISERROR(P$8&amp;$O11),NA(),IFERROR(AVERAGE(IF($B$8:$B$77=$O11,IF($C$8:$C$77=P$8,$A$8:$A$77,""),"")),NA()))</f>
        <v>#N/A</v>
      </c>
      <c r="Q11" t="e">
        <f t="array" ref="Q11">IF(ISERROR(Q$8&amp;$O11),NA(),IFERROR(AVERAGE(IF($B$8:$B$77=$O11,IF($C$8:$C$77=Q$8,$A$8:$A$77,""),"")),NA()))</f>
        <v>#N/A</v>
      </c>
      <c r="R11" t="e">
        <f t="array" ref="R11">IF(ISERROR(R$8&amp;$O11),NA(),IFERROR(AVERAGE(IF($B$8:$B$77=$O11,IF($C$8:$C$77=R$8,$A$8:$A$77,""),"")),NA()))</f>
        <v>#N/A</v>
      </c>
      <c r="S11" t="e">
        <f t="array" ref="S11">IF(ISERROR(S$8&amp;$O11),NA(),IFERROR(AVERAGE(IF($B$8:$B$77=$O11,IF($C$8:$C$77=S$8,$A$8:$A$77,""),"")),NA()))</f>
        <v>#N/A</v>
      </c>
      <c r="T11" t="e">
        <f t="array" ref="T11">IF(ISERROR(T$8&amp;$O11),NA(),IFERROR(AVERAGE(IF($B$8:$B$77=$O11,IF($C$8:$C$77=T$8,$A$8:$A$77,""),"")),NA()))</f>
        <v>#N/A</v>
      </c>
      <c r="U11" t="e">
        <f t="array" ref="U11">IF(ISERROR(U$8&amp;$O11),NA(),IFERROR(AVERAGE(IF($B$8:$B$77=$O11,IF($C$8:$C$77=U$8,$A$8:$A$77,""),"")),NA()))</f>
        <v>#N/A</v>
      </c>
      <c r="V11" t="e">
        <f t="array" ref="V11">IF(ISERROR(V$8&amp;$O11),NA(),IFERROR(AVERAGE(IF($B$8:$B$77=$O11,IF($C$8:$C$77=V$8,$A$8:$A$77,""),"")),NA()))</f>
        <v>#N/A</v>
      </c>
      <c r="W11" t="e">
        <f t="array" ref="W11">IF(ISERROR(W$8&amp;$O11),NA(),IFERROR(AVERAGE(IF($B$8:$B$77=$O11,IF($C$8:$C$77=W$8,$A$8:$A$77,""),"")),NA()))</f>
        <v>#N/A</v>
      </c>
      <c r="X11" t="e">
        <f t="array" ref="X11">IF(ISERROR(X$8&amp;$O11),NA(),IFERROR(AVERAGE(IF($B$8:$B$77=$O11,IF($C$8:$C$77=X$8,$A$8:$A$77,""),"")),NA()))</f>
        <v>#N/A</v>
      </c>
      <c r="AB11" s="19"/>
      <c r="AC11" s="19"/>
      <c r="AD11" s="19"/>
      <c r="AE11" s="19"/>
      <c r="AF11" s="19"/>
      <c r="AG11" s="19"/>
      <c r="AH11" s="19"/>
      <c r="AI11" s="19"/>
      <c r="AJ11" s="19"/>
      <c r="AK11" s="19"/>
      <c r="AL11" s="19"/>
      <c r="AM11" s="19"/>
      <c r="AN11" s="19"/>
      <c r="AO11" s="19"/>
      <c r="AP11" s="20"/>
    </row>
    <row r="12" spans="1:42" x14ac:dyDescent="0.25">
      <c r="A12" s="1">
        <f>IF(MODEL_MATRIX!B6="","",MODEL_MATRIX!B6)</f>
        <v>8.5331880187499998</v>
      </c>
      <c r="B12" s="1">
        <f>IF(OR(B$7="",ISERROR($A12)),"",HLOOKUP(B$7,MODEL_MATRIX!$C$1:$AA$71,ROW()-ROW(A$7)+1,0))</f>
        <v>-1</v>
      </c>
      <c r="C12" s="1">
        <f>IF(OR(C$7="",ISERROR($A12)),"",HLOOKUP(C$7,MODEL_MATRIX!$C$1:$AA$71,ROW()-ROW(B$7)+1,0))</f>
        <v>1</v>
      </c>
      <c r="E12" t="e">
        <f>IF(OR(ROW()-ROW(D$8)&gt;MAX(0,E$8)+1,E$8=""),NA(),HLOOKUP(E$9,MODEL!$A$15:$Y$24,ROW()-ROW(D$8),0))</f>
        <v>#N/A</v>
      </c>
      <c r="F12" t="e">
        <f>IF(OR(ROW()-ROW(E$8)&gt;MAX(0,F$8)+1,F$8=""),NA(),HLOOKUP(F$9,MODEL!$A$15:$Y$24,ROW()-ROW(E$8),0))</f>
        <v>#N/A</v>
      </c>
      <c r="N12" t="e">
        <f t="shared" si="3"/>
        <v>#N/A</v>
      </c>
      <c r="O12" t="e">
        <f t="shared" si="3"/>
        <v>#N/A</v>
      </c>
      <c r="P12" t="e">
        <f t="array" ref="P12">IF(ISERROR(P$8&amp;$O12),NA(),IFERROR(AVERAGE(IF($B$8:$B$77=$O12,IF($C$8:$C$77=P$8,$A$8:$A$77,""),"")),NA()))</f>
        <v>#N/A</v>
      </c>
      <c r="Q12" t="e">
        <f t="array" ref="Q12">IF(ISERROR(Q$8&amp;$O12),NA(),IFERROR(AVERAGE(IF($B$8:$B$77=$O12,IF($C$8:$C$77=Q$8,$A$8:$A$77,""),"")),NA()))</f>
        <v>#N/A</v>
      </c>
      <c r="R12" t="e">
        <f t="array" ref="R12">IF(ISERROR(R$8&amp;$O12),NA(),IFERROR(AVERAGE(IF($B$8:$B$77=$O12,IF($C$8:$C$77=R$8,$A$8:$A$77,""),"")),NA()))</f>
        <v>#N/A</v>
      </c>
      <c r="S12" t="e">
        <f t="array" ref="S12">IF(ISERROR(S$8&amp;$O12),NA(),IFERROR(AVERAGE(IF($B$8:$B$77=$O12,IF($C$8:$C$77=S$8,$A$8:$A$77,""),"")),NA()))</f>
        <v>#N/A</v>
      </c>
      <c r="T12" t="e">
        <f t="array" ref="T12">IF(ISERROR(T$8&amp;$O12),NA(),IFERROR(AVERAGE(IF($B$8:$B$77=$O12,IF($C$8:$C$77=T$8,$A$8:$A$77,""),"")),NA()))</f>
        <v>#N/A</v>
      </c>
      <c r="U12" t="e">
        <f t="array" ref="U12">IF(ISERROR(U$8&amp;$O12),NA(),IFERROR(AVERAGE(IF($B$8:$B$77=$O12,IF($C$8:$C$77=U$8,$A$8:$A$77,""),"")),NA()))</f>
        <v>#N/A</v>
      </c>
      <c r="V12" t="e">
        <f t="array" ref="V12">IF(ISERROR(V$8&amp;$O12),NA(),IFERROR(AVERAGE(IF($B$8:$B$77=$O12,IF($C$8:$C$77=V$8,$A$8:$A$77,""),"")),NA()))</f>
        <v>#N/A</v>
      </c>
      <c r="W12" t="e">
        <f t="array" ref="W12">IF(ISERROR(W$8&amp;$O12),NA(),IFERROR(AVERAGE(IF($B$8:$B$77=$O12,IF($C$8:$C$77=W$8,$A$8:$A$77,""),"")),NA()))</f>
        <v>#N/A</v>
      </c>
      <c r="X12" t="e">
        <f t="array" ref="X12">IF(ISERROR(X$8&amp;$O12),NA(),IFERROR(AVERAGE(IF($B$8:$B$77=$O12,IF($C$8:$C$77=X$8,$A$8:$A$77,""),"")),NA()))</f>
        <v>#N/A</v>
      </c>
      <c r="AB12" s="19"/>
      <c r="AC12" s="19"/>
      <c r="AD12" s="19"/>
      <c r="AE12" s="19"/>
      <c r="AF12" s="19"/>
      <c r="AG12" s="19"/>
      <c r="AH12" s="19"/>
      <c r="AI12" s="19"/>
      <c r="AJ12" s="19"/>
      <c r="AK12" s="19"/>
      <c r="AL12" s="19"/>
      <c r="AM12" s="19"/>
      <c r="AN12" s="19"/>
      <c r="AO12" s="19"/>
      <c r="AP12" s="20"/>
    </row>
    <row r="13" spans="1:42" x14ac:dyDescent="0.25">
      <c r="A13" s="1">
        <f>IF(MODEL_MATRIX!B7="","",MODEL_MATRIX!B7)</f>
        <v>4.3121690187499997</v>
      </c>
      <c r="B13" s="1">
        <f>IF(OR(B$7="",ISERROR($A13)),"",HLOOKUP(B$7,MODEL_MATRIX!$C$1:$AA$71,ROW()-ROW(A$7)+1,0))</f>
        <v>1</v>
      </c>
      <c r="C13" s="1">
        <f>IF(OR(C$7="",ISERROR($A13)),"",HLOOKUP(C$7,MODEL_MATRIX!$C$1:$AA$71,ROW()-ROW(B$7)+1,0))</f>
        <v>1</v>
      </c>
      <c r="E13" t="e">
        <f>IF(OR(ROW()-ROW(D$8)&gt;MAX(0,E$8)+1,E$8=""),NA(),HLOOKUP(E$9,MODEL!$A$15:$Y$24,ROW()-ROW(D$8),0))</f>
        <v>#N/A</v>
      </c>
      <c r="F13" t="e">
        <f>IF(OR(ROW()-ROW(E$8)&gt;MAX(0,F$8)+1,F$8=""),NA(),HLOOKUP(F$9,MODEL!$A$15:$Y$24,ROW()-ROW(E$8),0))</f>
        <v>#N/A</v>
      </c>
      <c r="N13" t="e">
        <f t="shared" si="3"/>
        <v>#N/A</v>
      </c>
      <c r="O13" t="e">
        <f t="shared" si="3"/>
        <v>#N/A</v>
      </c>
      <c r="P13" t="e">
        <f t="array" ref="P13">IF(ISERROR(P$8&amp;$O13),NA(),IFERROR(AVERAGE(IF($B$8:$B$77=$O13,IF($C$8:$C$77=P$8,$A$8:$A$77,""),"")),NA()))</f>
        <v>#N/A</v>
      </c>
      <c r="Q13" t="e">
        <f t="array" ref="Q13">IF(ISERROR(Q$8&amp;$O13),NA(),IFERROR(AVERAGE(IF($B$8:$B$77=$O13,IF($C$8:$C$77=Q$8,$A$8:$A$77,""),"")),NA()))</f>
        <v>#N/A</v>
      </c>
      <c r="R13" t="e">
        <f t="array" ref="R13">IF(ISERROR(R$8&amp;$O13),NA(),IFERROR(AVERAGE(IF($B$8:$B$77=$O13,IF($C$8:$C$77=R$8,$A$8:$A$77,""),"")),NA()))</f>
        <v>#N/A</v>
      </c>
      <c r="S13" t="e">
        <f t="array" ref="S13">IF(ISERROR(S$8&amp;$O13),NA(),IFERROR(AVERAGE(IF($B$8:$B$77=$O13,IF($C$8:$C$77=S$8,$A$8:$A$77,""),"")),NA()))</f>
        <v>#N/A</v>
      </c>
      <c r="T13" t="e">
        <f t="array" ref="T13">IF(ISERROR(T$8&amp;$O13),NA(),IFERROR(AVERAGE(IF($B$8:$B$77=$O13,IF($C$8:$C$77=T$8,$A$8:$A$77,""),"")),NA()))</f>
        <v>#N/A</v>
      </c>
      <c r="U13" t="e">
        <f t="array" ref="U13">IF(ISERROR(U$8&amp;$O13),NA(),IFERROR(AVERAGE(IF($B$8:$B$77=$O13,IF($C$8:$C$77=U$8,$A$8:$A$77,""),"")),NA()))</f>
        <v>#N/A</v>
      </c>
      <c r="V13" t="e">
        <f t="array" ref="V13">IF(ISERROR(V$8&amp;$O13),NA(),IFERROR(AVERAGE(IF($B$8:$B$77=$O13,IF($C$8:$C$77=V$8,$A$8:$A$77,""),"")),NA()))</f>
        <v>#N/A</v>
      </c>
      <c r="W13" t="e">
        <f t="array" ref="W13">IF(ISERROR(W$8&amp;$O13),NA(),IFERROR(AVERAGE(IF($B$8:$B$77=$O13,IF($C$8:$C$77=W$8,$A$8:$A$77,""),"")),NA()))</f>
        <v>#N/A</v>
      </c>
      <c r="X13" t="e">
        <f t="array" ref="X13">IF(ISERROR(X$8&amp;$O13),NA(),IFERROR(AVERAGE(IF($B$8:$B$77=$O13,IF($C$8:$C$77=X$8,$A$8:$A$77,""),"")),NA()))</f>
        <v>#N/A</v>
      </c>
      <c r="AB13" s="19"/>
      <c r="AC13" s="19"/>
      <c r="AD13" s="19"/>
      <c r="AE13" s="19"/>
      <c r="AF13" s="19"/>
      <c r="AG13" s="19"/>
      <c r="AH13" s="19"/>
      <c r="AI13" s="19"/>
      <c r="AJ13" s="19"/>
      <c r="AK13" s="19"/>
      <c r="AL13" s="19"/>
      <c r="AM13" s="19"/>
      <c r="AN13" s="19"/>
      <c r="AO13" s="19"/>
      <c r="AP13" s="20"/>
    </row>
    <row r="14" spans="1:42" x14ac:dyDescent="0.25">
      <c r="A14" s="1">
        <f>IF(MODEL_MATRIX!B8="","",MODEL_MATRIX!B8)</f>
        <v>8.3170460187500002</v>
      </c>
      <c r="B14" s="1">
        <f>IF(OR(B$7="",ISERROR($A14)),"",HLOOKUP(B$7,MODEL_MATRIX!$C$1:$AA$71,ROW()-ROW(A$7)+1,0))</f>
        <v>-1</v>
      </c>
      <c r="C14" s="1">
        <f>IF(OR(C$7="",ISERROR($A14)),"",HLOOKUP(C$7,MODEL_MATRIX!$C$1:$AA$71,ROW()-ROW(B$7)+1,0))</f>
        <v>1</v>
      </c>
      <c r="E14" t="e">
        <f>IF(OR(ROW()-ROW(D$8)&gt;MAX(0,E$8)+1,E$8=""),NA(),HLOOKUP(E$9,MODEL!$A$15:$Y$24,ROW()-ROW(D$8),0))</f>
        <v>#N/A</v>
      </c>
      <c r="F14" t="e">
        <f>IF(OR(ROW()-ROW(E$8)&gt;MAX(0,F$8)+1,F$8=""),NA(),HLOOKUP(F$9,MODEL!$A$15:$Y$24,ROW()-ROW(E$8),0))</f>
        <v>#N/A</v>
      </c>
      <c r="N14" t="e">
        <f t="shared" si="3"/>
        <v>#N/A</v>
      </c>
      <c r="O14" t="e">
        <f t="shared" si="3"/>
        <v>#N/A</v>
      </c>
      <c r="P14" t="e">
        <f t="array" ref="P14">IF(ISERROR(P$8&amp;$O14),NA(),IFERROR(AVERAGE(IF($B$8:$B$77=$O14,IF($C$8:$C$77=P$8,$A$8:$A$77,""),"")),NA()))</f>
        <v>#N/A</v>
      </c>
      <c r="Q14" t="e">
        <f t="array" ref="Q14">IF(ISERROR(Q$8&amp;$O14),NA(),IFERROR(AVERAGE(IF($B$8:$B$77=$O14,IF($C$8:$C$77=Q$8,$A$8:$A$77,""),"")),NA()))</f>
        <v>#N/A</v>
      </c>
      <c r="R14" t="e">
        <f t="array" ref="R14">IF(ISERROR(R$8&amp;$O14),NA(),IFERROR(AVERAGE(IF($B$8:$B$77=$O14,IF($C$8:$C$77=R$8,$A$8:$A$77,""),"")),NA()))</f>
        <v>#N/A</v>
      </c>
      <c r="S14" t="e">
        <f t="array" ref="S14">IF(ISERROR(S$8&amp;$O14),NA(),IFERROR(AVERAGE(IF($B$8:$B$77=$O14,IF($C$8:$C$77=S$8,$A$8:$A$77,""),"")),NA()))</f>
        <v>#N/A</v>
      </c>
      <c r="T14" t="e">
        <f t="array" ref="T14">IF(ISERROR(T$8&amp;$O14),NA(),IFERROR(AVERAGE(IF($B$8:$B$77=$O14,IF($C$8:$C$77=T$8,$A$8:$A$77,""),"")),NA()))</f>
        <v>#N/A</v>
      </c>
      <c r="U14" t="e">
        <f t="array" ref="U14">IF(ISERROR(U$8&amp;$O14),NA(),IFERROR(AVERAGE(IF($B$8:$B$77=$O14,IF($C$8:$C$77=U$8,$A$8:$A$77,""),"")),NA()))</f>
        <v>#N/A</v>
      </c>
      <c r="V14" t="e">
        <f t="array" ref="V14">IF(ISERROR(V$8&amp;$O14),NA(),IFERROR(AVERAGE(IF($B$8:$B$77=$O14,IF($C$8:$C$77=V$8,$A$8:$A$77,""),"")),NA()))</f>
        <v>#N/A</v>
      </c>
      <c r="W14" t="e">
        <f t="array" ref="W14">IF(ISERROR(W$8&amp;$O14),NA(),IFERROR(AVERAGE(IF($B$8:$B$77=$O14,IF($C$8:$C$77=W$8,$A$8:$A$77,""),"")),NA()))</f>
        <v>#N/A</v>
      </c>
      <c r="X14" t="e">
        <f t="array" ref="X14">IF(ISERROR(X$8&amp;$O14),NA(),IFERROR(AVERAGE(IF($B$8:$B$77=$O14,IF($C$8:$C$77=X$8,$A$8:$A$77,""),"")),NA()))</f>
        <v>#N/A</v>
      </c>
      <c r="AB14" s="19"/>
      <c r="AC14" s="19"/>
      <c r="AD14" s="19"/>
      <c r="AE14" s="19"/>
      <c r="AF14" s="19"/>
      <c r="AG14" s="19"/>
      <c r="AH14" s="19"/>
      <c r="AI14" s="19"/>
      <c r="AJ14" s="19"/>
      <c r="AK14" s="19"/>
      <c r="AL14" s="19"/>
      <c r="AM14" s="19"/>
      <c r="AN14" s="19"/>
      <c r="AO14" s="19"/>
      <c r="AP14" s="20"/>
    </row>
    <row r="15" spans="1:42" x14ac:dyDescent="0.25">
      <c r="A15" s="1">
        <f>IF(MODEL_MATRIX!B9="","",MODEL_MATRIX!B9)</f>
        <v>4.2429670187499999</v>
      </c>
      <c r="B15" s="1">
        <f>IF(OR(B$7="",ISERROR($A15)),"",HLOOKUP(B$7,MODEL_MATRIX!$C$1:$AA$71,ROW()-ROW(A$7)+1,0))</f>
        <v>1</v>
      </c>
      <c r="C15" s="1">
        <f>IF(OR(C$7="",ISERROR($A15)),"",HLOOKUP(C$7,MODEL_MATRIX!$C$1:$AA$71,ROW()-ROW(B$7)+1,0))</f>
        <v>1</v>
      </c>
      <c r="E15" t="e">
        <f>IF(OR(ROW()-ROW(D$8)&gt;MAX(0,E$8)+1,E$8=""),NA(),HLOOKUP(E$9,MODEL!$A$15:$Y$24,ROW()-ROW(D$8),0))</f>
        <v>#N/A</v>
      </c>
      <c r="F15" t="e">
        <f>IF(OR(ROW()-ROW(E$8)&gt;MAX(0,F$8)+1,F$8=""),NA(),HLOOKUP(F$9,MODEL!$A$15:$Y$24,ROW()-ROW(E$8),0))</f>
        <v>#N/A</v>
      </c>
      <c r="N15" t="e">
        <f t="shared" si="3"/>
        <v>#N/A</v>
      </c>
      <c r="O15" t="e">
        <f t="shared" si="3"/>
        <v>#N/A</v>
      </c>
      <c r="P15" t="e">
        <f t="array" ref="P15">IF(ISERROR(P$8&amp;$O15),NA(),IFERROR(AVERAGE(IF($B$8:$B$77=$O15,IF($C$8:$C$77=P$8,$A$8:$A$77,""),"")),NA()))</f>
        <v>#N/A</v>
      </c>
      <c r="Q15" t="e">
        <f t="array" ref="Q15">IF(ISERROR(Q$8&amp;$O15),NA(),IFERROR(AVERAGE(IF($B$8:$B$77=$O15,IF($C$8:$C$77=Q$8,$A$8:$A$77,""),"")),NA()))</f>
        <v>#N/A</v>
      </c>
      <c r="R15" t="e">
        <f t="array" ref="R15">IF(ISERROR(R$8&amp;$O15),NA(),IFERROR(AVERAGE(IF($B$8:$B$77=$O15,IF($C$8:$C$77=R$8,$A$8:$A$77,""),"")),NA()))</f>
        <v>#N/A</v>
      </c>
      <c r="S15" t="e">
        <f t="array" ref="S15">IF(ISERROR(S$8&amp;$O15),NA(),IFERROR(AVERAGE(IF($B$8:$B$77=$O15,IF($C$8:$C$77=S$8,$A$8:$A$77,""),"")),NA()))</f>
        <v>#N/A</v>
      </c>
      <c r="T15" t="e">
        <f t="array" ref="T15">IF(ISERROR(T$8&amp;$O15),NA(),IFERROR(AVERAGE(IF($B$8:$B$77=$O15,IF($C$8:$C$77=T$8,$A$8:$A$77,""),"")),NA()))</f>
        <v>#N/A</v>
      </c>
      <c r="U15" t="e">
        <f t="array" ref="U15">IF(ISERROR(U$8&amp;$O15),NA(),IFERROR(AVERAGE(IF($B$8:$B$77=$O15,IF($C$8:$C$77=U$8,$A$8:$A$77,""),"")),NA()))</f>
        <v>#N/A</v>
      </c>
      <c r="V15" t="e">
        <f t="array" ref="V15">IF(ISERROR(V$8&amp;$O15),NA(),IFERROR(AVERAGE(IF($B$8:$B$77=$O15,IF($C$8:$C$77=V$8,$A$8:$A$77,""),"")),NA()))</f>
        <v>#N/A</v>
      </c>
      <c r="W15" t="e">
        <f t="array" ref="W15">IF(ISERROR(W$8&amp;$O15),NA(),IFERROR(AVERAGE(IF($B$8:$B$77=$O15,IF($C$8:$C$77=W$8,$A$8:$A$77,""),"")),NA()))</f>
        <v>#N/A</v>
      </c>
      <c r="X15" t="e">
        <f t="array" ref="X15">IF(ISERROR(X$8&amp;$O15),NA(),IFERROR(AVERAGE(IF($B$8:$B$77=$O15,IF($C$8:$C$77=X$8,$A$8:$A$77,""),"")),NA()))</f>
        <v>#N/A</v>
      </c>
      <c r="AB15" s="19"/>
      <c r="AC15" s="19"/>
      <c r="AD15" s="19"/>
      <c r="AE15" s="19"/>
      <c r="AF15" s="19"/>
      <c r="AG15" s="19"/>
      <c r="AH15" s="19"/>
      <c r="AI15" s="19"/>
      <c r="AJ15" s="19"/>
      <c r="AK15" s="19"/>
      <c r="AL15" s="19"/>
      <c r="AM15" s="19"/>
      <c r="AN15" s="19"/>
      <c r="AO15" s="19"/>
      <c r="AP15" s="20"/>
    </row>
    <row r="16" spans="1:42" x14ac:dyDescent="0.25">
      <c r="A16" s="1">
        <f>IF(MODEL_MATRIX!B10="","",MODEL_MATRIX!B10)</f>
        <v>4.7379400187499998</v>
      </c>
      <c r="B16" s="1">
        <f>IF(OR(B$7="",ISERROR($A16)),"",HLOOKUP(B$7,MODEL_MATRIX!$C$1:$AA$71,ROW()-ROW(A$7)+1,0))</f>
        <v>-1</v>
      </c>
      <c r="C16" s="1">
        <f>IF(OR(C$7="",ISERROR($A16)),"",HLOOKUP(C$7,MODEL_MATRIX!$C$1:$AA$71,ROW()-ROW(B$7)+1,0))</f>
        <v>-1</v>
      </c>
      <c r="E16" t="e">
        <f>IF(OR(ROW()-ROW(D$8)&gt;MAX(0,E$8)+1,E$8=""),NA(),HLOOKUP(E$9,MODEL!$A$15:$Y$24,ROW()-ROW(D$8),0))</f>
        <v>#N/A</v>
      </c>
      <c r="F16" t="e">
        <f>IF(OR(ROW()-ROW(E$8)&gt;MAX(0,F$8)+1,F$8=""),NA(),HLOOKUP(F$9,MODEL!$A$15:$Y$24,ROW()-ROW(E$8),0))</f>
        <v>#N/A</v>
      </c>
      <c r="N16" t="e">
        <f t="shared" si="3"/>
        <v>#N/A</v>
      </c>
      <c r="O16" t="e">
        <f t="shared" si="3"/>
        <v>#N/A</v>
      </c>
      <c r="P16" t="e">
        <f t="array" ref="P16">IF(ISERROR(P$8&amp;$O16),NA(),IFERROR(AVERAGE(IF($B$8:$B$77=$O16,IF($C$8:$C$77=P$8,$A$8:$A$77,""),"")),NA()))</f>
        <v>#N/A</v>
      </c>
      <c r="Q16" t="e">
        <f t="array" ref="Q16">IF(ISERROR(Q$8&amp;$O16),NA(),IFERROR(AVERAGE(IF($B$8:$B$77=$O16,IF($C$8:$C$77=Q$8,$A$8:$A$77,""),"")),NA()))</f>
        <v>#N/A</v>
      </c>
      <c r="R16" t="e">
        <f t="array" ref="R16">IF(ISERROR(R$8&amp;$O16),NA(),IFERROR(AVERAGE(IF($B$8:$B$77=$O16,IF($C$8:$C$77=R$8,$A$8:$A$77,""),"")),NA()))</f>
        <v>#N/A</v>
      </c>
      <c r="S16" t="e">
        <f t="array" ref="S16">IF(ISERROR(S$8&amp;$O16),NA(),IFERROR(AVERAGE(IF($B$8:$B$77=$O16,IF($C$8:$C$77=S$8,$A$8:$A$77,""),"")),NA()))</f>
        <v>#N/A</v>
      </c>
      <c r="T16" t="e">
        <f t="array" ref="T16">IF(ISERROR(T$8&amp;$O16),NA(),IFERROR(AVERAGE(IF($B$8:$B$77=$O16,IF($C$8:$C$77=T$8,$A$8:$A$77,""),"")),NA()))</f>
        <v>#N/A</v>
      </c>
      <c r="U16" t="e">
        <f t="array" ref="U16">IF(ISERROR(U$8&amp;$O16),NA(),IFERROR(AVERAGE(IF($B$8:$B$77=$O16,IF($C$8:$C$77=U$8,$A$8:$A$77,""),"")),NA()))</f>
        <v>#N/A</v>
      </c>
      <c r="V16" t="e">
        <f t="array" ref="V16">IF(ISERROR(V$8&amp;$O16),NA(),IFERROR(AVERAGE(IF($B$8:$B$77=$O16,IF($C$8:$C$77=V$8,$A$8:$A$77,""),"")),NA()))</f>
        <v>#N/A</v>
      </c>
      <c r="W16" t="e">
        <f t="array" ref="W16">IF(ISERROR(W$8&amp;$O16),NA(),IFERROR(AVERAGE(IF($B$8:$B$77=$O16,IF($C$8:$C$77=W$8,$A$8:$A$77,""),"")),NA()))</f>
        <v>#N/A</v>
      </c>
      <c r="X16" t="e">
        <f t="array" ref="X16">IF(ISERROR(X$8&amp;$O16),NA(),IFERROR(AVERAGE(IF($B$8:$B$77=$O16,IF($C$8:$C$77=X$8,$A$8:$A$77,""),"")),NA()))</f>
        <v>#N/A</v>
      </c>
      <c r="AB16" s="19"/>
      <c r="AC16" s="19"/>
      <c r="AD16" s="19"/>
      <c r="AE16" s="19"/>
      <c r="AF16" s="19"/>
      <c r="AG16" s="19"/>
      <c r="AH16" s="19"/>
      <c r="AI16" s="19"/>
      <c r="AJ16" s="19"/>
      <c r="AK16" s="19"/>
      <c r="AL16" s="19"/>
      <c r="AM16" s="19"/>
      <c r="AN16" s="19"/>
      <c r="AO16" s="19"/>
      <c r="AP16" s="20"/>
    </row>
    <row r="17" spans="1:42" x14ac:dyDescent="0.25">
      <c r="A17" s="1">
        <f>IF(MODEL_MATRIX!B11="","",MODEL_MATRIX!B11)</f>
        <v>3.8313652687499999</v>
      </c>
      <c r="B17" s="1">
        <f>IF(OR(B$7="",ISERROR($A17)),"",HLOOKUP(B$7,MODEL_MATRIX!$C$1:$AA$71,ROW()-ROW(A$7)+1,0))</f>
        <v>1</v>
      </c>
      <c r="C17" s="1">
        <f>IF(OR(C$7="",ISERROR($A17)),"",HLOOKUP(C$7,MODEL_MATRIX!$C$1:$AA$71,ROW()-ROW(B$7)+1,0))</f>
        <v>-1</v>
      </c>
      <c r="E17" t="e">
        <f>IF(OR(ROW()-ROW(D$8)&gt;MAX(0,E$8)+1,E$8=""),NA(),HLOOKUP(E$9,MODEL!$A$15:$Y$24,ROW()-ROW(D$8),0))</f>
        <v>#N/A</v>
      </c>
      <c r="F17" t="e">
        <f>IF(OR(ROW()-ROW(E$8)&gt;MAX(0,F$8)+1,F$8=""),NA(),HLOOKUP(F$9,MODEL!$A$15:$Y$24,ROW()-ROW(E$8),0))</f>
        <v>#N/A</v>
      </c>
      <c r="N17" t="e">
        <f t="shared" si="3"/>
        <v>#N/A</v>
      </c>
      <c r="O17" t="e">
        <f t="shared" si="3"/>
        <v>#N/A</v>
      </c>
      <c r="P17" t="e">
        <f t="array" ref="P17">IF(ISERROR(P$8&amp;$O17),NA(),IFERROR(AVERAGE(IF($B$8:$B$77=$O17,IF($C$8:$C$77=P$8,$A$8:$A$77,""),"")),NA()))</f>
        <v>#N/A</v>
      </c>
      <c r="Q17" t="e">
        <f t="array" ref="Q17">IF(ISERROR(Q$8&amp;$O17),NA(),IFERROR(AVERAGE(IF($B$8:$B$77=$O17,IF($C$8:$C$77=Q$8,$A$8:$A$77,""),"")),NA()))</f>
        <v>#N/A</v>
      </c>
      <c r="R17" t="e">
        <f t="array" ref="R17">IF(ISERROR(R$8&amp;$O17),NA(),IFERROR(AVERAGE(IF($B$8:$B$77=$O17,IF($C$8:$C$77=R$8,$A$8:$A$77,""),"")),NA()))</f>
        <v>#N/A</v>
      </c>
      <c r="S17" t="e">
        <f t="array" ref="S17">IF(ISERROR(S$8&amp;$O17),NA(),IFERROR(AVERAGE(IF($B$8:$B$77=$O17,IF($C$8:$C$77=S$8,$A$8:$A$77,""),"")),NA()))</f>
        <v>#N/A</v>
      </c>
      <c r="T17" t="e">
        <f t="array" ref="T17">IF(ISERROR(T$8&amp;$O17),NA(),IFERROR(AVERAGE(IF($B$8:$B$77=$O17,IF($C$8:$C$77=T$8,$A$8:$A$77,""),"")),NA()))</f>
        <v>#N/A</v>
      </c>
      <c r="U17" t="e">
        <f t="array" ref="U17">IF(ISERROR(U$8&amp;$O17),NA(),IFERROR(AVERAGE(IF($B$8:$B$77=$O17,IF($C$8:$C$77=U$8,$A$8:$A$77,""),"")),NA()))</f>
        <v>#N/A</v>
      </c>
      <c r="V17" t="e">
        <f t="array" ref="V17">IF(ISERROR(V$8&amp;$O17),NA(),IFERROR(AVERAGE(IF($B$8:$B$77=$O17,IF($C$8:$C$77=V$8,$A$8:$A$77,""),"")),NA()))</f>
        <v>#N/A</v>
      </c>
      <c r="W17" t="e">
        <f t="array" ref="W17">IF(ISERROR(W$8&amp;$O17),NA(),IFERROR(AVERAGE(IF($B$8:$B$77=$O17,IF($C$8:$C$77=W$8,$A$8:$A$77,""),"")),NA()))</f>
        <v>#N/A</v>
      </c>
      <c r="X17" t="e">
        <f t="array" ref="X17">IF(ISERROR(X$8&amp;$O17),NA(),IFERROR(AVERAGE(IF($B$8:$B$77=$O17,IF($C$8:$C$77=X$8,$A$8:$A$77,""),"")),NA()))</f>
        <v>#N/A</v>
      </c>
      <c r="AB17" s="19"/>
      <c r="AC17" s="19"/>
      <c r="AD17" s="19"/>
      <c r="AE17" s="19"/>
      <c r="AF17" s="19"/>
      <c r="AG17" s="19"/>
      <c r="AH17" s="19"/>
      <c r="AI17" s="19"/>
      <c r="AJ17" s="19"/>
      <c r="AK17" s="19"/>
      <c r="AL17" s="19"/>
      <c r="AM17" s="19"/>
      <c r="AN17" s="19"/>
      <c r="AO17" s="19"/>
      <c r="AP17" s="20"/>
    </row>
    <row r="18" spans="1:42" x14ac:dyDescent="0.25">
      <c r="A18" s="1">
        <f>IF(MODEL_MATRIX!B12="","",MODEL_MATRIX!B12)</f>
        <v>5.4280640187499998</v>
      </c>
      <c r="B18" s="1">
        <f>IF(OR(B$7="",ISERROR($A18)),"",HLOOKUP(B$7,MODEL_MATRIX!$C$1:$AA$71,ROW()-ROW(A$7)+1,0))</f>
        <v>-1</v>
      </c>
      <c r="C18" s="1">
        <f>IF(OR(C$7="",ISERROR($A18)),"",HLOOKUP(C$7,MODEL_MATRIX!$C$1:$AA$71,ROW()-ROW(B$7)+1,0))</f>
        <v>-1</v>
      </c>
      <c r="E18" t="e">
        <f>IF(OR(ROW()-ROW(D$8)&gt;MAX(0,E$8)+1,E$8=""),NA(),HLOOKUP(E$9,MODEL!$A$15:$Y$24,ROW()-ROW(D$8),0))</f>
        <v>#N/A</v>
      </c>
      <c r="F18" t="e">
        <f>IF(OR(ROW()-ROW(E$8)&gt;MAX(0,F$8)+1,F$8=""),NA(),HLOOKUP(F$9,MODEL!$A$15:$Y$24,ROW()-ROW(E$8),0))</f>
        <v>#N/A</v>
      </c>
      <c r="P18" t="str">
        <f t="shared" ref="P18:X18" si="4">$P$7 &amp; " = " &amp; P8</f>
        <v>C = -1</v>
      </c>
      <c r="Q18" t="str">
        <f t="shared" si="4"/>
        <v>C = 1</v>
      </c>
      <c r="R18" t="e">
        <f t="shared" si="4"/>
        <v>#N/A</v>
      </c>
      <c r="S18" t="e">
        <f t="shared" si="4"/>
        <v>#N/A</v>
      </c>
      <c r="T18" t="e">
        <f t="shared" si="4"/>
        <v>#N/A</v>
      </c>
      <c r="U18" t="e">
        <f t="shared" si="4"/>
        <v>#N/A</v>
      </c>
      <c r="V18" t="e">
        <f t="shared" si="4"/>
        <v>#N/A</v>
      </c>
      <c r="W18" t="e">
        <f t="shared" si="4"/>
        <v>#N/A</v>
      </c>
      <c r="X18" t="e">
        <f t="shared" si="4"/>
        <v>#N/A</v>
      </c>
      <c r="AB18" s="19"/>
      <c r="AC18" s="19"/>
      <c r="AD18" s="19"/>
      <c r="AE18" s="19"/>
      <c r="AF18" s="19"/>
      <c r="AG18" s="19"/>
      <c r="AH18" s="19"/>
      <c r="AI18" s="19"/>
      <c r="AJ18" s="19"/>
      <c r="AK18" s="19"/>
      <c r="AL18" s="19"/>
      <c r="AM18" s="19"/>
      <c r="AN18" s="19"/>
      <c r="AO18" s="19"/>
      <c r="AP18" s="20"/>
    </row>
    <row r="19" spans="1:42" x14ac:dyDescent="0.25">
      <c r="A19" s="1">
        <f>IF(MODEL_MATRIX!B13="","",MODEL_MATRIX!B13)</f>
        <v>4.8226030187499997</v>
      </c>
      <c r="B19" s="1">
        <f>IF(OR(B$7="",ISERROR($A19)),"",HLOOKUP(B$7,MODEL_MATRIX!$C$1:$AA$71,ROW()-ROW(A$7)+1,0))</f>
        <v>1</v>
      </c>
      <c r="C19" s="1">
        <f>IF(OR(C$7="",ISERROR($A19)),"",HLOOKUP(C$7,MODEL_MATRIX!$C$1:$AA$71,ROW()-ROW(B$7)+1,0))</f>
        <v>-1</v>
      </c>
      <c r="AB19" s="19"/>
      <c r="AC19" s="19"/>
      <c r="AD19" s="19"/>
      <c r="AE19" s="19"/>
      <c r="AF19" s="19"/>
      <c r="AG19" s="19"/>
      <c r="AH19" s="19"/>
      <c r="AI19" s="19"/>
      <c r="AJ19" s="19"/>
      <c r="AK19" s="19"/>
      <c r="AL19" s="19"/>
      <c r="AM19" s="19"/>
      <c r="AN19" s="19"/>
      <c r="AO19" s="19"/>
    </row>
    <row r="20" spans="1:42" x14ac:dyDescent="0.25">
      <c r="A20" s="1">
        <f>IF(MODEL_MATRIX!B14="","",MODEL_MATRIX!B14)</f>
        <v>7.74115001875</v>
      </c>
      <c r="B20" s="1">
        <f>IF(OR(B$7="",ISERROR($A20)),"",HLOOKUP(B$7,MODEL_MATRIX!$C$1:$AA$71,ROW()-ROW(A$7)+1,0))</f>
        <v>-1</v>
      </c>
      <c r="C20" s="1">
        <f>IF(OR(C$7="",ISERROR($A20)),"",HLOOKUP(C$7,MODEL_MATRIX!$C$1:$AA$71,ROW()-ROW(B$7)+1,0))</f>
        <v>1</v>
      </c>
      <c r="O20" t="str">
        <f>N8&amp;O8</f>
        <v>CA</v>
      </c>
      <c r="P20" t="str">
        <f>N21</f>
        <v>A</v>
      </c>
      <c r="AB20" s="19"/>
      <c r="AC20" s="19"/>
      <c r="AD20" s="19"/>
      <c r="AE20" s="19"/>
      <c r="AF20" s="19"/>
      <c r="AG20" s="19"/>
      <c r="AH20" s="19"/>
      <c r="AI20" s="19"/>
      <c r="AJ20" s="19"/>
      <c r="AK20" s="19"/>
      <c r="AL20" s="19"/>
      <c r="AM20" s="19"/>
      <c r="AN20" s="19"/>
      <c r="AO20" s="19"/>
    </row>
    <row r="21" spans="1:42" x14ac:dyDescent="0.25">
      <c r="A21" s="1">
        <f>IF(MODEL_MATRIX!B15="","",MODEL_MATRIX!B15)</f>
        <v>5.2487835187499998</v>
      </c>
      <c r="B21" s="1">
        <f>IF(OR(B$7="",ISERROR($A21)),"",HLOOKUP(B$7,MODEL_MATRIX!$C$1:$AA$71,ROW()-ROW(A$7)+1,0))</f>
        <v>1</v>
      </c>
      <c r="C21" s="1">
        <f>IF(OR(C$7="",ISERROR($A21)),"",HLOOKUP(C$7,MODEL_MATRIX!$C$1:$AA$71,ROW()-ROW(B$7)+1,0))</f>
        <v>1</v>
      </c>
      <c r="N21" t="str">
        <f>MID(O20,2,1)</f>
        <v>A</v>
      </c>
      <c r="O21" t="str">
        <f>MID(O20,1,1)</f>
        <v>C</v>
      </c>
      <c r="P21" cm="1">
        <f t="array" ref="P21:X21">TRANSPOSE(N22:N30)</f>
        <v>-1</v>
      </c>
      <c r="Q21">
        <v>1</v>
      </c>
      <c r="R21" t="e">
        <v>#N/A</v>
      </c>
      <c r="S21" t="e">
        <v>#N/A</v>
      </c>
      <c r="T21" t="e">
        <v>#N/A</v>
      </c>
      <c r="U21" t="e">
        <v>#N/A</v>
      </c>
      <c r="V21" t="e">
        <v>#N/A</v>
      </c>
      <c r="W21" t="e">
        <v>#N/A</v>
      </c>
      <c r="X21" t="e">
        <v>#N/A</v>
      </c>
      <c r="AB21" s="19"/>
      <c r="AC21" s="19"/>
      <c r="AD21" s="19"/>
      <c r="AE21" s="19"/>
      <c r="AF21" s="19"/>
      <c r="AG21" s="19"/>
      <c r="AH21" s="19"/>
      <c r="AI21" s="19"/>
      <c r="AJ21" s="19"/>
      <c r="AK21" s="19"/>
      <c r="AL21" s="19"/>
      <c r="AM21" s="19"/>
      <c r="AN21" s="19"/>
      <c r="AO21" s="19"/>
    </row>
    <row r="22" spans="1:42" x14ac:dyDescent="0.25">
      <c r="A22" s="1">
        <f>IF(MODEL_MATRIX!B16="","",MODEL_MATRIX!B16)</f>
        <v>7.0982790187499996</v>
      </c>
      <c r="B22" s="1">
        <f>IF(OR(B$7="",ISERROR($A22)),"",HLOOKUP(B$7,MODEL_MATRIX!$C$1:$AA$71,ROW()-ROW(A$7)+1,0))</f>
        <v>-1</v>
      </c>
      <c r="C22" s="1">
        <f>IF(OR(C$7="",ISERROR($A22)),"",HLOOKUP(C$7,MODEL_MATRIX!$C$1:$AA$71,ROW()-ROW(B$7)+1,0))</f>
        <v>1</v>
      </c>
      <c r="N22">
        <f>HLOOKUP(N$21,$E$9:$F$18,ROW()-ROW($O$20),0)</f>
        <v>-1</v>
      </c>
      <c r="O22">
        <f>HLOOKUP(O$21,$E$9:$F$18,ROW()-ROW($O$20),0)</f>
        <v>-1</v>
      </c>
      <c r="P22">
        <f t="array" ref="P22">IF(ISERROR(P$21&amp;$O22),NA(),IFERROR(AVERAGE(IF($C$8:$C$77=$O22,IF($B$8:$B$77=P$21,$A$8:$A$77,""),"")),NA()))</f>
        <v>5.0216155812500007</v>
      </c>
      <c r="Q22">
        <f t="array" ref="Q22">IF(ISERROR(Q$21&amp;$O22),NA(),IFERROR(AVERAGE(IF($C$8:$C$77=$O22,IF($B$8:$B$77=Q$21,$A$8:$A$77,""),"")),NA()))</f>
        <v>4.7888573624999999</v>
      </c>
      <c r="R22" t="e">
        <f t="array" ref="R22">IF(ISERROR(R$21&amp;$O22),NA(),IFERROR(AVERAGE(IF($C$8:$C$77=$O22,IF($B$8:$B$77=R$21,$A$8:$A$77,""),"")),NA()))</f>
        <v>#N/A</v>
      </c>
      <c r="S22" t="e">
        <f t="array" ref="S22">IF(ISERROR(S$21&amp;$O22),NA(),IFERROR(AVERAGE(IF($C$8:$C$77=$O22,IF($B$8:$B$77=S$21,$A$8:$A$77,""),"")),NA()))</f>
        <v>#N/A</v>
      </c>
      <c r="T22" t="e">
        <f t="array" ref="T22">IF(ISERROR(T$21&amp;$O22),NA(),IFERROR(AVERAGE(IF($C$8:$C$77=$O22,IF($B$8:$B$77=T$21,$A$8:$A$77,""),"")),NA()))</f>
        <v>#N/A</v>
      </c>
      <c r="U22" t="e">
        <f t="array" ref="U22">IF(ISERROR(U$21&amp;$O22),NA(),IFERROR(AVERAGE(IF($C$8:$C$77=$O22,IF($B$8:$B$77=U$21,$A$8:$A$77,""),"")),NA()))</f>
        <v>#N/A</v>
      </c>
      <c r="V22" t="e">
        <f t="array" ref="V22">IF(ISERROR(V$21&amp;$O22),NA(),IFERROR(AVERAGE(IF($C$8:$C$77=$O22,IF($B$8:$B$77=V$21,$A$8:$A$77,""),"")),NA()))</f>
        <v>#N/A</v>
      </c>
      <c r="W22" t="e">
        <f t="array" ref="W22">IF(ISERROR(W$21&amp;$O22),NA(),IFERROR(AVERAGE(IF($C$8:$C$77=$O22,IF($B$8:$B$77=W$21,$A$8:$A$77,""),"")),NA()))</f>
        <v>#N/A</v>
      </c>
      <c r="X22" t="e">
        <f t="array" ref="X22">IF(ISERROR(X$21&amp;$O22),NA(),IFERROR(AVERAGE(IF($C$8:$C$77=$O22,IF($B$8:$B$77=X$21,$A$8:$A$77,""),"")),NA()))</f>
        <v>#N/A</v>
      </c>
      <c r="AB22" s="19"/>
      <c r="AC22" s="19"/>
      <c r="AD22" s="19"/>
      <c r="AE22" s="19"/>
      <c r="AF22" s="19"/>
      <c r="AG22" s="19"/>
      <c r="AH22" s="19"/>
      <c r="AI22" s="19"/>
      <c r="AJ22" s="19"/>
      <c r="AK22" s="19"/>
      <c r="AL22" s="19"/>
      <c r="AM22" s="19"/>
      <c r="AN22" s="19"/>
      <c r="AO22" s="19"/>
    </row>
    <row r="23" spans="1:42" x14ac:dyDescent="0.25">
      <c r="A23" s="1">
        <f>IF(MODEL_MATRIX!B17="","",MODEL_MATRIX!B17)</f>
        <v>5.84936901875</v>
      </c>
      <c r="B23" s="1">
        <f>IF(OR(B$7="",ISERROR($A23)),"",HLOOKUP(B$7,MODEL_MATRIX!$C$1:$AA$71,ROW()-ROW(A$7)+1,0))</f>
        <v>1</v>
      </c>
      <c r="C23" s="1">
        <f>IF(OR(C$7="",ISERROR($A23)),"",HLOOKUP(C$7,MODEL_MATRIX!$C$1:$AA$71,ROW()-ROW(B$7)+1,0))</f>
        <v>1</v>
      </c>
      <c r="N23">
        <f t="shared" ref="N23:O30" si="5">HLOOKUP(N$21,$E$9:$F$18,ROW()-ROW($O$20),0)</f>
        <v>1</v>
      </c>
      <c r="O23">
        <f t="shared" si="5"/>
        <v>1</v>
      </c>
      <c r="P23">
        <f t="array" ref="P23">IF(ISERROR(P$21&amp;$O23),NA(),IFERROR(AVERAGE(IF($C$8:$C$77=$O23,IF($B$8:$B$77=P$21,$A$8:$A$77,""),"")),NA()))</f>
        <v>7.9087287687499987</v>
      </c>
      <c r="Q23">
        <f t="array" ref="Q23">IF(ISERROR(Q$21&amp;$O23),NA(),IFERROR(AVERAGE(IF($C$8:$C$77=$O23,IF($B$8:$B$77=Q$21,$A$8:$A$77,""),"")),NA()))</f>
        <v>6.2365143312499995</v>
      </c>
      <c r="R23" t="e">
        <f t="array" ref="R23">IF(ISERROR(R$21&amp;$O23),NA(),IFERROR(AVERAGE(IF($C$8:$C$77=$O23,IF($B$8:$B$77=R$21,$A$8:$A$77,""),"")),NA()))</f>
        <v>#N/A</v>
      </c>
      <c r="S23" t="e">
        <f t="array" ref="S23">IF(ISERROR(S$21&amp;$O23),NA(),IFERROR(AVERAGE(IF($C$8:$C$77=$O23,IF($B$8:$B$77=S$21,$A$8:$A$77,""),"")),NA()))</f>
        <v>#N/A</v>
      </c>
      <c r="T23" t="e">
        <f t="array" ref="T23">IF(ISERROR(T$21&amp;$O23),NA(),IFERROR(AVERAGE(IF($C$8:$C$77=$O23,IF($B$8:$B$77=T$21,$A$8:$A$77,""),"")),NA()))</f>
        <v>#N/A</v>
      </c>
      <c r="U23" t="e">
        <f t="array" ref="U23">IF(ISERROR(U$21&amp;$O23),NA(),IFERROR(AVERAGE(IF($C$8:$C$77=$O23,IF($B$8:$B$77=U$21,$A$8:$A$77,""),"")),NA()))</f>
        <v>#N/A</v>
      </c>
      <c r="V23" t="e">
        <f t="array" ref="V23">IF(ISERROR(V$21&amp;$O23),NA(),IFERROR(AVERAGE(IF($C$8:$C$77=$O23,IF($B$8:$B$77=V$21,$A$8:$A$77,""),"")),NA()))</f>
        <v>#N/A</v>
      </c>
      <c r="W23" t="e">
        <f t="array" ref="W23">IF(ISERROR(W$21&amp;$O23),NA(),IFERROR(AVERAGE(IF($C$8:$C$77=$O23,IF($B$8:$B$77=W$21,$A$8:$A$77,""),"")),NA()))</f>
        <v>#N/A</v>
      </c>
      <c r="X23" t="e">
        <f t="array" ref="X23">IF(ISERROR(X$21&amp;$O23),NA(),IFERROR(AVERAGE(IF($C$8:$C$77=$O23,IF($B$8:$B$77=X$21,$A$8:$A$77,""),"")),NA()))</f>
        <v>#N/A</v>
      </c>
      <c r="AB23" s="19"/>
      <c r="AC23" s="19"/>
      <c r="AD23" s="19"/>
      <c r="AE23" s="19"/>
      <c r="AF23" s="19"/>
      <c r="AG23" s="19"/>
      <c r="AH23" s="19"/>
      <c r="AI23" s="19"/>
      <c r="AJ23" s="19"/>
      <c r="AK23" s="19"/>
      <c r="AL23" s="19"/>
      <c r="AM23" s="19"/>
      <c r="AN23" s="19"/>
      <c r="AO23" s="19"/>
    </row>
    <row r="24" spans="1:42" x14ac:dyDescent="0.25">
      <c r="A24" s="1">
        <f>IF(MODEL_MATRIX!B18="","",MODEL_MATRIX!B18)</f>
        <v>4.5330400187500004</v>
      </c>
      <c r="B24" s="1">
        <f>IF(OR(B$7="",ISERROR($A24)),"",HLOOKUP(B$7,MODEL_MATRIX!$C$1:$AA$71,ROW()-ROW(A$7)+1,0))</f>
        <v>-1</v>
      </c>
      <c r="C24" s="1">
        <f>IF(OR(C$7="",ISERROR($A24)),"",HLOOKUP(C$7,MODEL_MATRIX!$C$1:$AA$71,ROW()-ROW(B$7)+1,0))</f>
        <v>-1</v>
      </c>
      <c r="N24" t="e">
        <f t="shared" si="5"/>
        <v>#N/A</v>
      </c>
      <c r="O24" t="e">
        <f t="shared" si="5"/>
        <v>#N/A</v>
      </c>
      <c r="P24" t="e">
        <f t="array" ref="P24">IF(ISERROR(P$21&amp;$O24),NA(),IFERROR(AVERAGE(IF($C$8:$C$77=$O24,IF($B$8:$B$77=P$21,$A$8:$A$77,""),"")),NA()))</f>
        <v>#N/A</v>
      </c>
      <c r="Q24" t="e">
        <f t="array" ref="Q24">IF(ISERROR(Q$21&amp;$O24),NA(),IFERROR(AVERAGE(IF($C$8:$C$77=$O24,IF($B$8:$B$77=Q$21,$A$8:$A$77,""),"")),NA()))</f>
        <v>#N/A</v>
      </c>
      <c r="R24" t="e">
        <f t="array" ref="R24">IF(ISERROR(R$21&amp;$O24),NA(),IFERROR(AVERAGE(IF($C$8:$C$77=$O24,IF($B$8:$B$77=R$21,$A$8:$A$77,""),"")),NA()))</f>
        <v>#N/A</v>
      </c>
      <c r="S24" t="e">
        <f t="array" ref="S24">IF(ISERROR(S$21&amp;$O24),NA(),IFERROR(AVERAGE(IF($C$8:$C$77=$O24,IF($B$8:$B$77=S$21,$A$8:$A$77,""),"")),NA()))</f>
        <v>#N/A</v>
      </c>
      <c r="T24" t="e">
        <f t="array" ref="T24">IF(ISERROR(T$21&amp;$O24),NA(),IFERROR(AVERAGE(IF($C$8:$C$77=$O24,IF($B$8:$B$77=T$21,$A$8:$A$77,""),"")),NA()))</f>
        <v>#N/A</v>
      </c>
      <c r="U24" t="e">
        <f t="array" ref="U24">IF(ISERROR(U$21&amp;$O24),NA(),IFERROR(AVERAGE(IF($C$8:$C$77=$O24,IF($B$8:$B$77=U$21,$A$8:$A$77,""),"")),NA()))</f>
        <v>#N/A</v>
      </c>
      <c r="V24" t="e">
        <f t="array" ref="V24">IF(ISERROR(V$21&amp;$O24),NA(),IFERROR(AVERAGE(IF($C$8:$C$77=$O24,IF($B$8:$B$77=V$21,$A$8:$A$77,""),"")),NA()))</f>
        <v>#N/A</v>
      </c>
      <c r="W24" t="e">
        <f t="array" ref="W24">IF(ISERROR(W$21&amp;$O24),NA(),IFERROR(AVERAGE(IF($C$8:$C$77=$O24,IF($B$8:$B$77=W$21,$A$8:$A$77,""),"")),NA()))</f>
        <v>#N/A</v>
      </c>
      <c r="X24" t="e">
        <f t="array" ref="X24">IF(ISERROR(X$21&amp;$O24),NA(),IFERROR(AVERAGE(IF($C$8:$C$77=$O24,IF($B$8:$B$77=X$21,$A$8:$A$77,""),"")),NA()))</f>
        <v>#N/A</v>
      </c>
      <c r="AB24" s="19"/>
      <c r="AC24" s="19"/>
      <c r="AD24" s="19"/>
      <c r="AE24" s="19"/>
      <c r="AF24" s="19"/>
      <c r="AG24" s="19"/>
      <c r="AH24" s="19"/>
      <c r="AI24" s="19"/>
      <c r="AJ24" s="19"/>
      <c r="AK24" s="19"/>
      <c r="AL24" s="19"/>
      <c r="AM24" s="19"/>
      <c r="AN24" s="19"/>
      <c r="AO24" s="19"/>
    </row>
    <row r="25" spans="1:42" x14ac:dyDescent="0.25">
      <c r="A25" s="1">
        <f>IF(MODEL_MATRIX!B19="","",MODEL_MATRIX!B19)</f>
        <v>5.7342475187500002</v>
      </c>
      <c r="B25" s="1">
        <f>IF(OR(B$7="",ISERROR($A25)),"",HLOOKUP(B$7,MODEL_MATRIX!$C$1:$AA$71,ROW()-ROW(A$7)+1,0))</f>
        <v>1</v>
      </c>
      <c r="C25" s="1">
        <f>IF(OR(C$7="",ISERROR($A25)),"",HLOOKUP(C$7,MODEL_MATRIX!$C$1:$AA$71,ROW()-ROW(B$7)+1,0))</f>
        <v>-1</v>
      </c>
      <c r="N25" t="e">
        <f t="shared" si="5"/>
        <v>#N/A</v>
      </c>
      <c r="O25" t="e">
        <f t="shared" si="5"/>
        <v>#N/A</v>
      </c>
      <c r="P25" t="e">
        <f t="array" ref="P25">IF(ISERROR(P$21&amp;$O25),NA(),IFERROR(AVERAGE(IF($C$8:$C$77=$O25,IF($B$8:$B$77=P$21,$A$8:$A$77,""),"")),NA()))</f>
        <v>#N/A</v>
      </c>
      <c r="Q25" t="e">
        <f t="array" ref="Q25">IF(ISERROR(Q$21&amp;$O25),NA(),IFERROR(AVERAGE(IF($C$8:$C$77=$O25,IF($B$8:$B$77=Q$21,$A$8:$A$77,""),"")),NA()))</f>
        <v>#N/A</v>
      </c>
      <c r="R25" t="e">
        <f t="array" ref="R25">IF(ISERROR(R$21&amp;$O25),NA(),IFERROR(AVERAGE(IF($C$8:$C$77=$O25,IF($B$8:$B$77=R$21,$A$8:$A$77,""),"")),NA()))</f>
        <v>#N/A</v>
      </c>
      <c r="S25" t="e">
        <f t="array" ref="S25">IF(ISERROR(S$21&amp;$O25),NA(),IFERROR(AVERAGE(IF($C$8:$C$77=$O25,IF($B$8:$B$77=S$21,$A$8:$A$77,""),"")),NA()))</f>
        <v>#N/A</v>
      </c>
      <c r="T25" t="e">
        <f t="array" ref="T25">IF(ISERROR(T$21&amp;$O25),NA(),IFERROR(AVERAGE(IF($C$8:$C$77=$O25,IF($B$8:$B$77=T$21,$A$8:$A$77,""),"")),NA()))</f>
        <v>#N/A</v>
      </c>
      <c r="U25" t="e">
        <f t="array" ref="U25">IF(ISERROR(U$21&amp;$O25),NA(),IFERROR(AVERAGE(IF($C$8:$C$77=$O25,IF($B$8:$B$77=U$21,$A$8:$A$77,""),"")),NA()))</f>
        <v>#N/A</v>
      </c>
      <c r="V25" t="e">
        <f t="array" ref="V25">IF(ISERROR(V$21&amp;$O25),NA(),IFERROR(AVERAGE(IF($C$8:$C$77=$O25,IF($B$8:$B$77=V$21,$A$8:$A$77,""),"")),NA()))</f>
        <v>#N/A</v>
      </c>
      <c r="W25" t="e">
        <f t="array" ref="W25">IF(ISERROR(W$21&amp;$O25),NA(),IFERROR(AVERAGE(IF($C$8:$C$77=$O25,IF($B$8:$B$77=W$21,$A$8:$A$77,""),"")),NA()))</f>
        <v>#N/A</v>
      </c>
      <c r="X25" t="e">
        <f t="array" ref="X25">IF(ISERROR(X$21&amp;$O25),NA(),IFERROR(AVERAGE(IF($C$8:$C$77=$O25,IF($B$8:$B$77=X$21,$A$8:$A$77,""),"")),NA()))</f>
        <v>#N/A</v>
      </c>
      <c r="AB25" s="19"/>
      <c r="AC25" s="19"/>
      <c r="AD25" s="19"/>
      <c r="AE25" s="19"/>
      <c r="AF25" s="19"/>
      <c r="AG25" s="19"/>
      <c r="AH25" s="19"/>
      <c r="AI25" s="19"/>
      <c r="AJ25" s="19"/>
      <c r="AK25" s="19"/>
      <c r="AL25" s="19"/>
      <c r="AM25" s="19"/>
      <c r="AN25" s="19"/>
      <c r="AO25" s="19"/>
    </row>
    <row r="26" spans="1:42" x14ac:dyDescent="0.25">
      <c r="A26" s="1">
        <f>IF(MODEL_MATRIX!B20="","",MODEL_MATRIX!B20)</f>
        <v>5.8781730187500001</v>
      </c>
      <c r="B26" s="1">
        <f>IF(OR(B$7="",ISERROR($A26)),"",HLOOKUP(B$7,MODEL_MATRIX!$C$1:$AA$71,ROW()-ROW(A$7)+1,0))</f>
        <v>-1</v>
      </c>
      <c r="C26" s="1">
        <f>IF(OR(C$7="",ISERROR($A26)),"",HLOOKUP(C$7,MODEL_MATRIX!$C$1:$AA$71,ROW()-ROW(B$7)+1,0))</f>
        <v>-1</v>
      </c>
      <c r="N26" t="e">
        <f t="shared" si="5"/>
        <v>#N/A</v>
      </c>
      <c r="O26" t="e">
        <f t="shared" si="5"/>
        <v>#N/A</v>
      </c>
      <c r="P26" t="e">
        <f t="array" ref="P26">IF(ISERROR(P$21&amp;$O26),NA(),IFERROR(AVERAGE(IF($C$8:$C$77=$O26,IF($B$8:$B$77=P$21,$A$8:$A$77,""),"")),NA()))</f>
        <v>#N/A</v>
      </c>
      <c r="Q26" t="e">
        <f t="array" ref="Q26">IF(ISERROR(Q$21&amp;$O26),NA(),IFERROR(AVERAGE(IF($C$8:$C$77=$O26,IF($B$8:$B$77=Q$21,$A$8:$A$77,""),"")),NA()))</f>
        <v>#N/A</v>
      </c>
      <c r="R26" t="e">
        <f t="array" ref="R26">IF(ISERROR(R$21&amp;$O26),NA(),IFERROR(AVERAGE(IF($C$8:$C$77=$O26,IF($B$8:$B$77=R$21,$A$8:$A$77,""),"")),NA()))</f>
        <v>#N/A</v>
      </c>
      <c r="S26" t="e">
        <f t="array" ref="S26">IF(ISERROR(S$21&amp;$O26),NA(),IFERROR(AVERAGE(IF($C$8:$C$77=$O26,IF($B$8:$B$77=S$21,$A$8:$A$77,""),"")),NA()))</f>
        <v>#N/A</v>
      </c>
      <c r="T26" t="e">
        <f t="array" ref="T26">IF(ISERROR(T$21&amp;$O26),NA(),IFERROR(AVERAGE(IF($C$8:$C$77=$O26,IF($B$8:$B$77=T$21,$A$8:$A$77,""),"")),NA()))</f>
        <v>#N/A</v>
      </c>
      <c r="U26" t="e">
        <f t="array" ref="U26">IF(ISERROR(U$21&amp;$O26),NA(),IFERROR(AVERAGE(IF($C$8:$C$77=$O26,IF($B$8:$B$77=U$21,$A$8:$A$77,""),"")),NA()))</f>
        <v>#N/A</v>
      </c>
      <c r="V26" t="e">
        <f t="array" ref="V26">IF(ISERROR(V$21&amp;$O26),NA(),IFERROR(AVERAGE(IF($C$8:$C$77=$O26,IF($B$8:$B$77=V$21,$A$8:$A$77,""),"")),NA()))</f>
        <v>#N/A</v>
      </c>
      <c r="W26" t="e">
        <f t="array" ref="W26">IF(ISERROR(W$21&amp;$O26),NA(),IFERROR(AVERAGE(IF($C$8:$C$77=$O26,IF($B$8:$B$77=W$21,$A$8:$A$77,""),"")),NA()))</f>
        <v>#N/A</v>
      </c>
      <c r="X26" t="e">
        <f t="array" ref="X26">IF(ISERROR(X$21&amp;$O26),NA(),IFERROR(AVERAGE(IF($C$8:$C$77=$O26,IF($B$8:$B$77=X$21,$A$8:$A$77,""),"")),NA()))</f>
        <v>#N/A</v>
      </c>
      <c r="AB26" s="19"/>
      <c r="AC26" s="19"/>
      <c r="AD26" s="19"/>
      <c r="AE26" s="19"/>
      <c r="AF26" s="19"/>
      <c r="AG26" s="19"/>
      <c r="AH26" s="19"/>
      <c r="AI26" s="19"/>
      <c r="AJ26" s="19"/>
      <c r="AK26" s="19"/>
      <c r="AL26" s="19"/>
      <c r="AM26" s="19"/>
      <c r="AN26" s="19"/>
      <c r="AO26" s="19"/>
    </row>
    <row r="27" spans="1:42" x14ac:dyDescent="0.25">
      <c r="A27" s="1">
        <f>IF(MODEL_MATRIX!B21="","",MODEL_MATRIX!B21)</f>
        <v>5.2625435187500003</v>
      </c>
      <c r="B27" s="1">
        <f>IF(OR(B$7="",ISERROR($A27)),"",HLOOKUP(B$7,MODEL_MATRIX!$C$1:$AA$71,ROW()-ROW(A$7)+1,0))</f>
        <v>1</v>
      </c>
      <c r="C27" s="1">
        <f>IF(OR(C$7="",ISERROR($A27)),"",HLOOKUP(C$7,MODEL_MATRIX!$C$1:$AA$71,ROW()-ROW(B$7)+1,0))</f>
        <v>-1</v>
      </c>
      <c r="N27" t="e">
        <f t="shared" si="5"/>
        <v>#N/A</v>
      </c>
      <c r="O27" t="e">
        <f t="shared" si="5"/>
        <v>#N/A</v>
      </c>
      <c r="P27" t="e">
        <f t="array" ref="P27">IF(ISERROR(P$21&amp;$O27),NA(),IFERROR(AVERAGE(IF($C$8:$C$77=$O27,IF($B$8:$B$77=P$21,$A$8:$A$77,""),"")),NA()))</f>
        <v>#N/A</v>
      </c>
      <c r="Q27" t="e">
        <f t="array" ref="Q27">IF(ISERROR(Q$21&amp;$O27),NA(),IFERROR(AVERAGE(IF($C$8:$C$77=$O27,IF($B$8:$B$77=Q$21,$A$8:$A$77,""),"")),NA()))</f>
        <v>#N/A</v>
      </c>
      <c r="R27" t="e">
        <f t="array" ref="R27">IF(ISERROR(R$21&amp;$O27),NA(),IFERROR(AVERAGE(IF($C$8:$C$77=$O27,IF($B$8:$B$77=R$21,$A$8:$A$77,""),"")),NA()))</f>
        <v>#N/A</v>
      </c>
      <c r="S27" t="e">
        <f t="array" ref="S27">IF(ISERROR(S$21&amp;$O27),NA(),IFERROR(AVERAGE(IF($C$8:$C$77=$O27,IF($B$8:$B$77=S$21,$A$8:$A$77,""),"")),NA()))</f>
        <v>#N/A</v>
      </c>
      <c r="T27" t="e">
        <f t="array" ref="T27">IF(ISERROR(T$21&amp;$O27),NA(),IFERROR(AVERAGE(IF($C$8:$C$77=$O27,IF($B$8:$B$77=T$21,$A$8:$A$77,""),"")),NA()))</f>
        <v>#N/A</v>
      </c>
      <c r="U27" t="e">
        <f t="array" ref="U27">IF(ISERROR(U$21&amp;$O27),NA(),IFERROR(AVERAGE(IF($C$8:$C$77=$O27,IF($B$8:$B$77=U$21,$A$8:$A$77,""),"")),NA()))</f>
        <v>#N/A</v>
      </c>
      <c r="V27" t="e">
        <f t="array" ref="V27">IF(ISERROR(V$21&amp;$O27),NA(),IFERROR(AVERAGE(IF($C$8:$C$77=$O27,IF($B$8:$B$77=V$21,$A$8:$A$77,""),"")),NA()))</f>
        <v>#N/A</v>
      </c>
      <c r="W27" t="e">
        <f t="array" ref="W27">IF(ISERROR(W$21&amp;$O27),NA(),IFERROR(AVERAGE(IF($C$8:$C$77=$O27,IF($B$8:$B$77=W$21,$A$8:$A$77,""),"")),NA()))</f>
        <v>#N/A</v>
      </c>
      <c r="X27" t="e">
        <f t="array" ref="X27">IF(ISERROR(X$21&amp;$O27),NA(),IFERROR(AVERAGE(IF($C$8:$C$77=$O27,IF($B$8:$B$77=X$21,$A$8:$A$77,""),"")),NA()))</f>
        <v>#N/A</v>
      </c>
      <c r="AB27" s="19"/>
      <c r="AC27" s="19"/>
      <c r="AD27" s="19"/>
      <c r="AE27" s="19"/>
      <c r="AF27" s="19"/>
      <c r="AG27" s="19"/>
      <c r="AH27" s="19"/>
      <c r="AI27" s="19"/>
      <c r="AJ27" s="19"/>
      <c r="AK27" s="19"/>
      <c r="AL27" s="19"/>
      <c r="AM27" s="19"/>
      <c r="AN27" s="19"/>
      <c r="AO27" s="19"/>
    </row>
    <row r="28" spans="1:42" x14ac:dyDescent="0.25">
      <c r="A28" s="1">
        <f>IF(MODEL_MATRIX!B22="","",MODEL_MATRIX!B22)</f>
        <v>6.6597015187500004</v>
      </c>
      <c r="B28" s="1">
        <f>IF(OR(B$7="",ISERROR($A28)),"",HLOOKUP(B$7,MODEL_MATRIX!$C$1:$AA$71,ROW()-ROW(A$7)+1,0))</f>
        <v>-1</v>
      </c>
      <c r="C28" s="1">
        <f>IF(OR(C$7="",ISERROR($A28)),"",HLOOKUP(C$7,MODEL_MATRIX!$C$1:$AA$71,ROW()-ROW(B$7)+1,0))</f>
        <v>1</v>
      </c>
      <c r="N28" t="e">
        <f t="shared" si="5"/>
        <v>#N/A</v>
      </c>
      <c r="O28" t="e">
        <f t="shared" si="5"/>
        <v>#N/A</v>
      </c>
      <c r="P28" t="e">
        <f t="array" ref="P28">IF(ISERROR(P$21&amp;$O28),NA(),IFERROR(AVERAGE(IF($C$8:$C$77=$O28,IF($B$8:$B$77=P$21,$A$8:$A$77,""),"")),NA()))</f>
        <v>#N/A</v>
      </c>
      <c r="Q28" t="e">
        <f t="array" ref="Q28">IF(ISERROR(Q$21&amp;$O28),NA(),IFERROR(AVERAGE(IF($C$8:$C$77=$O28,IF($B$8:$B$77=Q$21,$A$8:$A$77,""),"")),NA()))</f>
        <v>#N/A</v>
      </c>
      <c r="R28" t="e">
        <f t="array" ref="R28">IF(ISERROR(R$21&amp;$O28),NA(),IFERROR(AVERAGE(IF($C$8:$C$77=$O28,IF($B$8:$B$77=R$21,$A$8:$A$77,""),"")),NA()))</f>
        <v>#N/A</v>
      </c>
      <c r="S28" t="e">
        <f t="array" ref="S28">IF(ISERROR(S$21&amp;$O28),NA(),IFERROR(AVERAGE(IF($C$8:$C$77=$O28,IF($B$8:$B$77=S$21,$A$8:$A$77,""),"")),NA()))</f>
        <v>#N/A</v>
      </c>
      <c r="T28" t="e">
        <f t="array" ref="T28">IF(ISERROR(T$21&amp;$O28),NA(),IFERROR(AVERAGE(IF($C$8:$C$77=$O28,IF($B$8:$B$77=T$21,$A$8:$A$77,""),"")),NA()))</f>
        <v>#N/A</v>
      </c>
      <c r="U28" t="e">
        <f t="array" ref="U28">IF(ISERROR(U$21&amp;$O28),NA(),IFERROR(AVERAGE(IF($C$8:$C$77=$O28,IF($B$8:$B$77=U$21,$A$8:$A$77,""),"")),NA()))</f>
        <v>#N/A</v>
      </c>
      <c r="V28" t="e">
        <f t="array" ref="V28">IF(ISERROR(V$21&amp;$O28),NA(),IFERROR(AVERAGE(IF($C$8:$C$77=$O28,IF($B$8:$B$77=V$21,$A$8:$A$77,""),"")),NA()))</f>
        <v>#N/A</v>
      </c>
      <c r="W28" t="e">
        <f t="array" ref="W28">IF(ISERROR(W$21&amp;$O28),NA(),IFERROR(AVERAGE(IF($C$8:$C$77=$O28,IF($B$8:$B$77=W$21,$A$8:$A$77,""),"")),NA()))</f>
        <v>#N/A</v>
      </c>
      <c r="X28" t="e">
        <f t="array" ref="X28">IF(ISERROR(X$21&amp;$O28),NA(),IFERROR(AVERAGE(IF($C$8:$C$77=$O28,IF($B$8:$B$77=X$21,$A$8:$A$77,""),"")),NA()))</f>
        <v>#N/A</v>
      </c>
      <c r="AB28" s="19"/>
      <c r="AC28" s="19"/>
      <c r="AD28" s="19"/>
      <c r="AE28" s="19"/>
      <c r="AF28" s="19"/>
      <c r="AG28" s="19"/>
      <c r="AH28" s="19"/>
      <c r="AI28" s="19"/>
      <c r="AJ28" s="19"/>
      <c r="AK28" s="19"/>
      <c r="AL28" s="19"/>
      <c r="AM28" s="19"/>
      <c r="AN28" s="19"/>
      <c r="AO28" s="19"/>
    </row>
    <row r="29" spans="1:42" hidden="1" x14ac:dyDescent="0.25">
      <c r="A29" s="1">
        <f>IF(MODEL_MATRIX!B23="","",MODEL_MATRIX!B23)</f>
        <v>8.10153251875</v>
      </c>
      <c r="B29" s="1">
        <f>IF(OR(B$7="",ISERROR($A29)),"",HLOOKUP(B$7,MODEL_MATRIX!$C$1:$AA$71,ROW()-ROW(A$7)+1,0))</f>
        <v>1</v>
      </c>
      <c r="C29" s="1">
        <f>IF(OR(C$7="",ISERROR($A29)),"",HLOOKUP(C$7,MODEL_MATRIX!$C$1:$AA$71,ROW()-ROW(B$7)+1,0))</f>
        <v>1</v>
      </c>
      <c r="N29" t="e">
        <f t="shared" si="5"/>
        <v>#N/A</v>
      </c>
      <c r="O29" t="e">
        <f t="shared" si="5"/>
        <v>#N/A</v>
      </c>
      <c r="P29" t="e">
        <f t="array" ref="P29">IF(ISERROR(P$21&amp;$O29),NA(),IFERROR(AVERAGE(IF($C$8:$C$77=$O29,IF($B$8:$B$77=P$21,$A$8:$A$77,""),"")),NA()))</f>
        <v>#N/A</v>
      </c>
      <c r="Q29" t="e">
        <f t="array" ref="Q29">IF(ISERROR(Q$21&amp;$O29),NA(),IFERROR(AVERAGE(IF($C$8:$C$77=$O29,IF($B$8:$B$77=Q$21,$A$8:$A$77,""),"")),NA()))</f>
        <v>#N/A</v>
      </c>
      <c r="R29" t="e">
        <f t="array" ref="R29">IF(ISERROR(R$21&amp;$O29),NA(),IFERROR(AVERAGE(IF($C$8:$C$77=$O29,IF($B$8:$B$77=R$21,$A$8:$A$77,""),"")),NA()))</f>
        <v>#N/A</v>
      </c>
      <c r="S29" t="e">
        <f t="array" ref="S29">IF(ISERROR(S$21&amp;$O29),NA(),IFERROR(AVERAGE(IF($C$8:$C$77=$O29,IF($B$8:$B$77=S$21,$A$8:$A$77,""),"")),NA()))</f>
        <v>#N/A</v>
      </c>
      <c r="T29" t="e">
        <f t="array" ref="T29">IF(ISERROR(T$21&amp;$O29),NA(),IFERROR(AVERAGE(IF($C$8:$C$77=$O29,IF($B$8:$B$77=T$21,$A$8:$A$77,""),"")),NA()))</f>
        <v>#N/A</v>
      </c>
      <c r="U29" t="e">
        <f t="array" ref="U29">IF(ISERROR(U$21&amp;$O29),NA(),IFERROR(AVERAGE(IF($C$8:$C$77=$O29,IF($B$8:$B$77=U$21,$A$8:$A$77,""),"")),NA()))</f>
        <v>#N/A</v>
      </c>
      <c r="V29" t="e">
        <f t="array" ref="V29">IF(ISERROR(V$21&amp;$O29),NA(),IFERROR(AVERAGE(IF($C$8:$C$77=$O29,IF($B$8:$B$77=V$21,$A$8:$A$77,""),"")),NA()))</f>
        <v>#N/A</v>
      </c>
      <c r="W29" t="e">
        <f t="array" ref="W29">IF(ISERROR(W$21&amp;$O29),NA(),IFERROR(AVERAGE(IF($C$8:$C$77=$O29,IF($B$8:$B$77=W$21,$A$8:$A$77,""),"")),NA()))</f>
        <v>#N/A</v>
      </c>
      <c r="X29" t="e">
        <f t="array" ref="X29">IF(ISERROR(X$21&amp;$O29),NA(),IFERROR(AVERAGE(IF($C$8:$C$77=$O29,IF($B$8:$B$77=X$21,$A$8:$A$77,""),"")),NA()))</f>
        <v>#N/A</v>
      </c>
      <c r="AB29" s="19"/>
      <c r="AC29" s="19"/>
      <c r="AD29" s="19"/>
      <c r="AE29" s="19"/>
      <c r="AF29" s="19"/>
      <c r="AG29" s="19"/>
      <c r="AH29" s="19"/>
      <c r="AI29" s="19"/>
      <c r="AJ29" s="19"/>
      <c r="AK29" s="19"/>
      <c r="AL29" s="19"/>
      <c r="AM29" s="19"/>
      <c r="AN29" s="19"/>
      <c r="AO29" s="19"/>
    </row>
    <row r="30" spans="1:42" hidden="1" x14ac:dyDescent="0.25">
      <c r="A30" s="1">
        <f>IF(MODEL_MATRIX!B24="","",MODEL_MATRIX!B24)</f>
        <v>8.9268260187500008</v>
      </c>
      <c r="B30" s="1">
        <f>IF(OR(B$7="",ISERROR($A30)),"",HLOOKUP(B$7,MODEL_MATRIX!$C$1:$AA$71,ROW()-ROW(A$7)+1,0))</f>
        <v>-1</v>
      </c>
      <c r="C30" s="1">
        <f>IF(OR(C$7="",ISERROR($A30)),"",HLOOKUP(C$7,MODEL_MATRIX!$C$1:$AA$71,ROW()-ROW(B$7)+1,0))</f>
        <v>1</v>
      </c>
      <c r="N30" t="e">
        <f t="shared" si="5"/>
        <v>#N/A</v>
      </c>
      <c r="O30" t="e">
        <f t="shared" si="5"/>
        <v>#N/A</v>
      </c>
      <c r="P30" t="e">
        <f t="array" ref="P30">IF(ISERROR(P$21&amp;$O30),NA(),IFERROR(AVERAGE(IF($C$8:$C$77=$O30,IF($B$8:$B$77=P$21,$A$8:$A$77,""),"")),NA()))</f>
        <v>#N/A</v>
      </c>
      <c r="Q30" t="e">
        <f t="array" ref="Q30">IF(ISERROR(Q$21&amp;$O30),NA(),IFERROR(AVERAGE(IF($C$8:$C$77=$O30,IF($B$8:$B$77=Q$21,$A$8:$A$77,""),"")),NA()))</f>
        <v>#N/A</v>
      </c>
      <c r="R30" t="e">
        <f t="array" ref="R30">IF(ISERROR(R$21&amp;$O30),NA(),IFERROR(AVERAGE(IF($C$8:$C$77=$O30,IF($B$8:$B$77=R$21,$A$8:$A$77,""),"")),NA()))</f>
        <v>#N/A</v>
      </c>
      <c r="S30" t="e">
        <f t="array" ref="S30">IF(ISERROR(S$21&amp;$O30),NA(),IFERROR(AVERAGE(IF($C$8:$C$77=$O30,IF($B$8:$B$77=S$21,$A$8:$A$77,""),"")),NA()))</f>
        <v>#N/A</v>
      </c>
      <c r="T30" t="e">
        <f t="array" ref="T30">IF(ISERROR(T$21&amp;$O30),NA(),IFERROR(AVERAGE(IF($C$8:$C$77=$O30,IF($B$8:$B$77=T$21,$A$8:$A$77,""),"")),NA()))</f>
        <v>#N/A</v>
      </c>
      <c r="U30" t="e">
        <f t="array" ref="U30">IF(ISERROR(U$21&amp;$O30),NA(),IFERROR(AVERAGE(IF($C$8:$C$77=$O30,IF($B$8:$B$77=U$21,$A$8:$A$77,""),"")),NA()))</f>
        <v>#N/A</v>
      </c>
      <c r="V30" t="e">
        <f t="array" ref="V30">IF(ISERROR(V$21&amp;$O30),NA(),IFERROR(AVERAGE(IF($C$8:$C$77=$O30,IF($B$8:$B$77=V$21,$A$8:$A$77,""),"")),NA()))</f>
        <v>#N/A</v>
      </c>
      <c r="W30" t="e">
        <f t="array" ref="W30">IF(ISERROR(W$21&amp;$O30),NA(),IFERROR(AVERAGE(IF($C$8:$C$77=$O30,IF($B$8:$B$77=W$21,$A$8:$A$77,""),"")),NA()))</f>
        <v>#N/A</v>
      </c>
      <c r="X30" t="e">
        <f t="array" ref="X30">IF(ISERROR(X$21&amp;$O30),NA(),IFERROR(AVERAGE(IF($C$8:$C$77=$O30,IF($B$8:$B$77=X$21,$A$8:$A$77,""),"")),NA()))</f>
        <v>#N/A</v>
      </c>
      <c r="AB30" s="19"/>
      <c r="AC30" s="19"/>
      <c r="AD30" s="19"/>
      <c r="AE30" s="19"/>
      <c r="AF30" s="19"/>
      <c r="AG30" s="19"/>
      <c r="AH30" s="19"/>
      <c r="AI30" s="19"/>
      <c r="AJ30" s="19"/>
      <c r="AK30" s="19"/>
      <c r="AL30" s="19"/>
      <c r="AM30" s="19"/>
      <c r="AN30" s="19"/>
      <c r="AO30" s="19"/>
    </row>
    <row r="31" spans="1:42" hidden="1" x14ac:dyDescent="0.25">
      <c r="A31" s="1">
        <f>IF(MODEL_MATRIX!B25="","",MODEL_MATRIX!B25)</f>
        <v>7.0592920187499999</v>
      </c>
      <c r="B31" s="1">
        <f>IF(OR(B$7="",ISERROR($A31)),"",HLOOKUP(B$7,MODEL_MATRIX!$C$1:$AA$71,ROW()-ROW(A$7)+1,0))</f>
        <v>1</v>
      </c>
      <c r="C31" s="1">
        <f>IF(OR(C$7="",ISERROR($A31)),"",HLOOKUP(C$7,MODEL_MATRIX!$C$1:$AA$71,ROW()-ROW(B$7)+1,0))</f>
        <v>1</v>
      </c>
      <c r="P31" t="str">
        <f t="shared" ref="P31:X31" si="6">$P$20 &amp; " = " &amp; P21</f>
        <v>A = -1</v>
      </c>
      <c r="Q31" t="str">
        <f t="shared" si="6"/>
        <v>A = 1</v>
      </c>
      <c r="R31" t="e">
        <f t="shared" si="6"/>
        <v>#N/A</v>
      </c>
      <c r="S31" t="e">
        <f t="shared" si="6"/>
        <v>#N/A</v>
      </c>
      <c r="T31" t="e">
        <f t="shared" si="6"/>
        <v>#N/A</v>
      </c>
      <c r="U31" t="e">
        <f t="shared" si="6"/>
        <v>#N/A</v>
      </c>
      <c r="V31" t="e">
        <f t="shared" si="6"/>
        <v>#N/A</v>
      </c>
      <c r="W31" t="e">
        <f t="shared" si="6"/>
        <v>#N/A</v>
      </c>
      <c r="X31" t="e">
        <f t="shared" si="6"/>
        <v>#N/A</v>
      </c>
      <c r="AB31" s="19"/>
      <c r="AC31" s="19"/>
      <c r="AD31" s="19"/>
      <c r="AE31" s="19"/>
      <c r="AF31" s="19"/>
      <c r="AG31" s="19"/>
      <c r="AH31" s="19"/>
      <c r="AI31" s="19"/>
      <c r="AJ31" s="19"/>
      <c r="AK31" s="19"/>
      <c r="AL31" s="19"/>
      <c r="AM31" s="19"/>
      <c r="AN31" s="19"/>
      <c r="AO31" s="19"/>
    </row>
    <row r="32" spans="1:42" hidden="1" x14ac:dyDescent="0.25">
      <c r="A32" s="1">
        <f>IF(MODEL_MATRIX!B26="","",MODEL_MATRIX!B26)</f>
        <v>4.4412020187500003</v>
      </c>
      <c r="B32" s="1">
        <f>IF(OR(B$7="",ISERROR($A32)),"",HLOOKUP(B$7,MODEL_MATRIX!$C$1:$AA$71,ROW()-ROW(A$7)+1,0))</f>
        <v>-1</v>
      </c>
      <c r="C32" s="1">
        <f>IF(OR(C$7="",ISERROR($A32)),"",HLOOKUP(C$7,MODEL_MATRIX!$C$1:$AA$71,ROW()-ROW(B$7)+1,0))</f>
        <v>-1</v>
      </c>
      <c r="AB32" s="19"/>
      <c r="AC32" s="19"/>
      <c r="AD32" s="19"/>
      <c r="AE32" s="19"/>
      <c r="AF32" s="19"/>
      <c r="AG32" s="19"/>
      <c r="AH32" s="19"/>
      <c r="AI32" s="19"/>
      <c r="AJ32" s="19"/>
      <c r="AK32" s="19"/>
      <c r="AL32" s="19"/>
      <c r="AM32" s="19"/>
      <c r="AN32" s="19"/>
      <c r="AO32" s="19"/>
    </row>
    <row r="33" spans="1:3" hidden="1" x14ac:dyDescent="0.25">
      <c r="A33" s="1">
        <f>IF(MODEL_MATRIX!B27="","",MODEL_MATRIX!B27)</f>
        <v>4.1802867687500003</v>
      </c>
      <c r="B33" s="1">
        <f>IF(OR(B$7="",ISERROR($A33)),"",HLOOKUP(B$7,MODEL_MATRIX!$C$1:$AA$71,ROW()-ROW(A$7)+1,0))</f>
        <v>1</v>
      </c>
      <c r="C33" s="1">
        <f>IF(OR(C$7="",ISERROR($A33)),"",HLOOKUP(C$7,MODEL_MATRIX!$C$1:$AA$71,ROW()-ROW(B$7)+1,0))</f>
        <v>-1</v>
      </c>
    </row>
    <row r="34" spans="1:3" hidden="1" x14ac:dyDescent="0.25">
      <c r="A34" s="1">
        <f>IF(MODEL_MATRIX!B28="","",MODEL_MATRIX!B28)</f>
        <v>5.6820480187499998</v>
      </c>
      <c r="B34" s="1">
        <f>IF(OR(B$7="",ISERROR($A34)),"",HLOOKUP(B$7,MODEL_MATRIX!$C$1:$AA$71,ROW()-ROW(A$7)+1,0))</f>
        <v>-1</v>
      </c>
      <c r="C34" s="1">
        <f>IF(OR(C$7="",ISERROR($A34)),"",HLOOKUP(C$7,MODEL_MATRIX!$C$1:$AA$71,ROW()-ROW(B$7)+1,0))</f>
        <v>-1</v>
      </c>
    </row>
    <row r="35" spans="1:3" hidden="1" x14ac:dyDescent="0.25">
      <c r="A35" s="1">
        <f>IF(MODEL_MATRIX!B29="","",MODEL_MATRIX!B29)</f>
        <v>5.7801725187499997</v>
      </c>
      <c r="B35" s="1">
        <f>IF(OR(B$7="",ISERROR($A35)),"",HLOOKUP(B$7,MODEL_MATRIX!$C$1:$AA$71,ROW()-ROW(A$7)+1,0))</f>
        <v>1</v>
      </c>
      <c r="C35" s="1">
        <f>IF(OR(C$7="",ISERROR($A35)),"",HLOOKUP(C$7,MODEL_MATRIX!$C$1:$AA$71,ROW()-ROW(B$7)+1,0))</f>
        <v>-1</v>
      </c>
    </row>
    <row r="36" spans="1:3" hidden="1" x14ac:dyDescent="0.25">
      <c r="A36" s="1">
        <f>IF(MODEL_MATRIX!B30="","",MODEL_MATRIX!B30)</f>
        <v>8.7397320187500007</v>
      </c>
      <c r="B36" s="1">
        <f>IF(OR(B$7="",ISERROR($A36)),"",HLOOKUP(B$7,MODEL_MATRIX!$C$1:$AA$71,ROW()-ROW(A$7)+1,0))</f>
        <v>-1</v>
      </c>
      <c r="C36" s="1">
        <f>IF(OR(C$7="",ISERROR($A36)),"",HLOOKUP(C$7,MODEL_MATRIX!$C$1:$AA$71,ROW()-ROW(B$7)+1,0))</f>
        <v>1</v>
      </c>
    </row>
    <row r="37" spans="1:3" hidden="1" x14ac:dyDescent="0.25">
      <c r="A37" s="1">
        <f>IF(MODEL_MATRIX!B31="","",MODEL_MATRIX!B31)</f>
        <v>7.8388045187499999</v>
      </c>
      <c r="B37" s="1">
        <f>IF(OR(B$7="",ISERROR($A37)),"",HLOOKUP(B$7,MODEL_MATRIX!$C$1:$AA$71,ROW()-ROW(A$7)+1,0))</f>
        <v>1</v>
      </c>
      <c r="C37" s="1">
        <f>IF(OR(C$7="",ISERROR($A37)),"",HLOOKUP(C$7,MODEL_MATRIX!$C$1:$AA$71,ROW()-ROW(B$7)+1,0))</f>
        <v>1</v>
      </c>
    </row>
    <row r="38" spans="1:3" hidden="1" x14ac:dyDescent="0.25">
      <c r="A38" s="1">
        <f>IF(MODEL_MATRIX!B32="","",MODEL_MATRIX!B32)</f>
        <v>7.2539075187500002</v>
      </c>
      <c r="B38" s="1">
        <f>IF(OR(B$7="",ISERROR($A38)),"",HLOOKUP(B$7,MODEL_MATRIX!$C$1:$AA$71,ROW()-ROW(A$7)+1,0))</f>
        <v>-1</v>
      </c>
      <c r="C38" s="1">
        <f>IF(OR(C$7="",ISERROR($A38)),"",HLOOKUP(C$7,MODEL_MATRIX!$C$1:$AA$71,ROW()-ROW(B$7)+1,0))</f>
        <v>1</v>
      </c>
    </row>
    <row r="39" spans="1:3" hidden="1" x14ac:dyDescent="0.25">
      <c r="A39" s="1">
        <f>IF(MODEL_MATRIX!B33="","",MODEL_MATRIX!B33)</f>
        <v>7.2391970187499997</v>
      </c>
      <c r="B39" s="1">
        <f>IF(OR(B$7="",ISERROR($A39)),"",HLOOKUP(B$7,MODEL_MATRIX!$C$1:$AA$71,ROW()-ROW(A$7)+1,0))</f>
        <v>1</v>
      </c>
      <c r="C39" s="1">
        <f>IF(OR(C$7="",ISERROR($A39)),"",HLOOKUP(C$7,MODEL_MATRIX!$C$1:$AA$71,ROW()-ROW(B$7)+1,0))</f>
        <v>1</v>
      </c>
    </row>
    <row r="40" spans="1:3" hidden="1" x14ac:dyDescent="0.25">
      <c r="A40" s="1" t="str">
        <f>IF(MODEL_MATRIX!B34="","",MODEL_MATRIX!B34)</f>
        <v/>
      </c>
      <c r="B40" s="1" t="str">
        <f>IF(OR(B$7="",ISERROR($A40)),"",HLOOKUP(B$7,MODEL_MATRIX!$C$1:$AA$71,ROW()-ROW(A$7)+1,0))</f>
        <v/>
      </c>
      <c r="C40" s="1" t="str">
        <f>IF(OR(C$7="",ISERROR($A40)),"",HLOOKUP(C$7,MODEL_MATRIX!$C$1:$AA$71,ROW()-ROW(B$7)+1,0))</f>
        <v/>
      </c>
    </row>
    <row r="41" spans="1:3" hidden="1" x14ac:dyDescent="0.25">
      <c r="A41" s="1" t="str">
        <f>IF(MODEL_MATRIX!B35="","",MODEL_MATRIX!B35)</f>
        <v/>
      </c>
      <c r="B41" s="1" t="str">
        <f>IF(OR(B$7="",ISERROR($A41)),"",HLOOKUP(B$7,MODEL_MATRIX!$C$1:$AA$71,ROW()-ROW(A$7)+1,0))</f>
        <v/>
      </c>
      <c r="C41" s="1" t="str">
        <f>IF(OR(C$7="",ISERROR($A41)),"",HLOOKUP(C$7,MODEL_MATRIX!$C$1:$AA$71,ROW()-ROW(B$7)+1,0))</f>
        <v/>
      </c>
    </row>
    <row r="42" spans="1:3" hidden="1" x14ac:dyDescent="0.25">
      <c r="A42" s="1" t="str">
        <f>IF(MODEL_MATRIX!B36="","",MODEL_MATRIX!B36)</f>
        <v/>
      </c>
      <c r="B42" s="1" t="str">
        <f>IF(OR(B$7="",ISERROR($A42)),"",HLOOKUP(B$7,MODEL_MATRIX!$C$1:$AA$71,ROW()-ROW(A$7)+1,0))</f>
        <v/>
      </c>
      <c r="C42" s="1" t="str">
        <f>IF(OR(C$7="",ISERROR($A42)),"",HLOOKUP(C$7,MODEL_MATRIX!$C$1:$AA$71,ROW()-ROW(B$7)+1,0))</f>
        <v/>
      </c>
    </row>
    <row r="43" spans="1:3" hidden="1" x14ac:dyDescent="0.25">
      <c r="A43" s="1" t="str">
        <f>IF(MODEL_MATRIX!B37="","",MODEL_MATRIX!B37)</f>
        <v/>
      </c>
      <c r="B43" s="1" t="str">
        <f>IF(OR(B$7="",ISERROR($A43)),"",HLOOKUP(B$7,MODEL_MATRIX!$C$1:$AA$71,ROW()-ROW(A$7)+1,0))</f>
        <v/>
      </c>
      <c r="C43" s="1" t="str">
        <f>IF(OR(C$7="",ISERROR($A43)),"",HLOOKUP(C$7,MODEL_MATRIX!$C$1:$AA$71,ROW()-ROW(B$7)+1,0))</f>
        <v/>
      </c>
    </row>
    <row r="44" spans="1:3" hidden="1" x14ac:dyDescent="0.25">
      <c r="A44" s="1" t="str">
        <f>IF(MODEL_MATRIX!B38="","",MODEL_MATRIX!B38)</f>
        <v/>
      </c>
      <c r="B44" s="1" t="str">
        <f>IF(OR(B$7="",ISERROR($A44)),"",HLOOKUP(B$7,MODEL_MATRIX!$C$1:$AA$71,ROW()-ROW(A$7)+1,0))</f>
        <v/>
      </c>
      <c r="C44" s="1" t="str">
        <f>IF(OR(C$7="",ISERROR($A44)),"",HLOOKUP(C$7,MODEL_MATRIX!$C$1:$AA$71,ROW()-ROW(B$7)+1,0))</f>
        <v/>
      </c>
    </row>
    <row r="45" spans="1:3" hidden="1" x14ac:dyDescent="0.25">
      <c r="A45" s="1" t="str">
        <f>IF(MODEL_MATRIX!B39="","",MODEL_MATRIX!B39)</f>
        <v/>
      </c>
      <c r="B45" s="1" t="str">
        <f>IF(OR(B$7="",ISERROR($A45)),"",HLOOKUP(B$7,MODEL_MATRIX!$C$1:$AA$71,ROW()-ROW(A$7)+1,0))</f>
        <v/>
      </c>
      <c r="C45" s="1" t="str">
        <f>IF(OR(C$7="",ISERROR($A45)),"",HLOOKUP(C$7,MODEL_MATRIX!$C$1:$AA$71,ROW()-ROW(B$7)+1,0))</f>
        <v/>
      </c>
    </row>
    <row r="46" spans="1:3" hidden="1" x14ac:dyDescent="0.25">
      <c r="A46" s="1" t="str">
        <f>IF(MODEL_MATRIX!B40="","",MODEL_MATRIX!B40)</f>
        <v/>
      </c>
      <c r="B46" s="1" t="str">
        <f>IF(OR(B$7="",ISERROR($A46)),"",HLOOKUP(B$7,MODEL_MATRIX!$C$1:$AA$71,ROW()-ROW(A$7)+1,0))</f>
        <v/>
      </c>
      <c r="C46" s="1" t="str">
        <f>IF(OR(C$7="",ISERROR($A46)),"",HLOOKUP(C$7,MODEL_MATRIX!$C$1:$AA$71,ROW()-ROW(B$7)+1,0))</f>
        <v/>
      </c>
    </row>
    <row r="47" spans="1:3" hidden="1" x14ac:dyDescent="0.25">
      <c r="A47" s="1" t="str">
        <f>IF(MODEL_MATRIX!B41="","",MODEL_MATRIX!B41)</f>
        <v/>
      </c>
      <c r="B47" s="1" t="str">
        <f>IF(OR(B$7="",ISERROR($A47)),"",HLOOKUP(B$7,MODEL_MATRIX!$C$1:$AA$71,ROW()-ROW(A$7)+1,0))</f>
        <v/>
      </c>
      <c r="C47" s="1" t="str">
        <f>IF(OR(C$7="",ISERROR($A47)),"",HLOOKUP(C$7,MODEL_MATRIX!$C$1:$AA$71,ROW()-ROW(B$7)+1,0))</f>
        <v/>
      </c>
    </row>
    <row r="48" spans="1:3" hidden="1" x14ac:dyDescent="0.25">
      <c r="A48" s="1" t="str">
        <f>IF(MODEL_MATRIX!B42="","",MODEL_MATRIX!B42)</f>
        <v/>
      </c>
      <c r="B48" s="1" t="str">
        <f>IF(OR(B$7="",ISERROR($A48)),"",HLOOKUP(B$7,MODEL_MATRIX!$C$1:$AA$71,ROW()-ROW(A$7)+1,0))</f>
        <v/>
      </c>
      <c r="C48" s="1" t="str">
        <f>IF(OR(C$7="",ISERROR($A48)),"",HLOOKUP(C$7,MODEL_MATRIX!$C$1:$AA$71,ROW()-ROW(B$7)+1,0))</f>
        <v/>
      </c>
    </row>
    <row r="49" spans="1:3" hidden="1" x14ac:dyDescent="0.25">
      <c r="A49" s="1" t="str">
        <f>IF(MODEL_MATRIX!B43="","",MODEL_MATRIX!B43)</f>
        <v/>
      </c>
      <c r="B49" s="1" t="str">
        <f>IF(OR(B$7="",ISERROR($A49)),"",HLOOKUP(B$7,MODEL_MATRIX!$C$1:$AA$71,ROW()-ROW(A$7)+1,0))</f>
        <v/>
      </c>
      <c r="C49" s="1" t="str">
        <f>IF(OR(C$7="",ISERROR($A49)),"",HLOOKUP(C$7,MODEL_MATRIX!$C$1:$AA$71,ROW()-ROW(B$7)+1,0))</f>
        <v/>
      </c>
    </row>
    <row r="50" spans="1:3" hidden="1" x14ac:dyDescent="0.25">
      <c r="A50" s="1" t="str">
        <f>IF(MODEL_MATRIX!B44="","",MODEL_MATRIX!B44)</f>
        <v/>
      </c>
      <c r="B50" s="1" t="str">
        <f>IF(OR(B$7="",ISERROR($A50)),"",HLOOKUP(B$7,MODEL_MATRIX!$C$1:$AA$71,ROW()-ROW(A$7)+1,0))</f>
        <v/>
      </c>
      <c r="C50" s="1" t="str">
        <f>IF(OR(C$7="",ISERROR($A50)),"",HLOOKUP(C$7,MODEL_MATRIX!$C$1:$AA$71,ROW()-ROW(B$7)+1,0))</f>
        <v/>
      </c>
    </row>
    <row r="51" spans="1:3" hidden="1" x14ac:dyDescent="0.25">
      <c r="A51" s="1" t="str">
        <f>IF(MODEL_MATRIX!B45="","",MODEL_MATRIX!B45)</f>
        <v/>
      </c>
      <c r="B51" s="1" t="str">
        <f>IF(OR(B$7="",ISERROR($A51)),"",HLOOKUP(B$7,MODEL_MATRIX!$C$1:$AA$71,ROW()-ROW(A$7)+1,0))</f>
        <v/>
      </c>
      <c r="C51" s="1" t="str">
        <f>IF(OR(C$7="",ISERROR($A51)),"",HLOOKUP(C$7,MODEL_MATRIX!$C$1:$AA$71,ROW()-ROW(B$7)+1,0))</f>
        <v/>
      </c>
    </row>
    <row r="52" spans="1:3" hidden="1" x14ac:dyDescent="0.25">
      <c r="A52" s="1" t="str">
        <f>IF(MODEL_MATRIX!B46="","",MODEL_MATRIX!B46)</f>
        <v/>
      </c>
      <c r="B52" s="1" t="str">
        <f>IF(OR(B$7="",ISERROR($A52)),"",HLOOKUP(B$7,MODEL_MATRIX!$C$1:$AA$71,ROW()-ROW(A$7)+1,0))</f>
        <v/>
      </c>
      <c r="C52" s="1" t="str">
        <f>IF(OR(C$7="",ISERROR($A52)),"",HLOOKUP(C$7,MODEL_MATRIX!$C$1:$AA$71,ROW()-ROW(B$7)+1,0))</f>
        <v/>
      </c>
    </row>
    <row r="53" spans="1:3" hidden="1" x14ac:dyDescent="0.25">
      <c r="A53" s="1" t="str">
        <f>IF(MODEL_MATRIX!B47="","",MODEL_MATRIX!B47)</f>
        <v/>
      </c>
      <c r="B53" s="1" t="str">
        <f>IF(OR(B$7="",ISERROR($A53)),"",HLOOKUP(B$7,MODEL_MATRIX!$C$1:$AA$71,ROW()-ROW(A$7)+1,0))</f>
        <v/>
      </c>
      <c r="C53" s="1" t="str">
        <f>IF(OR(C$7="",ISERROR($A53)),"",HLOOKUP(C$7,MODEL_MATRIX!$C$1:$AA$71,ROW()-ROW(B$7)+1,0))</f>
        <v/>
      </c>
    </row>
    <row r="54" spans="1:3" hidden="1" x14ac:dyDescent="0.25">
      <c r="A54" s="1" t="str">
        <f>IF(MODEL_MATRIX!B48="","",MODEL_MATRIX!B48)</f>
        <v/>
      </c>
      <c r="B54" s="1" t="str">
        <f>IF(OR(B$7="",ISERROR($A54)),"",HLOOKUP(B$7,MODEL_MATRIX!$C$1:$AA$71,ROW()-ROW(A$7)+1,0))</f>
        <v/>
      </c>
      <c r="C54" s="1" t="str">
        <f>IF(OR(C$7="",ISERROR($A54)),"",HLOOKUP(C$7,MODEL_MATRIX!$C$1:$AA$71,ROW()-ROW(B$7)+1,0))</f>
        <v/>
      </c>
    </row>
    <row r="55" spans="1:3" hidden="1" x14ac:dyDescent="0.25">
      <c r="A55" s="1" t="str">
        <f>IF(MODEL_MATRIX!B49="","",MODEL_MATRIX!B49)</f>
        <v/>
      </c>
      <c r="B55" s="1" t="str">
        <f>IF(OR(B$7="",ISERROR($A55)),"",HLOOKUP(B$7,MODEL_MATRIX!$C$1:$AA$71,ROW()-ROW(A$7)+1,0))</f>
        <v/>
      </c>
      <c r="C55" s="1" t="str">
        <f>IF(OR(C$7="",ISERROR($A55)),"",HLOOKUP(C$7,MODEL_MATRIX!$C$1:$AA$71,ROW()-ROW(B$7)+1,0))</f>
        <v/>
      </c>
    </row>
    <row r="56" spans="1:3" hidden="1" x14ac:dyDescent="0.25">
      <c r="A56" s="1" t="str">
        <f>IF(MODEL_MATRIX!B50="","",MODEL_MATRIX!B50)</f>
        <v/>
      </c>
      <c r="B56" s="1" t="str">
        <f>IF(OR(B$7="",ISERROR($A56)),"",HLOOKUP(B$7,MODEL_MATRIX!$C$1:$AA$71,ROW()-ROW(A$7)+1,0))</f>
        <v/>
      </c>
      <c r="C56" s="1" t="str">
        <f>IF(OR(C$7="",ISERROR($A56)),"",HLOOKUP(C$7,MODEL_MATRIX!$C$1:$AA$71,ROW()-ROW(B$7)+1,0))</f>
        <v/>
      </c>
    </row>
    <row r="57" spans="1:3" hidden="1" x14ac:dyDescent="0.25">
      <c r="A57" s="1" t="str">
        <f>IF(MODEL_MATRIX!B51="","",MODEL_MATRIX!B51)</f>
        <v/>
      </c>
      <c r="B57" s="1" t="str">
        <f>IF(OR(B$7="",ISERROR($A57)),"",HLOOKUP(B$7,MODEL_MATRIX!$C$1:$AA$71,ROW()-ROW(A$7)+1,0))</f>
        <v/>
      </c>
      <c r="C57" s="1" t="str">
        <f>IF(OR(C$7="",ISERROR($A57)),"",HLOOKUP(C$7,MODEL_MATRIX!$C$1:$AA$71,ROW()-ROW(B$7)+1,0))</f>
        <v/>
      </c>
    </row>
    <row r="58" spans="1:3" hidden="1" x14ac:dyDescent="0.25">
      <c r="A58" s="1" t="str">
        <f>IF(MODEL_MATRIX!B52="","",MODEL_MATRIX!B52)</f>
        <v/>
      </c>
      <c r="B58" s="1" t="str">
        <f>IF(OR(B$7="",ISERROR($A58)),"",HLOOKUP(B$7,MODEL_MATRIX!$C$1:$AA$71,ROW()-ROW(A$7)+1,0))</f>
        <v/>
      </c>
      <c r="C58" s="1" t="str">
        <f>IF(OR(C$7="",ISERROR($A58)),"",HLOOKUP(C$7,MODEL_MATRIX!$C$1:$AA$71,ROW()-ROW(B$7)+1,0))</f>
        <v/>
      </c>
    </row>
    <row r="59" spans="1:3" hidden="1" x14ac:dyDescent="0.25">
      <c r="A59" s="1" t="str">
        <f>IF(MODEL_MATRIX!B53="","",MODEL_MATRIX!B53)</f>
        <v/>
      </c>
      <c r="B59" s="1" t="str">
        <f>IF(OR(B$7="",ISERROR($A59)),"",HLOOKUP(B$7,MODEL_MATRIX!$C$1:$AA$71,ROW()-ROW(A$7)+1,0))</f>
        <v/>
      </c>
      <c r="C59" s="1" t="str">
        <f>IF(OR(C$7="",ISERROR($A59)),"",HLOOKUP(C$7,MODEL_MATRIX!$C$1:$AA$71,ROW()-ROW(B$7)+1,0))</f>
        <v/>
      </c>
    </row>
    <row r="60" spans="1:3" hidden="1" x14ac:dyDescent="0.25">
      <c r="A60" s="1" t="str">
        <f>IF(MODEL_MATRIX!B54="","",MODEL_MATRIX!B54)</f>
        <v/>
      </c>
      <c r="B60" s="1" t="str">
        <f>IF(OR(B$7="",ISERROR($A60)),"",HLOOKUP(B$7,MODEL_MATRIX!$C$1:$AA$71,ROW()-ROW(A$7)+1,0))</f>
        <v/>
      </c>
      <c r="C60" s="1" t="str">
        <f>IF(OR(C$7="",ISERROR($A60)),"",HLOOKUP(C$7,MODEL_MATRIX!$C$1:$AA$71,ROW()-ROW(B$7)+1,0))</f>
        <v/>
      </c>
    </row>
    <row r="61" spans="1:3" hidden="1" x14ac:dyDescent="0.25">
      <c r="A61" s="1" t="str">
        <f>IF(MODEL_MATRIX!B55="","",MODEL_MATRIX!B55)</f>
        <v/>
      </c>
      <c r="B61" s="1" t="str">
        <f>IF(OR(B$7="",ISERROR($A61)),"",HLOOKUP(B$7,MODEL_MATRIX!$C$1:$AA$71,ROW()-ROW(A$7)+1,0))</f>
        <v/>
      </c>
      <c r="C61" s="1" t="str">
        <f>IF(OR(C$7="",ISERROR($A61)),"",HLOOKUP(C$7,MODEL_MATRIX!$C$1:$AA$71,ROW()-ROW(B$7)+1,0))</f>
        <v/>
      </c>
    </row>
    <row r="62" spans="1:3" hidden="1" x14ac:dyDescent="0.25">
      <c r="A62" s="1" t="str">
        <f>IF(MODEL_MATRIX!B56="","",MODEL_MATRIX!B56)</f>
        <v/>
      </c>
      <c r="B62" s="1" t="str">
        <f>IF(OR(B$7="",ISERROR($A62)),"",HLOOKUP(B$7,MODEL_MATRIX!$C$1:$AA$71,ROW()-ROW(A$7)+1,0))</f>
        <v/>
      </c>
      <c r="C62" s="1" t="str">
        <f>IF(OR(C$7="",ISERROR($A62)),"",HLOOKUP(C$7,MODEL_MATRIX!$C$1:$AA$71,ROW()-ROW(B$7)+1,0))</f>
        <v/>
      </c>
    </row>
    <row r="63" spans="1:3" hidden="1" x14ac:dyDescent="0.25">
      <c r="A63" s="1" t="str">
        <f>IF(MODEL_MATRIX!B57="","",MODEL_MATRIX!B57)</f>
        <v/>
      </c>
      <c r="B63" s="1" t="str">
        <f>IF(OR(B$7="",ISERROR($A63)),"",HLOOKUP(B$7,MODEL_MATRIX!$C$1:$AA$71,ROW()-ROW(A$7)+1,0))</f>
        <v/>
      </c>
      <c r="C63" s="1" t="str">
        <f>IF(OR(C$7="",ISERROR($A63)),"",HLOOKUP(C$7,MODEL_MATRIX!$C$1:$AA$71,ROW()-ROW(B$7)+1,0))</f>
        <v/>
      </c>
    </row>
    <row r="64" spans="1:3" hidden="1" x14ac:dyDescent="0.25">
      <c r="A64" s="1" t="str">
        <f>IF(MODEL_MATRIX!B58="","",MODEL_MATRIX!B58)</f>
        <v/>
      </c>
      <c r="B64" s="1" t="str">
        <f>IF(OR(B$7="",ISERROR($A64)),"",HLOOKUP(B$7,MODEL_MATRIX!$C$1:$AA$71,ROW()-ROW(A$7)+1,0))</f>
        <v/>
      </c>
      <c r="C64" s="1" t="str">
        <f>IF(OR(C$7="",ISERROR($A64)),"",HLOOKUP(C$7,MODEL_MATRIX!$C$1:$AA$71,ROW()-ROW(B$7)+1,0))</f>
        <v/>
      </c>
    </row>
    <row r="65" spans="1:16" hidden="1" x14ac:dyDescent="0.25">
      <c r="A65" s="1" t="str">
        <f>IF(MODEL_MATRIX!B59="","",MODEL_MATRIX!B59)</f>
        <v/>
      </c>
      <c r="B65" s="1" t="str">
        <f>IF(OR(B$7="",ISERROR($A65)),"",HLOOKUP(B$7,MODEL_MATRIX!$C$1:$AA$71,ROW()-ROW(A$7)+1,0))</f>
        <v/>
      </c>
      <c r="C65" s="1" t="str">
        <f>IF(OR(C$7="",ISERROR($A65)),"",HLOOKUP(C$7,MODEL_MATRIX!$C$1:$AA$71,ROW()-ROW(B$7)+1,0))</f>
        <v/>
      </c>
    </row>
    <row r="66" spans="1:16" hidden="1" x14ac:dyDescent="0.25">
      <c r="A66" s="1" t="str">
        <f>IF(MODEL_MATRIX!B60="","",MODEL_MATRIX!B60)</f>
        <v/>
      </c>
      <c r="B66" s="1" t="str">
        <f>IF(OR(B$7="",ISERROR($A66)),"",HLOOKUP(B$7,MODEL_MATRIX!$C$1:$AA$71,ROW()-ROW(A$7)+1,0))</f>
        <v/>
      </c>
      <c r="C66" s="1" t="str">
        <f>IF(OR(C$7="",ISERROR($A66)),"",HLOOKUP(C$7,MODEL_MATRIX!$C$1:$AA$71,ROW()-ROW(B$7)+1,0))</f>
        <v/>
      </c>
    </row>
    <row r="67" spans="1:16" hidden="1" x14ac:dyDescent="0.25">
      <c r="A67" s="1" t="str">
        <f>IF(MODEL_MATRIX!B61="","",MODEL_MATRIX!B61)</f>
        <v/>
      </c>
      <c r="B67" s="1" t="str">
        <f>IF(OR(B$7="",ISERROR($A67)),"",HLOOKUP(B$7,MODEL_MATRIX!$C$1:$AA$71,ROW()-ROW(A$7)+1,0))</f>
        <v/>
      </c>
      <c r="C67" s="1" t="str">
        <f>IF(OR(C$7="",ISERROR($A67)),"",HLOOKUP(C$7,MODEL_MATRIX!$C$1:$AA$71,ROW()-ROW(B$7)+1,0))</f>
        <v/>
      </c>
    </row>
    <row r="68" spans="1:16" hidden="1" x14ac:dyDescent="0.25">
      <c r="A68" s="1" t="str">
        <f>IF(MODEL_MATRIX!B62="","",MODEL_MATRIX!B62)</f>
        <v/>
      </c>
      <c r="B68" s="1" t="str">
        <f>IF(OR(B$7="",ISERROR($A68)),"",HLOOKUP(B$7,MODEL_MATRIX!$C$1:$AA$71,ROW()-ROW(A$7)+1,0))</f>
        <v/>
      </c>
      <c r="C68" s="1" t="str">
        <f>IF(OR(C$7="",ISERROR($A68)),"",HLOOKUP(C$7,MODEL_MATRIX!$C$1:$AA$71,ROW()-ROW(B$7)+1,0))</f>
        <v/>
      </c>
    </row>
    <row r="69" spans="1:16" hidden="1" x14ac:dyDescent="0.25">
      <c r="A69" s="1" t="str">
        <f>IF(MODEL_MATRIX!B63="","",MODEL_MATRIX!B63)</f>
        <v/>
      </c>
      <c r="B69" s="1" t="str">
        <f>IF(OR(B$7="",ISERROR($A69)),"",HLOOKUP(B$7,MODEL_MATRIX!$C$1:$AA$71,ROW()-ROW(A$7)+1,0))</f>
        <v/>
      </c>
      <c r="C69" s="1" t="str">
        <f>IF(OR(C$7="",ISERROR($A69)),"",HLOOKUP(C$7,MODEL_MATRIX!$C$1:$AA$71,ROW()-ROW(B$7)+1,0))</f>
        <v/>
      </c>
    </row>
    <row r="70" spans="1:16" hidden="1" x14ac:dyDescent="0.25">
      <c r="A70" s="1" t="str">
        <f>IF(MODEL_MATRIX!B64="","",MODEL_MATRIX!B64)</f>
        <v/>
      </c>
      <c r="B70" s="1" t="str">
        <f>IF(OR(B$7="",ISERROR($A70)),"",HLOOKUP(B$7,MODEL_MATRIX!$C$1:$AA$71,ROW()-ROW(A$7)+1,0))</f>
        <v/>
      </c>
      <c r="C70" s="1" t="str">
        <f>IF(OR(C$7="",ISERROR($A70)),"",HLOOKUP(C$7,MODEL_MATRIX!$C$1:$AA$71,ROW()-ROW(B$7)+1,0))</f>
        <v/>
      </c>
    </row>
    <row r="71" spans="1:16" hidden="1" x14ac:dyDescent="0.25">
      <c r="A71" s="1" t="str">
        <f>IF(MODEL_MATRIX!B65="","",MODEL_MATRIX!B65)</f>
        <v/>
      </c>
      <c r="B71" s="1" t="str">
        <f>IF(OR(B$7="",ISERROR($A71)),"",HLOOKUP(B$7,MODEL_MATRIX!$C$1:$AA$71,ROW()-ROW(A$7)+1,0))</f>
        <v/>
      </c>
      <c r="C71" s="1" t="str">
        <f>IF(OR(C$7="",ISERROR($A71)),"",HLOOKUP(C$7,MODEL_MATRIX!$C$1:$AA$71,ROW()-ROW(B$7)+1,0))</f>
        <v/>
      </c>
    </row>
    <row r="72" spans="1:16" hidden="1" x14ac:dyDescent="0.25">
      <c r="A72" s="1" t="str">
        <f>IF(MODEL_MATRIX!B66="","",MODEL_MATRIX!B66)</f>
        <v/>
      </c>
      <c r="B72" s="1" t="str">
        <f>IF(OR(B$7="",ISERROR($A72)),"",HLOOKUP(B$7,MODEL_MATRIX!$C$1:$AA$71,ROW()-ROW(A$7)+1,0))</f>
        <v/>
      </c>
      <c r="C72" s="1" t="str">
        <f>IF(OR(C$7="",ISERROR($A72)),"",HLOOKUP(C$7,MODEL_MATRIX!$C$1:$AA$71,ROW()-ROW(B$7)+1,0))</f>
        <v/>
      </c>
    </row>
    <row r="73" spans="1:16" hidden="1" x14ac:dyDescent="0.25">
      <c r="A73" s="1" t="str">
        <f>IF(MODEL_MATRIX!B67="","",MODEL_MATRIX!B67)</f>
        <v/>
      </c>
      <c r="B73" s="1" t="str">
        <f>IF(OR(B$7="",ISERROR($A73)),"",HLOOKUP(B$7,MODEL_MATRIX!$C$1:$AA$71,ROW()-ROW(A$7)+1,0))</f>
        <v/>
      </c>
      <c r="C73" s="1" t="str">
        <f>IF(OR(C$7="",ISERROR($A73)),"",HLOOKUP(C$7,MODEL_MATRIX!$C$1:$AA$71,ROW()-ROW(B$7)+1,0))</f>
        <v/>
      </c>
    </row>
    <row r="74" spans="1:16" hidden="1" x14ac:dyDescent="0.25">
      <c r="A74" s="1" t="str">
        <f>IF(MODEL_MATRIX!B68="","",MODEL_MATRIX!B68)</f>
        <v/>
      </c>
      <c r="B74" s="1" t="str">
        <f>IF(OR(B$7="",ISERROR($A74)),"",HLOOKUP(B$7,MODEL_MATRIX!$C$1:$AA$71,ROW()-ROW(A$7)+1,0))</f>
        <v/>
      </c>
      <c r="C74" s="1" t="str">
        <f>IF(OR(C$7="",ISERROR($A74)),"",HLOOKUP(C$7,MODEL_MATRIX!$C$1:$AA$71,ROW()-ROW(B$7)+1,0))</f>
        <v/>
      </c>
    </row>
    <row r="75" spans="1:16" hidden="1" x14ac:dyDescent="0.25">
      <c r="A75" s="1" t="str">
        <f>IF(MODEL_MATRIX!B69="","",MODEL_MATRIX!B69)</f>
        <v/>
      </c>
      <c r="B75" s="1" t="str">
        <f>IF(OR(B$7="",ISERROR($A75)),"",HLOOKUP(B$7,MODEL_MATRIX!$C$1:$AA$71,ROW()-ROW(A$7)+1,0))</f>
        <v/>
      </c>
      <c r="C75" s="1" t="str">
        <f>IF(OR(C$7="",ISERROR($A75)),"",HLOOKUP(C$7,MODEL_MATRIX!$C$1:$AA$71,ROW()-ROW(B$7)+1,0))</f>
        <v/>
      </c>
    </row>
    <row r="76" spans="1:16" hidden="1" x14ac:dyDescent="0.25">
      <c r="A76" s="1" t="str">
        <f>IF(MODEL_MATRIX!B70="","",MODEL_MATRIX!B70)</f>
        <v/>
      </c>
      <c r="B76" s="1" t="str">
        <f>IF(OR(B$7="",ISERROR($A76)),"",HLOOKUP(B$7,MODEL_MATRIX!$C$1:$AA$71,ROW()-ROW(A$7)+1,0))</f>
        <v/>
      </c>
      <c r="C76" s="1" t="str">
        <f>IF(OR(C$7="",ISERROR($A76)),"",HLOOKUP(C$7,MODEL_MATRIX!$C$1:$AA$71,ROW()-ROW(B$7)+1,0))</f>
        <v/>
      </c>
    </row>
    <row r="77" spans="1:16" hidden="1" x14ac:dyDescent="0.25">
      <c r="A77" s="1" t="str">
        <f>IF(MODEL_MATRIX!B71="","",MODEL_MATRIX!B71)</f>
        <v/>
      </c>
      <c r="B77" s="1" t="str">
        <f>IF(OR(B$7="",ISERROR($A77)),"",HLOOKUP(B$7,MODEL_MATRIX!$C$1:$AA$71,ROW()-ROW(A$7)+1,0))</f>
        <v/>
      </c>
      <c r="C77" s="1" t="str">
        <f>IF(OR(C$7="",ISERROR($A77)),"",HLOOKUP(C$7,MODEL_MATRIX!$C$1:$AA$71,ROW()-ROW(B$7)+1,0))</f>
        <v/>
      </c>
    </row>
    <row r="80" spans="1:16" hidden="1" x14ac:dyDescent="0.25">
      <c r="A80" s="1" t="str">
        <f>IF(MODEL_MATRIX!B1="","",MODEL_MATRIX!B1)</f>
        <v>Y</v>
      </c>
      <c r="B80" s="1" t="str">
        <f>O81</f>
        <v>A</v>
      </c>
      <c r="C80" s="1" t="str">
        <f>N81</f>
        <v>E</v>
      </c>
      <c r="E80" t="str">
        <f>B80</f>
        <v>A</v>
      </c>
      <c r="F80" t="str">
        <f>C80</f>
        <v>E</v>
      </c>
      <c r="I80" t="str">
        <f>B80</f>
        <v>A</v>
      </c>
      <c r="J80" t="str">
        <f>C80</f>
        <v>E</v>
      </c>
      <c r="K80" t="s">
        <v>15</v>
      </c>
      <c r="O80" s="1" t="str">
        <f>IF(AF1="",IF(O7=B4,C4,B4),AF1)</f>
        <v>AE</v>
      </c>
      <c r="P80" t="str">
        <f>N81</f>
        <v>E</v>
      </c>
    </row>
    <row r="81" spans="1:24" hidden="1" x14ac:dyDescent="0.25">
      <c r="A81" s="1">
        <f>IF(MODEL_MATRIX!B2="","",MODEL_MATRIX!B2)</f>
        <v>4.2919815187500001</v>
      </c>
      <c r="B81" s="1">
        <f>IF(OR(B$7="",ISERROR($A81)),"",HLOOKUP(B$80,MODEL_MATRIX!$C$1:$AA$71,ROW()-ROW(A$80)+1,0))</f>
        <v>-1</v>
      </c>
      <c r="C81" s="1">
        <f>IF(OR(C$80="",ISERROR($A81)),"",HLOOKUP(C$80,MODEL_MATRIX!$C$1:$AA$71,ROW()-ROW(C$80)+1,0))</f>
        <v>-1</v>
      </c>
      <c r="E81">
        <f>IF(E80="","",HLOOKUP(E80,MODEL!$A$13:$Y$14,2,0))</f>
        <v>2</v>
      </c>
      <c r="F81">
        <f>IF(F80="","",HLOOKUP(F80,MODEL!$A$13:$Y$14,2,0))</f>
        <v>2</v>
      </c>
      <c r="I81">
        <f>AVERAGE(B81:B150)</f>
        <v>0</v>
      </c>
      <c r="J81">
        <f>AVERAGE(C81:C150)</f>
        <v>0</v>
      </c>
      <c r="K81">
        <f>MIN(A81:A150)</f>
        <v>3.8313652687499999</v>
      </c>
      <c r="N81" t="str">
        <f>MID(O80,2,1)</f>
        <v>E</v>
      </c>
      <c r="O81" t="str">
        <f>MID(O80,1,1)</f>
        <v>A</v>
      </c>
      <c r="P81" cm="1">
        <f t="array" ref="P81:X81">TRANSPOSE(N82:N90)</f>
        <v>-1</v>
      </c>
      <c r="Q81">
        <v>1</v>
      </c>
      <c r="R81" t="e">
        <v>#N/A</v>
      </c>
      <c r="S81" t="e">
        <v>#N/A</v>
      </c>
      <c r="T81" t="e">
        <v>#N/A</v>
      </c>
      <c r="U81" t="e">
        <v>#N/A</v>
      </c>
      <c r="V81" t="e">
        <v>#N/A</v>
      </c>
      <c r="W81" t="e">
        <v>#N/A</v>
      </c>
      <c r="X81" t="e">
        <v>#N/A</v>
      </c>
    </row>
    <row r="82" spans="1:24" hidden="1" x14ac:dyDescent="0.25">
      <c r="A82" s="1">
        <f>IF(MODEL_MATRIX!B3="","",MODEL_MATRIX!B3)</f>
        <v>4.00793976875</v>
      </c>
      <c r="B82" s="1">
        <f>IF(OR(B$7="",ISERROR($A82)),"",HLOOKUP(B$80,MODEL_MATRIX!$C$1:$AA$71,ROW()-ROW(A$80)+1,0))</f>
        <v>1</v>
      </c>
      <c r="C82" s="1">
        <f>IF(OR(C$80="",ISERROR($A82)),"",HLOOKUP(C$80,MODEL_MATRIX!$C$1:$AA$71,ROW()-ROW(C$80)+1,0))</f>
        <v>-1</v>
      </c>
      <c r="E82" t="str">
        <f t="shared" ref="E82:F82" si="7">IF(E80="","",E80)</f>
        <v>A</v>
      </c>
      <c r="F82" t="str">
        <f t="shared" si="7"/>
        <v>E</v>
      </c>
      <c r="I82">
        <f>I81</f>
        <v>0</v>
      </c>
      <c r="J82">
        <f>J81</f>
        <v>0</v>
      </c>
      <c r="K82">
        <f>MAX(A81:A150)</f>
        <v>8.9268260187500008</v>
      </c>
      <c r="N82">
        <f>HLOOKUP(N$81,$E$82:$F$91,ROW()-ROW($O$80),0)</f>
        <v>-1</v>
      </c>
      <c r="O82">
        <f>HLOOKUP(O$81,$E$82:$F$91,ROW()-ROW($O$80),0)</f>
        <v>-1</v>
      </c>
      <c r="P82">
        <f t="array" ref="P82">IF(ISERROR(P$81&amp;$O82),NA(),IFERROR(AVERAGE(IF($B$81:$B$150=$O82,IF($C$81:$C$150=P$81,$A$81:$A$150,""),"")),NA()))</f>
        <v>6.416015581249999</v>
      </c>
      <c r="Q82">
        <f t="array" ref="Q82">IF(ISERROR(Q$81&amp;$O82),NA(),IFERROR(AVERAGE(IF($B$81:$B$150=$O82,IF($C$81:$C$150=Q$81,$A$81:$A$150,""),"")),NA()))</f>
        <v>6.5143287687499996</v>
      </c>
      <c r="R82" t="e">
        <f t="array" ref="R82">IF(ISERROR(R$81&amp;$O82),NA(),IFERROR(AVERAGE(IF($B$81:$B$150=$O82,IF($C$81:$C$150=R$81,$A$81:$A$150,""),"")),NA()))</f>
        <v>#N/A</v>
      </c>
      <c r="S82" t="e">
        <f t="array" ref="S82">IF(ISERROR(S$81&amp;$O82),NA(),IFERROR(AVERAGE(IF($B$81:$B$150=$O82,IF($C$81:$C$150=S$81,$A$81:$A$150,""),"")),NA()))</f>
        <v>#N/A</v>
      </c>
      <c r="T82" t="e">
        <f t="array" ref="T82">IF(ISERROR(T$81&amp;$O82),NA(),IFERROR(AVERAGE(IF($B$81:$B$150=$O82,IF($C$81:$C$150=T$81,$A$81:$A$150,""),"")),NA()))</f>
        <v>#N/A</v>
      </c>
      <c r="U82" t="e">
        <f t="array" ref="U82">IF(ISERROR(U$81&amp;$O82),NA(),IFERROR(AVERAGE(IF($B$81:$B$150=$O82,IF($C$81:$C$150=U$81,$A$81:$A$150,""),"")),NA()))</f>
        <v>#N/A</v>
      </c>
      <c r="V82" t="e">
        <f t="array" ref="V82">IF(ISERROR(V$81&amp;$O82),NA(),IFERROR(AVERAGE(IF($B$81:$B$150=$O82,IF($C$81:$C$150=V$81,$A$81:$A$150,""),"")),NA()))</f>
        <v>#N/A</v>
      </c>
      <c r="W82" t="e">
        <f t="array" ref="W82">IF(ISERROR(W$81&amp;$O82),NA(),IFERROR(AVERAGE(IF($B$81:$B$150=$O82,IF($C$81:$C$150=W$81,$A$81:$A$150,""),"")),NA()))</f>
        <v>#N/A</v>
      </c>
      <c r="X82" t="e">
        <f t="array" ref="X82">IF(ISERROR(X$81&amp;$O82),NA(),IFERROR(AVERAGE(IF($B$81:$B$150=$O82,IF($C$81:$C$150=X$81,$A$81:$A$150,""),"")),NA()))</f>
        <v>#N/A</v>
      </c>
    </row>
    <row r="83" spans="1:24" hidden="1" x14ac:dyDescent="0.25">
      <c r="A83" s="1">
        <f>IF(MODEL_MATRIX!B4="","",MODEL_MATRIX!B4)</f>
        <v>5.1804760187500003</v>
      </c>
      <c r="B83" s="1">
        <f>IF(OR(B$7="",ISERROR($A83)),"",HLOOKUP(B$80,MODEL_MATRIX!$C$1:$AA$71,ROW()-ROW(A$80)+1,0))</f>
        <v>-1</v>
      </c>
      <c r="C83" s="1">
        <f>IF(OR(C$80="",ISERROR($A83)),"",HLOOKUP(C$80,MODEL_MATRIX!$C$1:$AA$71,ROW()-ROW(C$80)+1,0))</f>
        <v>-1</v>
      </c>
      <c r="E83">
        <f>IF(OR(ROW()-ROW(D$81)&gt;MAX(0,E$81)+1,E$81=""),NA(),HLOOKUP(E$82,MODEL!$A$15:$Y$24,ROW()-ROW(D$81),0))</f>
        <v>-1</v>
      </c>
      <c r="F83">
        <f>IF(OR(ROW()-ROW(E$81)&gt;MAX(0,F$81)+1,F$81=""),NA(),HLOOKUP(F$82,MODEL!$A$15:$Y$24,ROW()-ROW(E$81),0))</f>
        <v>-1</v>
      </c>
      <c r="N83">
        <f t="shared" ref="N83:O90" si="8">HLOOKUP(N$81,$E$82:$F$91,ROW()-ROW($O$80),0)</f>
        <v>1</v>
      </c>
      <c r="O83">
        <f t="shared" si="8"/>
        <v>1</v>
      </c>
      <c r="P83">
        <f t="array" ref="P83">IF(ISERROR(P$81&amp;$O83),NA(),IFERROR(AVERAGE(IF($B$81:$B$150=$O83,IF($C$81:$C$150=P$81,$A$81:$A$150,""),"")),NA()))</f>
        <v>4.62586214375</v>
      </c>
      <c r="Q83">
        <f t="array" ref="Q83">IF(ISERROR(Q$81&amp;$O83),NA(),IFERROR(AVERAGE(IF($B$81:$B$150=$O83,IF($C$81:$C$150=Q$81,$A$81:$A$150,""),"")),NA()))</f>
        <v>6.3995095500000003</v>
      </c>
      <c r="R83" t="e">
        <f t="array" ref="R83">IF(ISERROR(R$81&amp;$O83),NA(),IFERROR(AVERAGE(IF($B$81:$B$150=$O83,IF($C$81:$C$150=R$81,$A$81:$A$150,""),"")),NA()))</f>
        <v>#N/A</v>
      </c>
      <c r="S83" t="e">
        <f t="array" ref="S83">IF(ISERROR(S$81&amp;$O83),NA(),IFERROR(AVERAGE(IF($B$81:$B$150=$O83,IF($C$81:$C$150=S$81,$A$81:$A$150,""),"")),NA()))</f>
        <v>#N/A</v>
      </c>
      <c r="T83" t="e">
        <f t="array" ref="T83">IF(ISERROR(T$81&amp;$O83),NA(),IFERROR(AVERAGE(IF($B$81:$B$150=$O83,IF($C$81:$C$150=T$81,$A$81:$A$150,""),"")),NA()))</f>
        <v>#N/A</v>
      </c>
      <c r="U83" t="e">
        <f t="array" ref="U83">IF(ISERROR(U$81&amp;$O83),NA(),IFERROR(AVERAGE(IF($B$81:$B$150=$O83,IF($C$81:$C$150=U$81,$A$81:$A$150,""),"")),NA()))</f>
        <v>#N/A</v>
      </c>
      <c r="V83" t="e">
        <f t="array" ref="V83">IF(ISERROR(V$81&amp;$O83),NA(),IFERROR(AVERAGE(IF($B$81:$B$150=$O83,IF($C$81:$C$150=V$81,$A$81:$A$150,""),"")),NA()))</f>
        <v>#N/A</v>
      </c>
      <c r="W83" t="e">
        <f t="array" ref="W83">IF(ISERROR(W$81&amp;$O83),NA(),IFERROR(AVERAGE(IF($B$81:$B$150=$O83,IF($C$81:$C$150=W$81,$A$81:$A$150,""),"")),NA()))</f>
        <v>#N/A</v>
      </c>
      <c r="X83" t="e">
        <f t="array" ref="X83">IF(ISERROR(X$81&amp;$O83),NA(),IFERROR(AVERAGE(IF($B$81:$B$150=$O83,IF($C$81:$C$150=X$81,$A$81:$A$150,""),"")),NA()))</f>
        <v>#N/A</v>
      </c>
    </row>
    <row r="84" spans="1:24" hidden="1" x14ac:dyDescent="0.25">
      <c r="A84" s="1">
        <f>IF(MODEL_MATRIX!B5="","",MODEL_MATRIX!B5)</f>
        <v>4.6917005187500003</v>
      </c>
      <c r="B84" s="1">
        <f>IF(OR(B$7="",ISERROR($A84)),"",HLOOKUP(B$80,MODEL_MATRIX!$C$1:$AA$71,ROW()-ROW(A$80)+1,0))</f>
        <v>1</v>
      </c>
      <c r="C84" s="1">
        <f>IF(OR(C$80="",ISERROR($A84)),"",HLOOKUP(C$80,MODEL_MATRIX!$C$1:$AA$71,ROW()-ROW(C$80)+1,0))</f>
        <v>-1</v>
      </c>
      <c r="E84">
        <f>IF(OR(ROW()-ROW(D$81)&gt;MAX(0,E$81)+1,E$81=""),NA(),HLOOKUP(E$82,MODEL!$A$15:$Y$24,ROW()-ROW(D$81),0))</f>
        <v>1</v>
      </c>
      <c r="F84">
        <f>IF(OR(ROW()-ROW(E$81)&gt;MAX(0,F$81)+1,F$81=""),NA(),HLOOKUP(F$82,MODEL!$A$15:$Y$24,ROW()-ROW(E$81),0))</f>
        <v>1</v>
      </c>
      <c r="N84" t="e">
        <f t="shared" si="8"/>
        <v>#N/A</v>
      </c>
      <c r="O84" t="e">
        <f t="shared" si="8"/>
        <v>#N/A</v>
      </c>
      <c r="P84" t="e">
        <f t="array" ref="P84">IF(ISERROR(P$81&amp;$O84),NA(),IFERROR(AVERAGE(IF($B$81:$B$150=$O84,IF($C$81:$C$150=P$81,$A$81:$A$150,""),"")),NA()))</f>
        <v>#N/A</v>
      </c>
      <c r="Q84" t="e">
        <f t="array" ref="Q84">IF(ISERROR(Q$81&amp;$O84),NA(),IFERROR(AVERAGE(IF($B$81:$B$150=$O84,IF($C$81:$C$150=Q$81,$A$81:$A$150,""),"")),NA()))</f>
        <v>#N/A</v>
      </c>
      <c r="R84" t="e">
        <f t="array" ref="R84">IF(ISERROR(R$81&amp;$O84),NA(),IFERROR(AVERAGE(IF($B$81:$B$150=$O84,IF($C$81:$C$150=R$81,$A$81:$A$150,""),"")),NA()))</f>
        <v>#N/A</v>
      </c>
      <c r="S84" t="e">
        <f t="array" ref="S84">IF(ISERROR(S$81&amp;$O84),NA(),IFERROR(AVERAGE(IF($B$81:$B$150=$O84,IF($C$81:$C$150=S$81,$A$81:$A$150,""),"")),NA()))</f>
        <v>#N/A</v>
      </c>
      <c r="T84" t="e">
        <f t="array" ref="T84">IF(ISERROR(T$81&amp;$O84),NA(),IFERROR(AVERAGE(IF($B$81:$B$150=$O84,IF($C$81:$C$150=T$81,$A$81:$A$150,""),"")),NA()))</f>
        <v>#N/A</v>
      </c>
      <c r="U84" t="e">
        <f t="array" ref="U84">IF(ISERROR(U$81&amp;$O84),NA(),IFERROR(AVERAGE(IF($B$81:$B$150=$O84,IF($C$81:$C$150=U$81,$A$81:$A$150,""),"")),NA()))</f>
        <v>#N/A</v>
      </c>
      <c r="V84" t="e">
        <f t="array" ref="V84">IF(ISERROR(V$81&amp;$O84),NA(),IFERROR(AVERAGE(IF($B$81:$B$150=$O84,IF($C$81:$C$150=V$81,$A$81:$A$150,""),"")),NA()))</f>
        <v>#N/A</v>
      </c>
      <c r="W84" t="e">
        <f t="array" ref="W84">IF(ISERROR(W$81&amp;$O84),NA(),IFERROR(AVERAGE(IF($B$81:$B$150=$O84,IF($C$81:$C$150=W$81,$A$81:$A$150,""),"")),NA()))</f>
        <v>#N/A</v>
      </c>
      <c r="X84" t="e">
        <f t="array" ref="X84">IF(ISERROR(X$81&amp;$O84),NA(),IFERROR(AVERAGE(IF($B$81:$B$150=$O84,IF($C$81:$C$150=X$81,$A$81:$A$150,""),"")),NA()))</f>
        <v>#N/A</v>
      </c>
    </row>
    <row r="85" spans="1:24" hidden="1" x14ac:dyDescent="0.25">
      <c r="A85" s="1">
        <f>IF(MODEL_MATRIX!B6="","",MODEL_MATRIX!B6)</f>
        <v>8.5331880187499998</v>
      </c>
      <c r="B85" s="1">
        <f>IF(OR(B$7="",ISERROR($A85)),"",HLOOKUP(B$80,MODEL_MATRIX!$C$1:$AA$71,ROW()-ROW(A$80)+1,0))</f>
        <v>-1</v>
      </c>
      <c r="C85" s="1">
        <f>IF(OR(C$80="",ISERROR($A85)),"",HLOOKUP(C$80,MODEL_MATRIX!$C$1:$AA$71,ROW()-ROW(C$80)+1,0))</f>
        <v>-1</v>
      </c>
      <c r="E85" t="e">
        <f>IF(OR(ROW()-ROW(D$81)&gt;MAX(0,E$81)+1,E$81=""),NA(),HLOOKUP(E$82,MODEL!$A$15:$Y$24,ROW()-ROW(D$81),0))</f>
        <v>#N/A</v>
      </c>
      <c r="F85" t="e">
        <f>IF(OR(ROW()-ROW(E$81)&gt;MAX(0,F$81)+1,F$81=""),NA(),HLOOKUP(F$82,MODEL!$A$15:$Y$24,ROW()-ROW(E$81),0))</f>
        <v>#N/A</v>
      </c>
      <c r="N85" t="e">
        <f t="shared" si="8"/>
        <v>#N/A</v>
      </c>
      <c r="O85" t="e">
        <f t="shared" si="8"/>
        <v>#N/A</v>
      </c>
      <c r="P85" t="e">
        <f t="array" ref="P85">IF(ISERROR(P$81&amp;$O85),NA(),IFERROR(AVERAGE(IF($B$81:$B$150=$O85,IF($C$81:$C$150=P$81,$A$81:$A$150,""),"")),NA()))</f>
        <v>#N/A</v>
      </c>
      <c r="Q85" t="e">
        <f t="array" ref="Q85">IF(ISERROR(Q$81&amp;$O85),NA(),IFERROR(AVERAGE(IF($B$81:$B$150=$O85,IF($C$81:$C$150=Q$81,$A$81:$A$150,""),"")),NA()))</f>
        <v>#N/A</v>
      </c>
      <c r="R85" t="e">
        <f t="array" ref="R85">IF(ISERROR(R$81&amp;$O85),NA(),IFERROR(AVERAGE(IF($B$81:$B$150=$O85,IF($C$81:$C$150=R$81,$A$81:$A$150,""),"")),NA()))</f>
        <v>#N/A</v>
      </c>
      <c r="S85" t="e">
        <f t="array" ref="S85">IF(ISERROR(S$81&amp;$O85),NA(),IFERROR(AVERAGE(IF($B$81:$B$150=$O85,IF($C$81:$C$150=S$81,$A$81:$A$150,""),"")),NA()))</f>
        <v>#N/A</v>
      </c>
      <c r="T85" t="e">
        <f t="array" ref="T85">IF(ISERROR(T$81&amp;$O85),NA(),IFERROR(AVERAGE(IF($B$81:$B$150=$O85,IF($C$81:$C$150=T$81,$A$81:$A$150,""),"")),NA()))</f>
        <v>#N/A</v>
      </c>
      <c r="U85" t="e">
        <f t="array" ref="U85">IF(ISERROR(U$81&amp;$O85),NA(),IFERROR(AVERAGE(IF($B$81:$B$150=$O85,IF($C$81:$C$150=U$81,$A$81:$A$150,""),"")),NA()))</f>
        <v>#N/A</v>
      </c>
      <c r="V85" t="e">
        <f t="array" ref="V85">IF(ISERROR(V$81&amp;$O85),NA(),IFERROR(AVERAGE(IF($B$81:$B$150=$O85,IF($C$81:$C$150=V$81,$A$81:$A$150,""),"")),NA()))</f>
        <v>#N/A</v>
      </c>
      <c r="W85" t="e">
        <f t="array" ref="W85">IF(ISERROR(W$81&amp;$O85),NA(),IFERROR(AVERAGE(IF($B$81:$B$150=$O85,IF($C$81:$C$150=W$81,$A$81:$A$150,""),"")),NA()))</f>
        <v>#N/A</v>
      </c>
      <c r="X85" t="e">
        <f t="array" ref="X85">IF(ISERROR(X$81&amp;$O85),NA(),IFERROR(AVERAGE(IF($B$81:$B$150=$O85,IF($C$81:$C$150=X$81,$A$81:$A$150,""),"")),NA()))</f>
        <v>#N/A</v>
      </c>
    </row>
    <row r="86" spans="1:24" hidden="1" x14ac:dyDescent="0.25">
      <c r="A86" s="1">
        <f>IF(MODEL_MATRIX!B7="","",MODEL_MATRIX!B7)</f>
        <v>4.3121690187499997</v>
      </c>
      <c r="B86" s="1">
        <f>IF(OR(B$7="",ISERROR($A86)),"",HLOOKUP(B$80,MODEL_MATRIX!$C$1:$AA$71,ROW()-ROW(A$80)+1,0))</f>
        <v>1</v>
      </c>
      <c r="C86" s="1">
        <f>IF(OR(C$80="",ISERROR($A86)),"",HLOOKUP(C$80,MODEL_MATRIX!$C$1:$AA$71,ROW()-ROW(C$80)+1,0))</f>
        <v>-1</v>
      </c>
      <c r="E86" t="e">
        <f>IF(OR(ROW()-ROW(D$81)&gt;MAX(0,E$81)+1,E$81=""),NA(),HLOOKUP(E$82,MODEL!$A$15:$Y$24,ROW()-ROW(D$81),0))</f>
        <v>#N/A</v>
      </c>
      <c r="F86" t="e">
        <f>IF(OR(ROW()-ROW(E$81)&gt;MAX(0,F$81)+1,F$81=""),NA(),HLOOKUP(F$82,MODEL!$A$15:$Y$24,ROW()-ROW(E$81),0))</f>
        <v>#N/A</v>
      </c>
      <c r="N86" t="e">
        <f t="shared" si="8"/>
        <v>#N/A</v>
      </c>
      <c r="O86" t="e">
        <f t="shared" si="8"/>
        <v>#N/A</v>
      </c>
      <c r="P86" t="e">
        <f t="array" ref="P86">IF(ISERROR(P$81&amp;$O86),NA(),IFERROR(AVERAGE(IF($B$81:$B$150=$O86,IF($C$81:$C$150=P$81,$A$81:$A$150,""),"")),NA()))</f>
        <v>#N/A</v>
      </c>
      <c r="Q86" t="e">
        <f t="array" ref="Q86">IF(ISERROR(Q$81&amp;$O86),NA(),IFERROR(AVERAGE(IF($B$81:$B$150=$O86,IF($C$81:$C$150=Q$81,$A$81:$A$150,""),"")),NA()))</f>
        <v>#N/A</v>
      </c>
      <c r="R86" t="e">
        <f t="array" ref="R86">IF(ISERROR(R$81&amp;$O86),NA(),IFERROR(AVERAGE(IF($B$81:$B$150=$O86,IF($C$81:$C$150=R$81,$A$81:$A$150,""),"")),NA()))</f>
        <v>#N/A</v>
      </c>
      <c r="S86" t="e">
        <f t="array" ref="S86">IF(ISERROR(S$81&amp;$O86),NA(),IFERROR(AVERAGE(IF($B$81:$B$150=$O86,IF($C$81:$C$150=S$81,$A$81:$A$150,""),"")),NA()))</f>
        <v>#N/A</v>
      </c>
      <c r="T86" t="e">
        <f t="array" ref="T86">IF(ISERROR(T$81&amp;$O86),NA(),IFERROR(AVERAGE(IF($B$81:$B$150=$O86,IF($C$81:$C$150=T$81,$A$81:$A$150,""),"")),NA()))</f>
        <v>#N/A</v>
      </c>
      <c r="U86" t="e">
        <f t="array" ref="U86">IF(ISERROR(U$81&amp;$O86),NA(),IFERROR(AVERAGE(IF($B$81:$B$150=$O86,IF($C$81:$C$150=U$81,$A$81:$A$150,""),"")),NA()))</f>
        <v>#N/A</v>
      </c>
      <c r="V86" t="e">
        <f t="array" ref="V86">IF(ISERROR(V$81&amp;$O86),NA(),IFERROR(AVERAGE(IF($B$81:$B$150=$O86,IF($C$81:$C$150=V$81,$A$81:$A$150,""),"")),NA()))</f>
        <v>#N/A</v>
      </c>
      <c r="W86" t="e">
        <f t="array" ref="W86">IF(ISERROR(W$81&amp;$O86),NA(),IFERROR(AVERAGE(IF($B$81:$B$150=$O86,IF($C$81:$C$150=W$81,$A$81:$A$150,""),"")),NA()))</f>
        <v>#N/A</v>
      </c>
      <c r="X86" t="e">
        <f t="array" ref="X86">IF(ISERROR(X$81&amp;$O86),NA(),IFERROR(AVERAGE(IF($B$81:$B$150=$O86,IF($C$81:$C$150=X$81,$A$81:$A$150,""),"")),NA()))</f>
        <v>#N/A</v>
      </c>
    </row>
    <row r="87" spans="1:24" hidden="1" x14ac:dyDescent="0.25">
      <c r="A87" s="1">
        <f>IF(MODEL_MATRIX!B8="","",MODEL_MATRIX!B8)</f>
        <v>8.3170460187500002</v>
      </c>
      <c r="B87" s="1">
        <f>IF(OR(B$7="",ISERROR($A87)),"",HLOOKUP(B$80,MODEL_MATRIX!$C$1:$AA$71,ROW()-ROW(A$80)+1,0))</f>
        <v>-1</v>
      </c>
      <c r="C87" s="1">
        <f>IF(OR(C$80="",ISERROR($A87)),"",HLOOKUP(C$80,MODEL_MATRIX!$C$1:$AA$71,ROW()-ROW(C$80)+1,0))</f>
        <v>-1</v>
      </c>
      <c r="E87" t="e">
        <f>IF(OR(ROW()-ROW(D$81)&gt;MAX(0,E$81)+1,E$81=""),NA(),HLOOKUP(E$82,MODEL!$A$15:$Y$24,ROW()-ROW(D$81),0))</f>
        <v>#N/A</v>
      </c>
      <c r="F87" t="e">
        <f>IF(OR(ROW()-ROW(E$81)&gt;MAX(0,F$81)+1,F$81=""),NA(),HLOOKUP(F$82,MODEL!$A$15:$Y$24,ROW()-ROW(E$81),0))</f>
        <v>#N/A</v>
      </c>
      <c r="N87" t="e">
        <f t="shared" si="8"/>
        <v>#N/A</v>
      </c>
      <c r="O87" t="e">
        <f t="shared" si="8"/>
        <v>#N/A</v>
      </c>
      <c r="P87" t="e">
        <f t="array" ref="P87">IF(ISERROR(P$81&amp;$O87),NA(),IFERROR(AVERAGE(IF($B$81:$B$150=$O87,IF($C$81:$C$150=P$81,$A$81:$A$150,""),"")),NA()))</f>
        <v>#N/A</v>
      </c>
      <c r="Q87" t="e">
        <f t="array" ref="Q87">IF(ISERROR(Q$81&amp;$O87),NA(),IFERROR(AVERAGE(IF($B$81:$B$150=$O87,IF($C$81:$C$150=Q$81,$A$81:$A$150,""),"")),NA()))</f>
        <v>#N/A</v>
      </c>
      <c r="R87" t="e">
        <f t="array" ref="R87">IF(ISERROR(R$81&amp;$O87),NA(),IFERROR(AVERAGE(IF($B$81:$B$150=$O87,IF($C$81:$C$150=R$81,$A$81:$A$150,""),"")),NA()))</f>
        <v>#N/A</v>
      </c>
      <c r="S87" t="e">
        <f t="array" ref="S87">IF(ISERROR(S$81&amp;$O87),NA(),IFERROR(AVERAGE(IF($B$81:$B$150=$O87,IF($C$81:$C$150=S$81,$A$81:$A$150,""),"")),NA()))</f>
        <v>#N/A</v>
      </c>
      <c r="T87" t="e">
        <f t="array" ref="T87">IF(ISERROR(T$81&amp;$O87),NA(),IFERROR(AVERAGE(IF($B$81:$B$150=$O87,IF($C$81:$C$150=T$81,$A$81:$A$150,""),"")),NA()))</f>
        <v>#N/A</v>
      </c>
      <c r="U87" t="e">
        <f t="array" ref="U87">IF(ISERROR(U$81&amp;$O87),NA(),IFERROR(AVERAGE(IF($B$81:$B$150=$O87,IF($C$81:$C$150=U$81,$A$81:$A$150,""),"")),NA()))</f>
        <v>#N/A</v>
      </c>
      <c r="V87" t="e">
        <f t="array" ref="V87">IF(ISERROR(V$81&amp;$O87),NA(),IFERROR(AVERAGE(IF($B$81:$B$150=$O87,IF($C$81:$C$150=V$81,$A$81:$A$150,""),"")),NA()))</f>
        <v>#N/A</v>
      </c>
      <c r="W87" t="e">
        <f t="array" ref="W87">IF(ISERROR(W$81&amp;$O87),NA(),IFERROR(AVERAGE(IF($B$81:$B$150=$O87,IF($C$81:$C$150=W$81,$A$81:$A$150,""),"")),NA()))</f>
        <v>#N/A</v>
      </c>
      <c r="X87" t="e">
        <f t="array" ref="X87">IF(ISERROR(X$81&amp;$O87),NA(),IFERROR(AVERAGE(IF($B$81:$B$150=$O87,IF($C$81:$C$150=X$81,$A$81:$A$150,""),"")),NA()))</f>
        <v>#N/A</v>
      </c>
    </row>
    <row r="88" spans="1:24" hidden="1" x14ac:dyDescent="0.25">
      <c r="A88" s="1">
        <f>IF(MODEL_MATRIX!B9="","",MODEL_MATRIX!B9)</f>
        <v>4.2429670187499999</v>
      </c>
      <c r="B88" s="1">
        <f>IF(OR(B$7="",ISERROR($A88)),"",HLOOKUP(B$80,MODEL_MATRIX!$C$1:$AA$71,ROW()-ROW(A$80)+1,0))</f>
        <v>1</v>
      </c>
      <c r="C88" s="1">
        <f>IF(OR(C$80="",ISERROR($A88)),"",HLOOKUP(C$80,MODEL_MATRIX!$C$1:$AA$71,ROW()-ROW(C$80)+1,0))</f>
        <v>-1</v>
      </c>
      <c r="E88" t="e">
        <f>IF(OR(ROW()-ROW(D$81)&gt;MAX(0,E$81)+1,E$81=""),NA(),HLOOKUP(E$82,MODEL!$A$15:$Y$24,ROW()-ROW(D$81),0))</f>
        <v>#N/A</v>
      </c>
      <c r="F88" t="e">
        <f>IF(OR(ROW()-ROW(E$81)&gt;MAX(0,F$81)+1,F$81=""),NA(),HLOOKUP(F$82,MODEL!$A$15:$Y$24,ROW()-ROW(E$81),0))</f>
        <v>#N/A</v>
      </c>
      <c r="N88" t="e">
        <f t="shared" si="8"/>
        <v>#N/A</v>
      </c>
      <c r="O88" t="e">
        <f t="shared" si="8"/>
        <v>#N/A</v>
      </c>
      <c r="P88" t="e">
        <f t="array" ref="P88">IF(ISERROR(P$81&amp;$O88),NA(),IFERROR(AVERAGE(IF($B$81:$B$150=$O88,IF($C$81:$C$150=P$81,$A$81:$A$150,""),"")),NA()))</f>
        <v>#N/A</v>
      </c>
      <c r="Q88" t="e">
        <f t="array" ref="Q88">IF(ISERROR(Q$81&amp;$O88),NA(),IFERROR(AVERAGE(IF($B$81:$B$150=$O88,IF($C$81:$C$150=Q$81,$A$81:$A$150,""),"")),NA()))</f>
        <v>#N/A</v>
      </c>
      <c r="R88" t="e">
        <f t="array" ref="R88">IF(ISERROR(R$81&amp;$O88),NA(),IFERROR(AVERAGE(IF($B$81:$B$150=$O88,IF($C$81:$C$150=R$81,$A$81:$A$150,""),"")),NA()))</f>
        <v>#N/A</v>
      </c>
      <c r="S88" t="e">
        <f t="array" ref="S88">IF(ISERROR(S$81&amp;$O88),NA(),IFERROR(AVERAGE(IF($B$81:$B$150=$O88,IF($C$81:$C$150=S$81,$A$81:$A$150,""),"")),NA()))</f>
        <v>#N/A</v>
      </c>
      <c r="T88" t="e">
        <f t="array" ref="T88">IF(ISERROR(T$81&amp;$O88),NA(),IFERROR(AVERAGE(IF($B$81:$B$150=$O88,IF($C$81:$C$150=T$81,$A$81:$A$150,""),"")),NA()))</f>
        <v>#N/A</v>
      </c>
      <c r="U88" t="e">
        <f t="array" ref="U88">IF(ISERROR(U$81&amp;$O88),NA(),IFERROR(AVERAGE(IF($B$81:$B$150=$O88,IF($C$81:$C$150=U$81,$A$81:$A$150,""),"")),NA()))</f>
        <v>#N/A</v>
      </c>
      <c r="V88" t="e">
        <f t="array" ref="V88">IF(ISERROR(V$81&amp;$O88),NA(),IFERROR(AVERAGE(IF($B$81:$B$150=$O88,IF($C$81:$C$150=V$81,$A$81:$A$150,""),"")),NA()))</f>
        <v>#N/A</v>
      </c>
      <c r="W88" t="e">
        <f t="array" ref="W88">IF(ISERROR(W$81&amp;$O88),NA(),IFERROR(AVERAGE(IF($B$81:$B$150=$O88,IF($C$81:$C$150=W$81,$A$81:$A$150,""),"")),NA()))</f>
        <v>#N/A</v>
      </c>
      <c r="X88" t="e">
        <f t="array" ref="X88">IF(ISERROR(X$81&amp;$O88),NA(),IFERROR(AVERAGE(IF($B$81:$B$150=$O88,IF($C$81:$C$150=X$81,$A$81:$A$150,""),"")),NA()))</f>
        <v>#N/A</v>
      </c>
    </row>
    <row r="89" spans="1:24" hidden="1" x14ac:dyDescent="0.25">
      <c r="A89" s="1">
        <f>IF(MODEL_MATRIX!B10="","",MODEL_MATRIX!B10)</f>
        <v>4.7379400187499998</v>
      </c>
      <c r="B89" s="1">
        <f>IF(OR(B$7="",ISERROR($A89)),"",HLOOKUP(B$80,MODEL_MATRIX!$C$1:$AA$71,ROW()-ROW(A$80)+1,0))</f>
        <v>-1</v>
      </c>
      <c r="C89" s="1">
        <f>IF(OR(C$80="",ISERROR($A89)),"",HLOOKUP(C$80,MODEL_MATRIX!$C$1:$AA$71,ROW()-ROW(C$80)+1,0))</f>
        <v>-1</v>
      </c>
      <c r="E89" t="e">
        <f>IF(OR(ROW()-ROW(D$81)&gt;MAX(0,E$81)+1,E$81=""),NA(),HLOOKUP(E$82,MODEL!$A$15:$Y$24,ROW()-ROW(D$81),0))</f>
        <v>#N/A</v>
      </c>
      <c r="F89" t="e">
        <f>IF(OR(ROW()-ROW(E$81)&gt;MAX(0,F$81)+1,F$81=""),NA(),HLOOKUP(F$82,MODEL!$A$15:$Y$24,ROW()-ROW(E$81),0))</f>
        <v>#N/A</v>
      </c>
      <c r="N89" t="e">
        <f t="shared" si="8"/>
        <v>#N/A</v>
      </c>
      <c r="O89" t="e">
        <f t="shared" si="8"/>
        <v>#N/A</v>
      </c>
      <c r="P89" t="e">
        <f t="array" ref="P89">IF(ISERROR(P$81&amp;$O89),NA(),IFERROR(AVERAGE(IF($B$81:$B$150=$O89,IF($C$81:$C$150=P$81,$A$81:$A$150,""),"")),NA()))</f>
        <v>#N/A</v>
      </c>
      <c r="Q89" t="e">
        <f t="array" ref="Q89">IF(ISERROR(Q$81&amp;$O89),NA(),IFERROR(AVERAGE(IF($B$81:$B$150=$O89,IF($C$81:$C$150=Q$81,$A$81:$A$150,""),"")),NA()))</f>
        <v>#N/A</v>
      </c>
      <c r="R89" t="e">
        <f t="array" ref="R89">IF(ISERROR(R$81&amp;$O89),NA(),IFERROR(AVERAGE(IF($B$81:$B$150=$O89,IF($C$81:$C$150=R$81,$A$81:$A$150,""),"")),NA()))</f>
        <v>#N/A</v>
      </c>
      <c r="S89" t="e">
        <f t="array" ref="S89">IF(ISERROR(S$81&amp;$O89),NA(),IFERROR(AVERAGE(IF($B$81:$B$150=$O89,IF($C$81:$C$150=S$81,$A$81:$A$150,""),"")),NA()))</f>
        <v>#N/A</v>
      </c>
      <c r="T89" t="e">
        <f t="array" ref="T89">IF(ISERROR(T$81&amp;$O89),NA(),IFERROR(AVERAGE(IF($B$81:$B$150=$O89,IF($C$81:$C$150=T$81,$A$81:$A$150,""),"")),NA()))</f>
        <v>#N/A</v>
      </c>
      <c r="U89" t="e">
        <f t="array" ref="U89">IF(ISERROR(U$81&amp;$O89),NA(),IFERROR(AVERAGE(IF($B$81:$B$150=$O89,IF($C$81:$C$150=U$81,$A$81:$A$150,""),"")),NA()))</f>
        <v>#N/A</v>
      </c>
      <c r="V89" t="e">
        <f t="array" ref="V89">IF(ISERROR(V$81&amp;$O89),NA(),IFERROR(AVERAGE(IF($B$81:$B$150=$O89,IF($C$81:$C$150=V$81,$A$81:$A$150,""),"")),NA()))</f>
        <v>#N/A</v>
      </c>
      <c r="W89" t="e">
        <f t="array" ref="W89">IF(ISERROR(W$81&amp;$O89),NA(),IFERROR(AVERAGE(IF($B$81:$B$150=$O89,IF($C$81:$C$150=W$81,$A$81:$A$150,""),"")),NA()))</f>
        <v>#N/A</v>
      </c>
      <c r="X89" t="e">
        <f t="array" ref="X89">IF(ISERROR(X$81&amp;$O89),NA(),IFERROR(AVERAGE(IF($B$81:$B$150=$O89,IF($C$81:$C$150=X$81,$A$81:$A$150,""),"")),NA()))</f>
        <v>#N/A</v>
      </c>
    </row>
    <row r="90" spans="1:24" hidden="1" x14ac:dyDescent="0.25">
      <c r="A90" s="1">
        <f>IF(MODEL_MATRIX!B11="","",MODEL_MATRIX!B11)</f>
        <v>3.8313652687499999</v>
      </c>
      <c r="B90" s="1">
        <f>IF(OR(B$7="",ISERROR($A90)),"",HLOOKUP(B$80,MODEL_MATRIX!$C$1:$AA$71,ROW()-ROW(A$80)+1,0))</f>
        <v>1</v>
      </c>
      <c r="C90" s="1">
        <f>IF(OR(C$80="",ISERROR($A90)),"",HLOOKUP(C$80,MODEL_MATRIX!$C$1:$AA$71,ROW()-ROW(C$80)+1,0))</f>
        <v>-1</v>
      </c>
      <c r="E90" t="e">
        <f>IF(OR(ROW()-ROW(D$81)&gt;MAX(0,E$81)+1,E$81=""),NA(),HLOOKUP(E$82,MODEL!$A$15:$Y$24,ROW()-ROW(D$81),0))</f>
        <v>#N/A</v>
      </c>
      <c r="F90" t="e">
        <f>IF(OR(ROW()-ROW(E$81)&gt;MAX(0,F$81)+1,F$81=""),NA(),HLOOKUP(F$82,MODEL!$A$15:$Y$24,ROW()-ROW(E$81),0))</f>
        <v>#N/A</v>
      </c>
      <c r="N90" t="e">
        <f t="shared" si="8"/>
        <v>#N/A</v>
      </c>
      <c r="O90" t="e">
        <f t="shared" si="8"/>
        <v>#N/A</v>
      </c>
      <c r="P90" t="e">
        <f t="array" ref="P90">IF(ISERROR(P$81&amp;$O90),NA(),IFERROR(AVERAGE(IF($B$81:$B$150=$O90,IF($C$81:$C$150=P$81,$A$81:$A$150,""),"")),NA()))</f>
        <v>#N/A</v>
      </c>
      <c r="Q90" t="e">
        <f t="array" ref="Q90">IF(ISERROR(Q$81&amp;$O90),NA(),IFERROR(AVERAGE(IF($B$81:$B$150=$O90,IF($C$81:$C$150=Q$81,$A$81:$A$150,""),"")),NA()))</f>
        <v>#N/A</v>
      </c>
      <c r="R90" t="e">
        <f t="array" ref="R90">IF(ISERROR(R$81&amp;$O90),NA(),IFERROR(AVERAGE(IF($B$81:$B$150=$O90,IF($C$81:$C$150=R$81,$A$81:$A$150,""),"")),NA()))</f>
        <v>#N/A</v>
      </c>
      <c r="S90" t="e">
        <f t="array" ref="S90">IF(ISERROR(S$81&amp;$O90),NA(),IFERROR(AVERAGE(IF($B$81:$B$150=$O90,IF($C$81:$C$150=S$81,$A$81:$A$150,""),"")),NA()))</f>
        <v>#N/A</v>
      </c>
      <c r="T90" t="e">
        <f t="array" ref="T90">IF(ISERROR(T$81&amp;$O90),NA(),IFERROR(AVERAGE(IF($B$81:$B$150=$O90,IF($C$81:$C$150=T$81,$A$81:$A$150,""),"")),NA()))</f>
        <v>#N/A</v>
      </c>
      <c r="U90" t="e">
        <f t="array" ref="U90">IF(ISERROR(U$81&amp;$O90),NA(),IFERROR(AVERAGE(IF($B$81:$B$150=$O90,IF($C$81:$C$150=U$81,$A$81:$A$150,""),"")),NA()))</f>
        <v>#N/A</v>
      </c>
      <c r="V90" t="e">
        <f t="array" ref="V90">IF(ISERROR(V$81&amp;$O90),NA(),IFERROR(AVERAGE(IF($B$81:$B$150=$O90,IF($C$81:$C$150=V$81,$A$81:$A$150,""),"")),NA()))</f>
        <v>#N/A</v>
      </c>
      <c r="W90" t="e">
        <f t="array" ref="W90">IF(ISERROR(W$81&amp;$O90),NA(),IFERROR(AVERAGE(IF($B$81:$B$150=$O90,IF($C$81:$C$150=W$81,$A$81:$A$150,""),"")),NA()))</f>
        <v>#N/A</v>
      </c>
      <c r="X90" t="e">
        <f t="array" ref="X90">IF(ISERROR(X$81&amp;$O90),NA(),IFERROR(AVERAGE(IF($B$81:$B$150=$O90,IF($C$81:$C$150=X$81,$A$81:$A$150,""),"")),NA()))</f>
        <v>#N/A</v>
      </c>
    </row>
    <row r="91" spans="1:24" hidden="1" x14ac:dyDescent="0.25">
      <c r="A91" s="1">
        <f>IF(MODEL_MATRIX!B12="","",MODEL_MATRIX!B12)</f>
        <v>5.4280640187499998</v>
      </c>
      <c r="B91" s="1">
        <f>IF(OR(B$7="",ISERROR($A91)),"",HLOOKUP(B$80,MODEL_MATRIX!$C$1:$AA$71,ROW()-ROW(A$80)+1,0))</f>
        <v>-1</v>
      </c>
      <c r="C91" s="1">
        <f>IF(OR(C$80="",ISERROR($A91)),"",HLOOKUP(C$80,MODEL_MATRIX!$C$1:$AA$71,ROW()-ROW(C$80)+1,0))</f>
        <v>-1</v>
      </c>
      <c r="E91" t="e">
        <f>IF(OR(ROW()-ROW(D$81)&gt;MAX(0,E$81)+1,E$81=""),NA(),HLOOKUP(E$82,MODEL!$A$15:$Y$24,ROW()-ROW(D$81),0))</f>
        <v>#N/A</v>
      </c>
      <c r="F91" t="e">
        <f>IF(OR(ROW()-ROW(E$81)&gt;MAX(0,F$81)+1,F$81=""),NA(),HLOOKUP(F$82,MODEL!$A$15:$Y$24,ROW()-ROW(E$81),0))</f>
        <v>#N/A</v>
      </c>
      <c r="P91" t="str">
        <f>$P$80 &amp; " = " &amp; P81</f>
        <v>E = -1</v>
      </c>
      <c r="Q91" t="str">
        <f t="shared" ref="Q91:X91" si="9">$P$80 &amp; " = " &amp; Q81</f>
        <v>E = 1</v>
      </c>
      <c r="R91" t="e">
        <f t="shared" si="9"/>
        <v>#N/A</v>
      </c>
      <c r="S91" t="e">
        <f t="shared" si="9"/>
        <v>#N/A</v>
      </c>
      <c r="T91" t="e">
        <f t="shared" si="9"/>
        <v>#N/A</v>
      </c>
      <c r="U91" t="e">
        <f t="shared" si="9"/>
        <v>#N/A</v>
      </c>
      <c r="V91" t="e">
        <f t="shared" si="9"/>
        <v>#N/A</v>
      </c>
      <c r="W91" t="e">
        <f t="shared" si="9"/>
        <v>#N/A</v>
      </c>
      <c r="X91" t="e">
        <f t="shared" si="9"/>
        <v>#N/A</v>
      </c>
    </row>
    <row r="92" spans="1:24" hidden="1" x14ac:dyDescent="0.25">
      <c r="A92" s="1">
        <f>IF(MODEL_MATRIX!B13="","",MODEL_MATRIX!B13)</f>
        <v>4.8226030187499997</v>
      </c>
      <c r="B92" s="1">
        <f>IF(OR(B$7="",ISERROR($A92)),"",HLOOKUP(B$80,MODEL_MATRIX!$C$1:$AA$71,ROW()-ROW(A$80)+1,0))</f>
        <v>1</v>
      </c>
      <c r="C92" s="1">
        <f>IF(OR(C$80="",ISERROR($A92)),"",HLOOKUP(C$80,MODEL_MATRIX!$C$1:$AA$71,ROW()-ROW(C$80)+1,0))</f>
        <v>-1</v>
      </c>
    </row>
    <row r="93" spans="1:24" hidden="1" x14ac:dyDescent="0.25">
      <c r="A93" s="1">
        <f>IF(MODEL_MATRIX!B14="","",MODEL_MATRIX!B14)</f>
        <v>7.74115001875</v>
      </c>
      <c r="B93" s="1">
        <f>IF(OR(B$7="",ISERROR($A93)),"",HLOOKUP(B$80,MODEL_MATRIX!$C$1:$AA$71,ROW()-ROW(A$80)+1,0))</f>
        <v>-1</v>
      </c>
      <c r="C93" s="1">
        <f>IF(OR(C$80="",ISERROR($A93)),"",HLOOKUP(C$80,MODEL_MATRIX!$C$1:$AA$71,ROW()-ROW(C$80)+1,0))</f>
        <v>-1</v>
      </c>
      <c r="O93" t="str">
        <f>N81&amp;O81</f>
        <v>EA</v>
      </c>
      <c r="P93" t="str">
        <f>N94</f>
        <v>A</v>
      </c>
    </row>
    <row r="94" spans="1:24" hidden="1" x14ac:dyDescent="0.25">
      <c r="A94" s="1">
        <f>IF(MODEL_MATRIX!B15="","",MODEL_MATRIX!B15)</f>
        <v>5.2487835187499998</v>
      </c>
      <c r="B94" s="1">
        <f>IF(OR(B$7="",ISERROR($A94)),"",HLOOKUP(B$80,MODEL_MATRIX!$C$1:$AA$71,ROW()-ROW(A$80)+1,0))</f>
        <v>1</v>
      </c>
      <c r="C94" s="1">
        <f>IF(OR(C$80="",ISERROR($A94)),"",HLOOKUP(C$80,MODEL_MATRIX!$C$1:$AA$71,ROW()-ROW(C$80)+1,0))</f>
        <v>-1</v>
      </c>
      <c r="N94" t="str">
        <f>MID(O93,2,1)</f>
        <v>A</v>
      </c>
      <c r="O94" t="str">
        <f>MID(O93,1,1)</f>
        <v>E</v>
      </c>
      <c r="P94" cm="1">
        <f t="array" ref="P94:X94">TRANSPOSE(N95:N103)</f>
        <v>-1</v>
      </c>
      <c r="Q94">
        <v>1</v>
      </c>
      <c r="R94" t="e">
        <v>#N/A</v>
      </c>
      <c r="S94" t="e">
        <v>#N/A</v>
      </c>
      <c r="T94" t="e">
        <v>#N/A</v>
      </c>
      <c r="U94" t="e">
        <v>#N/A</v>
      </c>
      <c r="V94" t="e">
        <v>#N/A</v>
      </c>
      <c r="W94" t="e">
        <v>#N/A</v>
      </c>
      <c r="X94" t="e">
        <v>#N/A</v>
      </c>
    </row>
    <row r="95" spans="1:24" hidden="1" x14ac:dyDescent="0.25">
      <c r="A95" s="1">
        <f>IF(MODEL_MATRIX!B16="","",MODEL_MATRIX!B16)</f>
        <v>7.0982790187499996</v>
      </c>
      <c r="B95" s="1">
        <f>IF(OR(B$7="",ISERROR($A95)),"",HLOOKUP(B$80,MODEL_MATRIX!$C$1:$AA$71,ROW()-ROW(A$80)+1,0))</f>
        <v>-1</v>
      </c>
      <c r="C95" s="1">
        <f>IF(OR(C$80="",ISERROR($A95)),"",HLOOKUP(C$80,MODEL_MATRIX!$C$1:$AA$71,ROW()-ROW(C$80)+1,0))</f>
        <v>-1</v>
      </c>
      <c r="N95">
        <f>HLOOKUP(N$94,$E$82:$F$91,ROW()-ROW($O$93),0)</f>
        <v>-1</v>
      </c>
      <c r="O95">
        <f>HLOOKUP(O$94,$E$82:$F$91,ROW()-ROW($O$93),0)</f>
        <v>-1</v>
      </c>
      <c r="P95" cm="1">
        <f t="array" ref="P95">IF(ISERROR(P$94&amp;$O95),NA(),IFERROR(AVERAGE(IF($C$81:$C$150=$O95,IF($B$81:$B$150=P$94,$A$81:$A$150,""),"")),NA()))</f>
        <v>6.416015581249999</v>
      </c>
      <c r="Q95" cm="1">
        <f t="array" ref="Q95">IF(ISERROR(Q$94&amp;$O95),NA(),IFERROR(AVERAGE(IF($C$81:$C$150=$O95,IF($B$81:$B$150=Q$94,$A$81:$A$150,""),"")),NA()))</f>
        <v>4.62586214375</v>
      </c>
      <c r="R95" t="e" cm="1">
        <f t="array" ref="R95">IF(ISERROR(R$94&amp;$O95),NA(),IFERROR(AVERAGE(IF($C$81:$C$150=$O95,IF($B$81:$B$150=R$94,$A$81:$A$150,""),"")),NA()))</f>
        <v>#N/A</v>
      </c>
      <c r="S95" t="e" cm="1">
        <f t="array" ref="S95">IF(ISERROR(S$94&amp;$O95),NA(),IFERROR(AVERAGE(IF($C$81:$C$150=$O95,IF($B$81:$B$150=S$94,$A$81:$A$150,""),"")),NA()))</f>
        <v>#N/A</v>
      </c>
      <c r="T95" t="e" cm="1">
        <f t="array" ref="T95">IF(ISERROR(T$94&amp;$O95),NA(),IFERROR(AVERAGE(IF($C$81:$C$150=$O95,IF($B$81:$B$150=T$94,$A$81:$A$150,""),"")),NA()))</f>
        <v>#N/A</v>
      </c>
      <c r="U95" t="e" cm="1">
        <f t="array" ref="U95">IF(ISERROR(U$94&amp;$O95),NA(),IFERROR(AVERAGE(IF($C$81:$C$150=$O95,IF($B$81:$B$150=U$94,$A$81:$A$150,""),"")),NA()))</f>
        <v>#N/A</v>
      </c>
      <c r="V95" t="e" cm="1">
        <f t="array" ref="V95">IF(ISERROR(V$94&amp;$O95),NA(),IFERROR(AVERAGE(IF($C$81:$C$150=$O95,IF($B$81:$B$150=V$94,$A$81:$A$150,""),"")),NA()))</f>
        <v>#N/A</v>
      </c>
      <c r="W95" t="e" cm="1">
        <f t="array" ref="W95">IF(ISERROR(W$94&amp;$O95),NA(),IFERROR(AVERAGE(IF($C$81:$C$150=$O95,IF($B$81:$B$150=W$94,$A$81:$A$150,""),"")),NA()))</f>
        <v>#N/A</v>
      </c>
      <c r="X95" t="e" cm="1">
        <f t="array" ref="X95">IF(ISERROR(X$94&amp;$O95),NA(),IFERROR(AVERAGE(IF($C$81:$C$150=$O95,IF($B$81:$B$150=X$94,$A$81:$A$150,""),"")),NA()))</f>
        <v>#N/A</v>
      </c>
    </row>
    <row r="96" spans="1:24" hidden="1" x14ac:dyDescent="0.25">
      <c r="A96" s="1">
        <f>IF(MODEL_MATRIX!B17="","",MODEL_MATRIX!B17)</f>
        <v>5.84936901875</v>
      </c>
      <c r="B96" s="1">
        <f>IF(OR(B$7="",ISERROR($A96)),"",HLOOKUP(B$80,MODEL_MATRIX!$C$1:$AA$71,ROW()-ROW(A$80)+1,0))</f>
        <v>1</v>
      </c>
      <c r="C96" s="1">
        <f>IF(OR(C$80="",ISERROR($A96)),"",HLOOKUP(C$80,MODEL_MATRIX!$C$1:$AA$71,ROW()-ROW(C$80)+1,0))</f>
        <v>-1</v>
      </c>
      <c r="N96">
        <f t="shared" ref="N96:O103" si="10">HLOOKUP(N$94,$E$82:$F$91,ROW()-ROW($O$93),0)</f>
        <v>1</v>
      </c>
      <c r="O96">
        <f t="shared" si="10"/>
        <v>1</v>
      </c>
      <c r="P96" cm="1">
        <f t="array" ref="P96">IF(ISERROR(P$94&amp;$O96),NA(),IFERROR(AVERAGE(IF($C$81:$C$150=$O96,IF($B$81:$B$150=P$94,$A$81:$A$150,""),"")),NA()))</f>
        <v>6.5143287687499996</v>
      </c>
      <c r="Q96" cm="1">
        <f t="array" ref="Q96">IF(ISERROR(Q$94&amp;$O96),NA(),IFERROR(AVERAGE(IF($C$81:$C$150=$O96,IF($B$81:$B$150=Q$94,$A$81:$A$150,""),"")),NA()))</f>
        <v>6.3995095500000003</v>
      </c>
      <c r="R96" t="e" cm="1">
        <f t="array" ref="R96">IF(ISERROR(R$94&amp;$O96),NA(),IFERROR(AVERAGE(IF($C$81:$C$150=$O96,IF($B$81:$B$150=R$94,$A$81:$A$150,""),"")),NA()))</f>
        <v>#N/A</v>
      </c>
      <c r="S96" t="e" cm="1">
        <f t="array" ref="S96">IF(ISERROR(S$94&amp;$O96),NA(),IFERROR(AVERAGE(IF($C$81:$C$150=$O96,IF($B$81:$B$150=S$94,$A$81:$A$150,""),"")),NA()))</f>
        <v>#N/A</v>
      </c>
      <c r="T96" t="e" cm="1">
        <f t="array" ref="T96">IF(ISERROR(T$94&amp;$O96),NA(),IFERROR(AVERAGE(IF($C$81:$C$150=$O96,IF($B$81:$B$150=T$94,$A$81:$A$150,""),"")),NA()))</f>
        <v>#N/A</v>
      </c>
      <c r="U96" t="e" cm="1">
        <f t="array" ref="U96">IF(ISERROR(U$94&amp;$O96),NA(),IFERROR(AVERAGE(IF($C$81:$C$150=$O96,IF($B$81:$B$150=U$94,$A$81:$A$150,""),"")),NA()))</f>
        <v>#N/A</v>
      </c>
      <c r="V96" t="e" cm="1">
        <f t="array" ref="V96">IF(ISERROR(V$94&amp;$O96),NA(),IFERROR(AVERAGE(IF($C$81:$C$150=$O96,IF($B$81:$B$150=V$94,$A$81:$A$150,""),"")),NA()))</f>
        <v>#N/A</v>
      </c>
      <c r="W96" t="e" cm="1">
        <f t="array" ref="W96">IF(ISERROR(W$94&amp;$O96),NA(),IFERROR(AVERAGE(IF($C$81:$C$150=$O96,IF($B$81:$B$150=W$94,$A$81:$A$150,""),"")),NA()))</f>
        <v>#N/A</v>
      </c>
      <c r="X96" t="e" cm="1">
        <f t="array" ref="X96">IF(ISERROR(X$94&amp;$O96),NA(),IFERROR(AVERAGE(IF($C$81:$C$150=$O96,IF($B$81:$B$150=X$94,$A$81:$A$150,""),"")),NA()))</f>
        <v>#N/A</v>
      </c>
    </row>
    <row r="97" spans="1:24" hidden="1" x14ac:dyDescent="0.25">
      <c r="A97" s="1">
        <f>IF(MODEL_MATRIX!B18="","",MODEL_MATRIX!B18)</f>
        <v>4.5330400187500004</v>
      </c>
      <c r="B97" s="1">
        <f>IF(OR(B$7="",ISERROR($A97)),"",HLOOKUP(B$80,MODEL_MATRIX!$C$1:$AA$71,ROW()-ROW(A$80)+1,0))</f>
        <v>-1</v>
      </c>
      <c r="C97" s="1">
        <f>IF(OR(C$80="",ISERROR($A97)),"",HLOOKUP(C$80,MODEL_MATRIX!$C$1:$AA$71,ROW()-ROW(C$80)+1,0))</f>
        <v>1</v>
      </c>
      <c r="N97" t="e">
        <f t="shared" si="10"/>
        <v>#N/A</v>
      </c>
      <c r="O97" t="e">
        <f t="shared" si="10"/>
        <v>#N/A</v>
      </c>
      <c r="P97" t="e" cm="1">
        <f t="array" ref="P97">IF(ISERROR(P$94&amp;$O97),NA(),IFERROR(AVERAGE(IF($C$81:$C$150=$O97,IF($B$81:$B$150=P$94,$A$81:$A$150,""),"")),NA()))</f>
        <v>#N/A</v>
      </c>
      <c r="Q97" t="e" cm="1">
        <f t="array" ref="Q97">IF(ISERROR(Q$94&amp;$O97),NA(),IFERROR(AVERAGE(IF($C$81:$C$150=$O97,IF($B$81:$B$150=Q$94,$A$81:$A$150,""),"")),NA()))</f>
        <v>#N/A</v>
      </c>
      <c r="R97" t="e" cm="1">
        <f t="array" ref="R97">IF(ISERROR(R$94&amp;$O97),NA(),IFERROR(AVERAGE(IF($C$81:$C$150=$O97,IF($B$81:$B$150=R$94,$A$81:$A$150,""),"")),NA()))</f>
        <v>#N/A</v>
      </c>
      <c r="S97" t="e" cm="1">
        <f t="array" ref="S97">IF(ISERROR(S$94&amp;$O97),NA(),IFERROR(AVERAGE(IF($C$81:$C$150=$O97,IF($B$81:$B$150=S$94,$A$81:$A$150,""),"")),NA()))</f>
        <v>#N/A</v>
      </c>
      <c r="T97" t="e" cm="1">
        <f t="array" ref="T97">IF(ISERROR(T$94&amp;$O97),NA(),IFERROR(AVERAGE(IF($C$81:$C$150=$O97,IF($B$81:$B$150=T$94,$A$81:$A$150,""),"")),NA()))</f>
        <v>#N/A</v>
      </c>
      <c r="U97" t="e" cm="1">
        <f t="array" ref="U97">IF(ISERROR(U$94&amp;$O97),NA(),IFERROR(AVERAGE(IF($C$81:$C$150=$O97,IF($B$81:$B$150=U$94,$A$81:$A$150,""),"")),NA()))</f>
        <v>#N/A</v>
      </c>
      <c r="V97" t="e" cm="1">
        <f t="array" ref="V97">IF(ISERROR(V$94&amp;$O97),NA(),IFERROR(AVERAGE(IF($C$81:$C$150=$O97,IF($B$81:$B$150=V$94,$A$81:$A$150,""),"")),NA()))</f>
        <v>#N/A</v>
      </c>
      <c r="W97" t="e" cm="1">
        <f t="array" ref="W97">IF(ISERROR(W$94&amp;$O97),NA(),IFERROR(AVERAGE(IF($C$81:$C$150=$O97,IF($B$81:$B$150=W$94,$A$81:$A$150,""),"")),NA()))</f>
        <v>#N/A</v>
      </c>
      <c r="X97" t="e" cm="1">
        <f t="array" ref="X97">IF(ISERROR(X$94&amp;$O97),NA(),IFERROR(AVERAGE(IF($C$81:$C$150=$O97,IF($B$81:$B$150=X$94,$A$81:$A$150,""),"")),NA()))</f>
        <v>#N/A</v>
      </c>
    </row>
    <row r="98" spans="1:24" hidden="1" x14ac:dyDescent="0.25">
      <c r="A98" s="1">
        <f>IF(MODEL_MATRIX!B19="","",MODEL_MATRIX!B19)</f>
        <v>5.7342475187500002</v>
      </c>
      <c r="B98" s="1">
        <f>IF(OR(B$7="",ISERROR($A98)),"",HLOOKUP(B$80,MODEL_MATRIX!$C$1:$AA$71,ROW()-ROW(A$80)+1,0))</f>
        <v>1</v>
      </c>
      <c r="C98" s="1">
        <f>IF(OR(C$80="",ISERROR($A98)),"",HLOOKUP(C$80,MODEL_MATRIX!$C$1:$AA$71,ROW()-ROW(C$80)+1,0))</f>
        <v>1</v>
      </c>
      <c r="N98" t="e">
        <f t="shared" si="10"/>
        <v>#N/A</v>
      </c>
      <c r="O98" t="e">
        <f t="shared" si="10"/>
        <v>#N/A</v>
      </c>
      <c r="P98" t="e" cm="1">
        <f t="array" ref="P98">IF(ISERROR(P$94&amp;$O98),NA(),IFERROR(AVERAGE(IF($C$81:$C$150=$O98,IF($B$81:$B$150=P$94,$A$81:$A$150,""),"")),NA()))</f>
        <v>#N/A</v>
      </c>
      <c r="Q98" t="e" cm="1">
        <f t="array" ref="Q98">IF(ISERROR(Q$94&amp;$O98),NA(),IFERROR(AVERAGE(IF($C$81:$C$150=$O98,IF($B$81:$B$150=Q$94,$A$81:$A$150,""),"")),NA()))</f>
        <v>#N/A</v>
      </c>
      <c r="R98" t="e" cm="1">
        <f t="array" ref="R98">IF(ISERROR(R$94&amp;$O98),NA(),IFERROR(AVERAGE(IF($C$81:$C$150=$O98,IF($B$81:$B$150=R$94,$A$81:$A$150,""),"")),NA()))</f>
        <v>#N/A</v>
      </c>
      <c r="S98" t="e" cm="1">
        <f t="array" ref="S98">IF(ISERROR(S$94&amp;$O98),NA(),IFERROR(AVERAGE(IF($C$81:$C$150=$O98,IF($B$81:$B$150=S$94,$A$81:$A$150,""),"")),NA()))</f>
        <v>#N/A</v>
      </c>
      <c r="T98" t="e" cm="1">
        <f t="array" ref="T98">IF(ISERROR(T$94&amp;$O98),NA(),IFERROR(AVERAGE(IF($C$81:$C$150=$O98,IF($B$81:$B$150=T$94,$A$81:$A$150,""),"")),NA()))</f>
        <v>#N/A</v>
      </c>
      <c r="U98" t="e" cm="1">
        <f t="array" ref="U98">IF(ISERROR(U$94&amp;$O98),NA(),IFERROR(AVERAGE(IF($C$81:$C$150=$O98,IF($B$81:$B$150=U$94,$A$81:$A$150,""),"")),NA()))</f>
        <v>#N/A</v>
      </c>
      <c r="V98" t="e" cm="1">
        <f t="array" ref="V98">IF(ISERROR(V$94&amp;$O98),NA(),IFERROR(AVERAGE(IF($C$81:$C$150=$O98,IF($B$81:$B$150=V$94,$A$81:$A$150,""),"")),NA()))</f>
        <v>#N/A</v>
      </c>
      <c r="W98" t="e" cm="1">
        <f t="array" ref="W98">IF(ISERROR(W$94&amp;$O98),NA(),IFERROR(AVERAGE(IF($C$81:$C$150=$O98,IF($B$81:$B$150=W$94,$A$81:$A$150,""),"")),NA()))</f>
        <v>#N/A</v>
      </c>
      <c r="X98" t="e" cm="1">
        <f t="array" ref="X98">IF(ISERROR(X$94&amp;$O98),NA(),IFERROR(AVERAGE(IF($C$81:$C$150=$O98,IF($B$81:$B$150=X$94,$A$81:$A$150,""),"")),NA()))</f>
        <v>#N/A</v>
      </c>
    </row>
    <row r="99" spans="1:24" hidden="1" x14ac:dyDescent="0.25">
      <c r="A99" s="1">
        <f>IF(MODEL_MATRIX!B20="","",MODEL_MATRIX!B20)</f>
        <v>5.8781730187500001</v>
      </c>
      <c r="B99" s="1">
        <f>IF(OR(B$7="",ISERROR($A99)),"",HLOOKUP(B$80,MODEL_MATRIX!$C$1:$AA$71,ROW()-ROW(A$80)+1,0))</f>
        <v>-1</v>
      </c>
      <c r="C99" s="1">
        <f>IF(OR(C$80="",ISERROR($A99)),"",HLOOKUP(C$80,MODEL_MATRIX!$C$1:$AA$71,ROW()-ROW(C$80)+1,0))</f>
        <v>1</v>
      </c>
      <c r="N99" t="e">
        <f t="shared" si="10"/>
        <v>#N/A</v>
      </c>
      <c r="O99" t="e">
        <f t="shared" si="10"/>
        <v>#N/A</v>
      </c>
      <c r="P99" t="e" cm="1">
        <f t="array" ref="P99">IF(ISERROR(P$94&amp;$O99),NA(),IFERROR(AVERAGE(IF($C$81:$C$150=$O99,IF($B$81:$B$150=P$94,$A$81:$A$150,""),"")),NA()))</f>
        <v>#N/A</v>
      </c>
      <c r="Q99" t="e" cm="1">
        <f t="array" ref="Q99">IF(ISERROR(Q$94&amp;$O99),NA(),IFERROR(AVERAGE(IF($C$81:$C$150=$O99,IF($B$81:$B$150=Q$94,$A$81:$A$150,""),"")),NA()))</f>
        <v>#N/A</v>
      </c>
      <c r="R99" t="e" cm="1">
        <f t="array" ref="R99">IF(ISERROR(R$94&amp;$O99),NA(),IFERROR(AVERAGE(IF($C$81:$C$150=$O99,IF($B$81:$B$150=R$94,$A$81:$A$150,""),"")),NA()))</f>
        <v>#N/A</v>
      </c>
      <c r="S99" t="e" cm="1">
        <f t="array" ref="S99">IF(ISERROR(S$94&amp;$O99),NA(),IFERROR(AVERAGE(IF($C$81:$C$150=$O99,IF($B$81:$B$150=S$94,$A$81:$A$150,""),"")),NA()))</f>
        <v>#N/A</v>
      </c>
      <c r="T99" t="e" cm="1">
        <f t="array" ref="T99">IF(ISERROR(T$94&amp;$O99),NA(),IFERROR(AVERAGE(IF($C$81:$C$150=$O99,IF($B$81:$B$150=T$94,$A$81:$A$150,""),"")),NA()))</f>
        <v>#N/A</v>
      </c>
      <c r="U99" t="e" cm="1">
        <f t="array" ref="U99">IF(ISERROR(U$94&amp;$O99),NA(),IFERROR(AVERAGE(IF($C$81:$C$150=$O99,IF($B$81:$B$150=U$94,$A$81:$A$150,""),"")),NA()))</f>
        <v>#N/A</v>
      </c>
      <c r="V99" t="e" cm="1">
        <f t="array" ref="V99">IF(ISERROR(V$94&amp;$O99),NA(),IFERROR(AVERAGE(IF($C$81:$C$150=$O99,IF($B$81:$B$150=V$94,$A$81:$A$150,""),"")),NA()))</f>
        <v>#N/A</v>
      </c>
      <c r="W99" t="e" cm="1">
        <f t="array" ref="W99">IF(ISERROR(W$94&amp;$O99),NA(),IFERROR(AVERAGE(IF($C$81:$C$150=$O99,IF($B$81:$B$150=W$94,$A$81:$A$150,""),"")),NA()))</f>
        <v>#N/A</v>
      </c>
      <c r="X99" t="e" cm="1">
        <f t="array" ref="X99">IF(ISERROR(X$94&amp;$O99),NA(),IFERROR(AVERAGE(IF($C$81:$C$150=$O99,IF($B$81:$B$150=X$94,$A$81:$A$150,""),"")),NA()))</f>
        <v>#N/A</v>
      </c>
    </row>
    <row r="100" spans="1:24" hidden="1" x14ac:dyDescent="0.25">
      <c r="A100" s="1">
        <f>IF(MODEL_MATRIX!B21="","",MODEL_MATRIX!B21)</f>
        <v>5.2625435187500003</v>
      </c>
      <c r="B100" s="1">
        <f>IF(OR(B$7="",ISERROR($A100)),"",HLOOKUP(B$80,MODEL_MATRIX!$C$1:$AA$71,ROW()-ROW(A$80)+1,0))</f>
        <v>1</v>
      </c>
      <c r="C100" s="1">
        <f>IF(OR(C$80="",ISERROR($A100)),"",HLOOKUP(C$80,MODEL_MATRIX!$C$1:$AA$71,ROW()-ROW(C$80)+1,0))</f>
        <v>1</v>
      </c>
      <c r="N100" t="e">
        <f t="shared" si="10"/>
        <v>#N/A</v>
      </c>
      <c r="O100" t="e">
        <f t="shared" si="10"/>
        <v>#N/A</v>
      </c>
      <c r="P100" t="e" cm="1">
        <f t="array" ref="P100">IF(ISERROR(P$94&amp;$O100),NA(),IFERROR(AVERAGE(IF($C$81:$C$150=$O100,IF($B$81:$B$150=P$94,$A$81:$A$150,""),"")),NA()))</f>
        <v>#N/A</v>
      </c>
      <c r="Q100" t="e" cm="1">
        <f t="array" ref="Q100">IF(ISERROR(Q$94&amp;$O100),NA(),IFERROR(AVERAGE(IF($C$81:$C$150=$O100,IF($B$81:$B$150=Q$94,$A$81:$A$150,""),"")),NA()))</f>
        <v>#N/A</v>
      </c>
      <c r="R100" t="e" cm="1">
        <f t="array" ref="R100">IF(ISERROR(R$94&amp;$O100),NA(),IFERROR(AVERAGE(IF($C$81:$C$150=$O100,IF($B$81:$B$150=R$94,$A$81:$A$150,""),"")),NA()))</f>
        <v>#N/A</v>
      </c>
      <c r="S100" t="e" cm="1">
        <f t="array" ref="S100">IF(ISERROR(S$94&amp;$O100),NA(),IFERROR(AVERAGE(IF($C$81:$C$150=$O100,IF($B$81:$B$150=S$94,$A$81:$A$150,""),"")),NA()))</f>
        <v>#N/A</v>
      </c>
      <c r="T100" t="e" cm="1">
        <f t="array" ref="T100">IF(ISERROR(T$94&amp;$O100),NA(),IFERROR(AVERAGE(IF($C$81:$C$150=$O100,IF($B$81:$B$150=T$94,$A$81:$A$150,""),"")),NA()))</f>
        <v>#N/A</v>
      </c>
      <c r="U100" t="e" cm="1">
        <f t="array" ref="U100">IF(ISERROR(U$94&amp;$O100),NA(),IFERROR(AVERAGE(IF($C$81:$C$150=$O100,IF($B$81:$B$150=U$94,$A$81:$A$150,""),"")),NA()))</f>
        <v>#N/A</v>
      </c>
      <c r="V100" t="e" cm="1">
        <f t="array" ref="V100">IF(ISERROR(V$94&amp;$O100),NA(),IFERROR(AVERAGE(IF($C$81:$C$150=$O100,IF($B$81:$B$150=V$94,$A$81:$A$150,""),"")),NA()))</f>
        <v>#N/A</v>
      </c>
      <c r="W100" t="e" cm="1">
        <f t="array" ref="W100">IF(ISERROR(W$94&amp;$O100),NA(),IFERROR(AVERAGE(IF($C$81:$C$150=$O100,IF($B$81:$B$150=W$94,$A$81:$A$150,""),"")),NA()))</f>
        <v>#N/A</v>
      </c>
      <c r="X100" t="e" cm="1">
        <f t="array" ref="X100">IF(ISERROR(X$94&amp;$O100),NA(),IFERROR(AVERAGE(IF($C$81:$C$150=$O100,IF($B$81:$B$150=X$94,$A$81:$A$150,""),"")),NA()))</f>
        <v>#N/A</v>
      </c>
    </row>
    <row r="101" spans="1:24" hidden="1" x14ac:dyDescent="0.25">
      <c r="A101" s="1">
        <f>IF(MODEL_MATRIX!B22="","",MODEL_MATRIX!B22)</f>
        <v>6.6597015187500004</v>
      </c>
      <c r="B101" s="1">
        <f>IF(OR(B$7="",ISERROR($A101)),"",HLOOKUP(B$80,MODEL_MATRIX!$C$1:$AA$71,ROW()-ROW(A$80)+1,0))</f>
        <v>-1</v>
      </c>
      <c r="C101" s="1">
        <f>IF(OR(C$80="",ISERROR($A101)),"",HLOOKUP(C$80,MODEL_MATRIX!$C$1:$AA$71,ROW()-ROW(C$80)+1,0))</f>
        <v>1</v>
      </c>
      <c r="N101" t="e">
        <f t="shared" si="10"/>
        <v>#N/A</v>
      </c>
      <c r="O101" t="e">
        <f t="shared" si="10"/>
        <v>#N/A</v>
      </c>
      <c r="P101" t="e" cm="1">
        <f t="array" ref="P101">IF(ISERROR(P$94&amp;$O101),NA(),IFERROR(AVERAGE(IF($C$81:$C$150=$O101,IF($B$81:$B$150=P$94,$A$81:$A$150,""),"")),NA()))</f>
        <v>#N/A</v>
      </c>
      <c r="Q101" t="e" cm="1">
        <f t="array" ref="Q101">IF(ISERROR(Q$94&amp;$O101),NA(),IFERROR(AVERAGE(IF($C$81:$C$150=$O101,IF($B$81:$B$150=Q$94,$A$81:$A$150,""),"")),NA()))</f>
        <v>#N/A</v>
      </c>
      <c r="R101" t="e" cm="1">
        <f t="array" ref="R101">IF(ISERROR(R$94&amp;$O101),NA(),IFERROR(AVERAGE(IF($C$81:$C$150=$O101,IF($B$81:$B$150=R$94,$A$81:$A$150,""),"")),NA()))</f>
        <v>#N/A</v>
      </c>
      <c r="S101" t="e" cm="1">
        <f t="array" ref="S101">IF(ISERROR(S$94&amp;$O101),NA(),IFERROR(AVERAGE(IF($C$81:$C$150=$O101,IF($B$81:$B$150=S$94,$A$81:$A$150,""),"")),NA()))</f>
        <v>#N/A</v>
      </c>
      <c r="T101" t="e" cm="1">
        <f t="array" ref="T101">IF(ISERROR(T$94&amp;$O101),NA(),IFERROR(AVERAGE(IF($C$81:$C$150=$O101,IF($B$81:$B$150=T$94,$A$81:$A$150,""),"")),NA()))</f>
        <v>#N/A</v>
      </c>
      <c r="U101" t="e" cm="1">
        <f t="array" ref="U101">IF(ISERROR(U$94&amp;$O101),NA(),IFERROR(AVERAGE(IF($C$81:$C$150=$O101,IF($B$81:$B$150=U$94,$A$81:$A$150,""),"")),NA()))</f>
        <v>#N/A</v>
      </c>
      <c r="V101" t="e" cm="1">
        <f t="array" ref="V101">IF(ISERROR(V$94&amp;$O101),NA(),IFERROR(AVERAGE(IF($C$81:$C$150=$O101,IF($B$81:$B$150=V$94,$A$81:$A$150,""),"")),NA()))</f>
        <v>#N/A</v>
      </c>
      <c r="W101" t="e" cm="1">
        <f t="array" ref="W101">IF(ISERROR(W$94&amp;$O101),NA(),IFERROR(AVERAGE(IF($C$81:$C$150=$O101,IF($B$81:$B$150=W$94,$A$81:$A$150,""),"")),NA()))</f>
        <v>#N/A</v>
      </c>
      <c r="X101" t="e" cm="1">
        <f t="array" ref="X101">IF(ISERROR(X$94&amp;$O101),NA(),IFERROR(AVERAGE(IF($C$81:$C$150=$O101,IF($B$81:$B$150=X$94,$A$81:$A$150,""),"")),NA()))</f>
        <v>#N/A</v>
      </c>
    </row>
    <row r="102" spans="1:24" hidden="1" x14ac:dyDescent="0.25">
      <c r="A102" s="1">
        <f>IF(MODEL_MATRIX!B23="","",MODEL_MATRIX!B23)</f>
        <v>8.10153251875</v>
      </c>
      <c r="B102" s="1">
        <f>IF(OR(B$7="",ISERROR($A102)),"",HLOOKUP(B$80,MODEL_MATRIX!$C$1:$AA$71,ROW()-ROW(A$80)+1,0))</f>
        <v>1</v>
      </c>
      <c r="C102" s="1">
        <f>IF(OR(C$80="",ISERROR($A102)),"",HLOOKUP(C$80,MODEL_MATRIX!$C$1:$AA$71,ROW()-ROW(C$80)+1,0))</f>
        <v>1</v>
      </c>
      <c r="N102" t="e">
        <f t="shared" si="10"/>
        <v>#N/A</v>
      </c>
      <c r="O102" t="e">
        <f t="shared" si="10"/>
        <v>#N/A</v>
      </c>
      <c r="P102" t="e" cm="1">
        <f t="array" ref="P102">IF(ISERROR(P$94&amp;$O102),NA(),IFERROR(AVERAGE(IF($C$81:$C$150=$O102,IF($B$81:$B$150=P$94,$A$81:$A$150,""),"")),NA()))</f>
        <v>#N/A</v>
      </c>
      <c r="Q102" t="e" cm="1">
        <f t="array" ref="Q102">IF(ISERROR(Q$94&amp;$O102),NA(),IFERROR(AVERAGE(IF($C$81:$C$150=$O102,IF($B$81:$B$150=Q$94,$A$81:$A$150,""),"")),NA()))</f>
        <v>#N/A</v>
      </c>
      <c r="R102" t="e" cm="1">
        <f t="array" ref="R102">IF(ISERROR(R$94&amp;$O102),NA(),IFERROR(AVERAGE(IF($C$81:$C$150=$O102,IF($B$81:$B$150=R$94,$A$81:$A$150,""),"")),NA()))</f>
        <v>#N/A</v>
      </c>
      <c r="S102" t="e" cm="1">
        <f t="array" ref="S102">IF(ISERROR(S$94&amp;$O102),NA(),IFERROR(AVERAGE(IF($C$81:$C$150=$O102,IF($B$81:$B$150=S$94,$A$81:$A$150,""),"")),NA()))</f>
        <v>#N/A</v>
      </c>
      <c r="T102" t="e" cm="1">
        <f t="array" ref="T102">IF(ISERROR(T$94&amp;$O102),NA(),IFERROR(AVERAGE(IF($C$81:$C$150=$O102,IF($B$81:$B$150=T$94,$A$81:$A$150,""),"")),NA()))</f>
        <v>#N/A</v>
      </c>
      <c r="U102" t="e" cm="1">
        <f t="array" ref="U102">IF(ISERROR(U$94&amp;$O102),NA(),IFERROR(AVERAGE(IF($C$81:$C$150=$O102,IF($B$81:$B$150=U$94,$A$81:$A$150,""),"")),NA()))</f>
        <v>#N/A</v>
      </c>
      <c r="V102" t="e" cm="1">
        <f t="array" ref="V102">IF(ISERROR(V$94&amp;$O102),NA(),IFERROR(AVERAGE(IF($C$81:$C$150=$O102,IF($B$81:$B$150=V$94,$A$81:$A$150,""),"")),NA()))</f>
        <v>#N/A</v>
      </c>
      <c r="W102" t="e" cm="1">
        <f t="array" ref="W102">IF(ISERROR(W$94&amp;$O102),NA(),IFERROR(AVERAGE(IF($C$81:$C$150=$O102,IF($B$81:$B$150=W$94,$A$81:$A$150,""),"")),NA()))</f>
        <v>#N/A</v>
      </c>
      <c r="X102" t="e" cm="1">
        <f t="array" ref="X102">IF(ISERROR(X$94&amp;$O102),NA(),IFERROR(AVERAGE(IF($C$81:$C$150=$O102,IF($B$81:$B$150=X$94,$A$81:$A$150,""),"")),NA()))</f>
        <v>#N/A</v>
      </c>
    </row>
    <row r="103" spans="1:24" hidden="1" x14ac:dyDescent="0.25">
      <c r="A103" s="1">
        <f>IF(MODEL_MATRIX!B24="","",MODEL_MATRIX!B24)</f>
        <v>8.9268260187500008</v>
      </c>
      <c r="B103" s="1">
        <f>IF(OR(B$7="",ISERROR($A103)),"",HLOOKUP(B$80,MODEL_MATRIX!$C$1:$AA$71,ROW()-ROW(A$80)+1,0))</f>
        <v>-1</v>
      </c>
      <c r="C103" s="1">
        <f>IF(OR(C$80="",ISERROR($A103)),"",HLOOKUP(C$80,MODEL_MATRIX!$C$1:$AA$71,ROW()-ROW(C$80)+1,0))</f>
        <v>1</v>
      </c>
      <c r="N103" t="e">
        <f t="shared" si="10"/>
        <v>#N/A</v>
      </c>
      <c r="O103" t="e">
        <f t="shared" si="10"/>
        <v>#N/A</v>
      </c>
      <c r="P103" t="e" cm="1">
        <f t="array" ref="P103">IF(ISERROR(P$94&amp;$O103),NA(),IFERROR(AVERAGE(IF($C$81:$C$150=$O103,IF($B$81:$B$150=P$94,$A$81:$A$150,""),"")),NA()))</f>
        <v>#N/A</v>
      </c>
      <c r="Q103" t="e" cm="1">
        <f t="array" ref="Q103">IF(ISERROR(Q$94&amp;$O103),NA(),IFERROR(AVERAGE(IF($C$81:$C$150=$O103,IF($B$81:$B$150=Q$94,$A$81:$A$150,""),"")),NA()))</f>
        <v>#N/A</v>
      </c>
      <c r="R103" t="e" cm="1">
        <f t="array" ref="R103">IF(ISERROR(R$94&amp;$O103),NA(),IFERROR(AVERAGE(IF($C$81:$C$150=$O103,IF($B$81:$B$150=R$94,$A$81:$A$150,""),"")),NA()))</f>
        <v>#N/A</v>
      </c>
      <c r="S103" t="e" cm="1">
        <f t="array" ref="S103">IF(ISERROR(S$94&amp;$O103),NA(),IFERROR(AVERAGE(IF($C$81:$C$150=$O103,IF($B$81:$B$150=S$94,$A$81:$A$150,""),"")),NA()))</f>
        <v>#N/A</v>
      </c>
      <c r="T103" t="e" cm="1">
        <f t="array" ref="T103">IF(ISERROR(T$94&amp;$O103),NA(),IFERROR(AVERAGE(IF($C$81:$C$150=$O103,IF($B$81:$B$150=T$94,$A$81:$A$150,""),"")),NA()))</f>
        <v>#N/A</v>
      </c>
      <c r="U103" t="e" cm="1">
        <f t="array" ref="U103">IF(ISERROR(U$94&amp;$O103),NA(),IFERROR(AVERAGE(IF($C$81:$C$150=$O103,IF($B$81:$B$150=U$94,$A$81:$A$150,""),"")),NA()))</f>
        <v>#N/A</v>
      </c>
      <c r="V103" t="e" cm="1">
        <f t="array" ref="V103">IF(ISERROR(V$94&amp;$O103),NA(),IFERROR(AVERAGE(IF($C$81:$C$150=$O103,IF($B$81:$B$150=V$94,$A$81:$A$150,""),"")),NA()))</f>
        <v>#N/A</v>
      </c>
      <c r="W103" t="e" cm="1">
        <f t="array" ref="W103">IF(ISERROR(W$94&amp;$O103),NA(),IFERROR(AVERAGE(IF($C$81:$C$150=$O103,IF($B$81:$B$150=W$94,$A$81:$A$150,""),"")),NA()))</f>
        <v>#N/A</v>
      </c>
      <c r="X103" t="e" cm="1">
        <f t="array" ref="X103">IF(ISERROR(X$94&amp;$O103),NA(),IFERROR(AVERAGE(IF($C$81:$C$150=$O103,IF($B$81:$B$150=X$94,$A$81:$A$150,""),"")),NA()))</f>
        <v>#N/A</v>
      </c>
    </row>
    <row r="104" spans="1:24" hidden="1" x14ac:dyDescent="0.25">
      <c r="A104" s="1">
        <f>IF(MODEL_MATRIX!B25="","",MODEL_MATRIX!B25)</f>
        <v>7.0592920187499999</v>
      </c>
      <c r="B104" s="1">
        <f>IF(OR(B$7="",ISERROR($A104)),"",HLOOKUP(B$80,MODEL_MATRIX!$C$1:$AA$71,ROW()-ROW(A$80)+1,0))</f>
        <v>1</v>
      </c>
      <c r="C104" s="1">
        <f>IF(OR(C$80="",ISERROR($A104)),"",HLOOKUP(C$80,MODEL_MATRIX!$C$1:$AA$71,ROW()-ROW(C$80)+1,0))</f>
        <v>1</v>
      </c>
      <c r="P104" t="str">
        <f>$P$93 &amp; " = " &amp; P94</f>
        <v>A = -1</v>
      </c>
      <c r="Q104" t="str">
        <f t="shared" ref="Q104:X104" si="11">$P$93 &amp; " = " &amp; Q94</f>
        <v>A = 1</v>
      </c>
      <c r="R104" t="e">
        <f t="shared" si="11"/>
        <v>#N/A</v>
      </c>
      <c r="S104" t="e">
        <f t="shared" si="11"/>
        <v>#N/A</v>
      </c>
      <c r="T104" t="e">
        <f t="shared" si="11"/>
        <v>#N/A</v>
      </c>
      <c r="U104" t="e">
        <f t="shared" si="11"/>
        <v>#N/A</v>
      </c>
      <c r="V104" t="e">
        <f t="shared" si="11"/>
        <v>#N/A</v>
      </c>
      <c r="W104" t="e">
        <f t="shared" si="11"/>
        <v>#N/A</v>
      </c>
      <c r="X104" t="e">
        <f t="shared" si="11"/>
        <v>#N/A</v>
      </c>
    </row>
    <row r="105" spans="1:24" hidden="1" x14ac:dyDescent="0.25">
      <c r="A105" s="1">
        <f>IF(MODEL_MATRIX!B26="","",MODEL_MATRIX!B26)</f>
        <v>4.4412020187500003</v>
      </c>
      <c r="B105" s="1">
        <f>IF(OR(B$7="",ISERROR($A105)),"",HLOOKUP(B$80,MODEL_MATRIX!$C$1:$AA$71,ROW()-ROW(A$80)+1,0))</f>
        <v>-1</v>
      </c>
      <c r="C105" s="1">
        <f>IF(OR(C$80="",ISERROR($A105)),"",HLOOKUP(C$80,MODEL_MATRIX!$C$1:$AA$71,ROW()-ROW(C$80)+1,0))</f>
        <v>1</v>
      </c>
    </row>
    <row r="106" spans="1:24" hidden="1" x14ac:dyDescent="0.25">
      <c r="A106" s="1">
        <f>IF(MODEL_MATRIX!B27="","",MODEL_MATRIX!B27)</f>
        <v>4.1802867687500003</v>
      </c>
      <c r="B106" s="1">
        <f>IF(OR(B$7="",ISERROR($A106)),"",HLOOKUP(B$80,MODEL_MATRIX!$C$1:$AA$71,ROW()-ROW(A$80)+1,0))</f>
        <v>1</v>
      </c>
      <c r="C106" s="1">
        <f>IF(OR(C$80="",ISERROR($A106)),"",HLOOKUP(C$80,MODEL_MATRIX!$C$1:$AA$71,ROW()-ROW(C$80)+1,0))</f>
        <v>1</v>
      </c>
    </row>
    <row r="107" spans="1:24" hidden="1" x14ac:dyDescent="0.25">
      <c r="A107" s="1">
        <f>IF(MODEL_MATRIX!B28="","",MODEL_MATRIX!B28)</f>
        <v>5.6820480187499998</v>
      </c>
      <c r="B107" s="1">
        <f>IF(OR(B$7="",ISERROR($A107)),"",HLOOKUP(B$80,MODEL_MATRIX!$C$1:$AA$71,ROW()-ROW(A$80)+1,0))</f>
        <v>-1</v>
      </c>
      <c r="C107" s="1">
        <f>IF(OR(C$80="",ISERROR($A107)),"",HLOOKUP(C$80,MODEL_MATRIX!$C$1:$AA$71,ROW()-ROW(C$80)+1,0))</f>
        <v>1</v>
      </c>
    </row>
    <row r="108" spans="1:24" hidden="1" x14ac:dyDescent="0.25">
      <c r="A108" s="1">
        <f>IF(MODEL_MATRIX!B29="","",MODEL_MATRIX!B29)</f>
        <v>5.7801725187499997</v>
      </c>
      <c r="B108" s="1">
        <f>IF(OR(B$7="",ISERROR($A108)),"",HLOOKUP(B$80,MODEL_MATRIX!$C$1:$AA$71,ROW()-ROW(A$80)+1,0))</f>
        <v>1</v>
      </c>
      <c r="C108" s="1">
        <f>IF(OR(C$80="",ISERROR($A108)),"",HLOOKUP(C$80,MODEL_MATRIX!$C$1:$AA$71,ROW()-ROW(C$80)+1,0))</f>
        <v>1</v>
      </c>
    </row>
    <row r="109" spans="1:24" hidden="1" x14ac:dyDescent="0.25">
      <c r="A109" s="1">
        <f>IF(MODEL_MATRIX!B30="","",MODEL_MATRIX!B30)</f>
        <v>8.7397320187500007</v>
      </c>
      <c r="B109" s="1">
        <f>IF(OR(B$7="",ISERROR($A109)),"",HLOOKUP(B$80,MODEL_MATRIX!$C$1:$AA$71,ROW()-ROW(A$80)+1,0))</f>
        <v>-1</v>
      </c>
      <c r="C109" s="1">
        <f>IF(OR(C$80="",ISERROR($A109)),"",HLOOKUP(C$80,MODEL_MATRIX!$C$1:$AA$71,ROW()-ROW(C$80)+1,0))</f>
        <v>1</v>
      </c>
    </row>
    <row r="110" spans="1:24" hidden="1" x14ac:dyDescent="0.25">
      <c r="A110" s="1">
        <f>IF(MODEL_MATRIX!B31="","",MODEL_MATRIX!B31)</f>
        <v>7.8388045187499999</v>
      </c>
      <c r="B110" s="1">
        <f>IF(OR(B$7="",ISERROR($A110)),"",HLOOKUP(B$80,MODEL_MATRIX!$C$1:$AA$71,ROW()-ROW(A$80)+1,0))</f>
        <v>1</v>
      </c>
      <c r="C110" s="1">
        <f>IF(OR(C$80="",ISERROR($A110)),"",HLOOKUP(C$80,MODEL_MATRIX!$C$1:$AA$71,ROW()-ROW(C$80)+1,0))</f>
        <v>1</v>
      </c>
    </row>
    <row r="111" spans="1:24" hidden="1" x14ac:dyDescent="0.25">
      <c r="A111" s="1">
        <f>IF(MODEL_MATRIX!B32="","",MODEL_MATRIX!B32)</f>
        <v>7.2539075187500002</v>
      </c>
      <c r="B111" s="1">
        <f>IF(OR(B$7="",ISERROR($A111)),"",HLOOKUP(B$80,MODEL_MATRIX!$C$1:$AA$71,ROW()-ROW(A$80)+1,0))</f>
        <v>-1</v>
      </c>
      <c r="C111" s="1">
        <f>IF(OR(C$80="",ISERROR($A111)),"",HLOOKUP(C$80,MODEL_MATRIX!$C$1:$AA$71,ROW()-ROW(C$80)+1,0))</f>
        <v>1</v>
      </c>
    </row>
    <row r="112" spans="1:24" hidden="1" x14ac:dyDescent="0.25">
      <c r="A112" s="1">
        <f>IF(MODEL_MATRIX!B33="","",MODEL_MATRIX!B33)</f>
        <v>7.2391970187499997</v>
      </c>
      <c r="B112" s="1">
        <f>IF(OR(B$7="",ISERROR($A112)),"",HLOOKUP(B$80,MODEL_MATRIX!$C$1:$AA$71,ROW()-ROW(A$80)+1,0))</f>
        <v>1</v>
      </c>
      <c r="C112" s="1">
        <f>IF(OR(C$80="",ISERROR($A112)),"",HLOOKUP(C$80,MODEL_MATRIX!$C$1:$AA$71,ROW()-ROW(C$80)+1,0))</f>
        <v>1</v>
      </c>
    </row>
    <row r="113" spans="1:3" hidden="1" x14ac:dyDescent="0.25">
      <c r="A113" s="1" t="str">
        <f>IF(MODEL_MATRIX!B34="","",MODEL_MATRIX!B34)</f>
        <v/>
      </c>
      <c r="B113" s="1" t="str">
        <f>IF(OR(B$7="",ISERROR($A113)),"",HLOOKUP(B$80,MODEL_MATRIX!$C$1:$AA$71,ROW()-ROW(A$80)+1,0))</f>
        <v/>
      </c>
      <c r="C113" s="1" t="str">
        <f>IF(OR(C$80="",ISERROR($A113)),"",HLOOKUP(C$80,MODEL_MATRIX!$C$1:$AA$71,ROW()-ROW(C$80)+1,0))</f>
        <v/>
      </c>
    </row>
    <row r="114" spans="1:3" hidden="1" x14ac:dyDescent="0.25">
      <c r="A114" s="1" t="str">
        <f>IF(MODEL_MATRIX!B35="","",MODEL_MATRIX!B35)</f>
        <v/>
      </c>
      <c r="B114" s="1" t="str">
        <f>IF(OR(B$7="",ISERROR($A114)),"",HLOOKUP(B$80,MODEL_MATRIX!$C$1:$AA$71,ROW()-ROW(A$80)+1,0))</f>
        <v/>
      </c>
      <c r="C114" s="1" t="str">
        <f>IF(OR(C$80="",ISERROR($A114)),"",HLOOKUP(C$80,MODEL_MATRIX!$C$1:$AA$71,ROW()-ROW(C$80)+1,0))</f>
        <v/>
      </c>
    </row>
    <row r="115" spans="1:3" hidden="1" x14ac:dyDescent="0.25">
      <c r="A115" s="1" t="str">
        <f>IF(MODEL_MATRIX!B36="","",MODEL_MATRIX!B36)</f>
        <v/>
      </c>
      <c r="B115" s="1" t="str">
        <f>IF(OR(B$7="",ISERROR($A115)),"",HLOOKUP(B$80,MODEL_MATRIX!$C$1:$AA$71,ROW()-ROW(A$80)+1,0))</f>
        <v/>
      </c>
      <c r="C115" s="1" t="str">
        <f>IF(OR(C$80="",ISERROR($A115)),"",HLOOKUP(C$80,MODEL_MATRIX!$C$1:$AA$71,ROW()-ROW(C$80)+1,0))</f>
        <v/>
      </c>
    </row>
    <row r="116" spans="1:3" hidden="1" x14ac:dyDescent="0.25">
      <c r="A116" s="1" t="str">
        <f>IF(MODEL_MATRIX!B37="","",MODEL_MATRIX!B37)</f>
        <v/>
      </c>
      <c r="B116" s="1" t="str">
        <f>IF(OR(B$7="",ISERROR($A116)),"",HLOOKUP(B$80,MODEL_MATRIX!$C$1:$AA$71,ROW()-ROW(A$80)+1,0))</f>
        <v/>
      </c>
      <c r="C116" s="1" t="str">
        <f>IF(OR(C$80="",ISERROR($A116)),"",HLOOKUP(C$80,MODEL_MATRIX!$C$1:$AA$71,ROW()-ROW(C$80)+1,0))</f>
        <v/>
      </c>
    </row>
    <row r="117" spans="1:3" hidden="1" x14ac:dyDescent="0.25">
      <c r="A117" s="1" t="str">
        <f>IF(MODEL_MATRIX!B38="","",MODEL_MATRIX!B38)</f>
        <v/>
      </c>
      <c r="B117" s="1" t="str">
        <f>IF(OR(B$7="",ISERROR($A117)),"",HLOOKUP(B$80,MODEL_MATRIX!$C$1:$AA$71,ROW()-ROW(A$80)+1,0))</f>
        <v/>
      </c>
      <c r="C117" s="1" t="str">
        <f>IF(OR(C$80="",ISERROR($A117)),"",HLOOKUP(C$80,MODEL_MATRIX!$C$1:$AA$71,ROW()-ROW(C$80)+1,0))</f>
        <v/>
      </c>
    </row>
    <row r="118" spans="1:3" hidden="1" x14ac:dyDescent="0.25">
      <c r="A118" s="1" t="str">
        <f>IF(MODEL_MATRIX!B39="","",MODEL_MATRIX!B39)</f>
        <v/>
      </c>
      <c r="B118" s="1" t="str">
        <f>IF(OR(B$7="",ISERROR($A118)),"",HLOOKUP(B$80,MODEL_MATRIX!$C$1:$AA$71,ROW()-ROW(A$80)+1,0))</f>
        <v/>
      </c>
      <c r="C118" s="1" t="str">
        <f>IF(OR(C$80="",ISERROR($A118)),"",HLOOKUP(C$80,MODEL_MATRIX!$C$1:$AA$71,ROW()-ROW(C$80)+1,0))</f>
        <v/>
      </c>
    </row>
    <row r="119" spans="1:3" hidden="1" x14ac:dyDescent="0.25">
      <c r="A119" s="1" t="str">
        <f>IF(MODEL_MATRIX!B40="","",MODEL_MATRIX!B40)</f>
        <v/>
      </c>
      <c r="B119" s="1" t="str">
        <f>IF(OR(B$7="",ISERROR($A119)),"",HLOOKUP(B$80,MODEL_MATRIX!$C$1:$AA$71,ROW()-ROW(A$80)+1,0))</f>
        <v/>
      </c>
      <c r="C119" s="1" t="str">
        <f>IF(OR(C$80="",ISERROR($A119)),"",HLOOKUP(C$80,MODEL_MATRIX!$C$1:$AA$71,ROW()-ROW(C$80)+1,0))</f>
        <v/>
      </c>
    </row>
    <row r="120" spans="1:3" hidden="1" x14ac:dyDescent="0.25">
      <c r="A120" s="1" t="str">
        <f>IF(MODEL_MATRIX!B41="","",MODEL_MATRIX!B41)</f>
        <v/>
      </c>
      <c r="B120" s="1" t="str">
        <f>IF(OR(B$7="",ISERROR($A120)),"",HLOOKUP(B$80,MODEL_MATRIX!$C$1:$AA$71,ROW()-ROW(A$80)+1,0))</f>
        <v/>
      </c>
      <c r="C120" s="1" t="str">
        <f>IF(OR(C$80="",ISERROR($A120)),"",HLOOKUP(C$80,MODEL_MATRIX!$C$1:$AA$71,ROW()-ROW(C$80)+1,0))</f>
        <v/>
      </c>
    </row>
    <row r="121" spans="1:3" hidden="1" x14ac:dyDescent="0.25">
      <c r="A121" s="1" t="str">
        <f>IF(MODEL_MATRIX!B42="","",MODEL_MATRIX!B42)</f>
        <v/>
      </c>
      <c r="B121" s="1" t="str">
        <f>IF(OR(B$7="",ISERROR($A121)),"",HLOOKUP(B$80,MODEL_MATRIX!$C$1:$AA$71,ROW()-ROW(A$80)+1,0))</f>
        <v/>
      </c>
      <c r="C121" s="1" t="str">
        <f>IF(OR(C$80="",ISERROR($A121)),"",HLOOKUP(C$80,MODEL_MATRIX!$C$1:$AA$71,ROW()-ROW(C$80)+1,0))</f>
        <v/>
      </c>
    </row>
    <row r="122" spans="1:3" hidden="1" x14ac:dyDescent="0.25">
      <c r="A122" s="1" t="str">
        <f>IF(MODEL_MATRIX!B43="","",MODEL_MATRIX!B43)</f>
        <v/>
      </c>
      <c r="B122" s="1" t="str">
        <f>IF(OR(B$7="",ISERROR($A122)),"",HLOOKUP(B$80,MODEL_MATRIX!$C$1:$AA$71,ROW()-ROW(A$80)+1,0))</f>
        <v/>
      </c>
      <c r="C122" s="1" t="str">
        <f>IF(OR(C$80="",ISERROR($A122)),"",HLOOKUP(C$80,MODEL_MATRIX!$C$1:$AA$71,ROW()-ROW(C$80)+1,0))</f>
        <v/>
      </c>
    </row>
    <row r="123" spans="1:3" hidden="1" x14ac:dyDescent="0.25">
      <c r="A123" s="1" t="str">
        <f>IF(MODEL_MATRIX!B44="","",MODEL_MATRIX!B44)</f>
        <v/>
      </c>
      <c r="B123" s="1" t="str">
        <f>IF(OR(B$7="",ISERROR($A123)),"",HLOOKUP(B$80,MODEL_MATRIX!$C$1:$AA$71,ROW()-ROW(A$80)+1,0))</f>
        <v/>
      </c>
      <c r="C123" s="1" t="str">
        <f>IF(OR(C$80="",ISERROR($A123)),"",HLOOKUP(C$80,MODEL_MATRIX!$C$1:$AA$71,ROW()-ROW(C$80)+1,0))</f>
        <v/>
      </c>
    </row>
    <row r="124" spans="1:3" hidden="1" x14ac:dyDescent="0.25">
      <c r="A124" s="1" t="str">
        <f>IF(MODEL_MATRIX!B45="","",MODEL_MATRIX!B45)</f>
        <v/>
      </c>
      <c r="B124" s="1" t="str">
        <f>IF(OR(B$7="",ISERROR($A124)),"",HLOOKUP(B$80,MODEL_MATRIX!$C$1:$AA$71,ROW()-ROW(A$80)+1,0))</f>
        <v/>
      </c>
      <c r="C124" s="1" t="str">
        <f>IF(OR(C$80="",ISERROR($A124)),"",HLOOKUP(C$80,MODEL_MATRIX!$C$1:$AA$71,ROW()-ROW(C$80)+1,0))</f>
        <v/>
      </c>
    </row>
    <row r="125" spans="1:3" hidden="1" x14ac:dyDescent="0.25">
      <c r="A125" s="1" t="str">
        <f>IF(MODEL_MATRIX!B46="","",MODEL_MATRIX!B46)</f>
        <v/>
      </c>
      <c r="B125" s="1" t="str">
        <f>IF(OR(B$7="",ISERROR($A125)),"",HLOOKUP(B$80,MODEL_MATRIX!$C$1:$AA$71,ROW()-ROW(A$80)+1,0))</f>
        <v/>
      </c>
      <c r="C125" s="1" t="str">
        <f>IF(OR(C$80="",ISERROR($A125)),"",HLOOKUP(C$80,MODEL_MATRIX!$C$1:$AA$71,ROW()-ROW(C$80)+1,0))</f>
        <v/>
      </c>
    </row>
    <row r="126" spans="1:3" hidden="1" x14ac:dyDescent="0.25">
      <c r="A126" s="1" t="str">
        <f>IF(MODEL_MATRIX!B47="","",MODEL_MATRIX!B47)</f>
        <v/>
      </c>
      <c r="B126" s="1" t="str">
        <f>IF(OR(B$7="",ISERROR($A126)),"",HLOOKUP(B$80,MODEL_MATRIX!$C$1:$AA$71,ROW()-ROW(A$80)+1,0))</f>
        <v/>
      </c>
      <c r="C126" s="1" t="str">
        <f>IF(OR(C$80="",ISERROR($A126)),"",HLOOKUP(C$80,MODEL_MATRIX!$C$1:$AA$71,ROW()-ROW(C$80)+1,0))</f>
        <v/>
      </c>
    </row>
    <row r="127" spans="1:3" hidden="1" x14ac:dyDescent="0.25">
      <c r="A127" s="1" t="str">
        <f>IF(MODEL_MATRIX!B48="","",MODEL_MATRIX!B48)</f>
        <v/>
      </c>
      <c r="B127" s="1" t="str">
        <f>IF(OR(B$7="",ISERROR($A127)),"",HLOOKUP(B$80,MODEL_MATRIX!$C$1:$AA$71,ROW()-ROW(A$80)+1,0))</f>
        <v/>
      </c>
      <c r="C127" s="1" t="str">
        <f>IF(OR(C$80="",ISERROR($A127)),"",HLOOKUP(C$80,MODEL_MATRIX!$C$1:$AA$71,ROW()-ROW(C$80)+1,0))</f>
        <v/>
      </c>
    </row>
    <row r="128" spans="1:3" hidden="1" x14ac:dyDescent="0.25">
      <c r="A128" s="1" t="str">
        <f>IF(MODEL_MATRIX!B49="","",MODEL_MATRIX!B49)</f>
        <v/>
      </c>
      <c r="B128" s="1" t="str">
        <f>IF(OR(B$7="",ISERROR($A128)),"",HLOOKUP(B$80,MODEL_MATRIX!$C$1:$AA$71,ROW()-ROW(A$80)+1,0))</f>
        <v/>
      </c>
      <c r="C128" s="1" t="str">
        <f>IF(OR(C$80="",ISERROR($A128)),"",HLOOKUP(C$80,MODEL_MATRIX!$C$1:$AA$71,ROW()-ROW(C$80)+1,0))</f>
        <v/>
      </c>
    </row>
    <row r="129" spans="1:3" hidden="1" x14ac:dyDescent="0.25">
      <c r="A129" s="1" t="str">
        <f>IF(MODEL_MATRIX!B50="","",MODEL_MATRIX!B50)</f>
        <v/>
      </c>
      <c r="B129" s="1" t="str">
        <f>IF(OR(B$7="",ISERROR($A129)),"",HLOOKUP(B$80,MODEL_MATRIX!$C$1:$AA$71,ROW()-ROW(A$80)+1,0))</f>
        <v/>
      </c>
      <c r="C129" s="1" t="str">
        <f>IF(OR(C$80="",ISERROR($A129)),"",HLOOKUP(C$80,MODEL_MATRIX!$C$1:$AA$71,ROW()-ROW(C$80)+1,0))</f>
        <v/>
      </c>
    </row>
    <row r="130" spans="1:3" hidden="1" x14ac:dyDescent="0.25">
      <c r="A130" s="1" t="str">
        <f>IF(MODEL_MATRIX!B51="","",MODEL_MATRIX!B51)</f>
        <v/>
      </c>
      <c r="B130" s="1" t="str">
        <f>IF(OR(B$7="",ISERROR($A130)),"",HLOOKUP(B$80,MODEL_MATRIX!$C$1:$AA$71,ROW()-ROW(A$80)+1,0))</f>
        <v/>
      </c>
      <c r="C130" s="1" t="str">
        <f>IF(OR(C$80="",ISERROR($A130)),"",HLOOKUP(C$80,MODEL_MATRIX!$C$1:$AA$71,ROW()-ROW(C$80)+1,0))</f>
        <v/>
      </c>
    </row>
    <row r="131" spans="1:3" hidden="1" x14ac:dyDescent="0.25">
      <c r="A131" s="1" t="str">
        <f>IF(MODEL_MATRIX!B52="","",MODEL_MATRIX!B52)</f>
        <v/>
      </c>
      <c r="B131" s="1" t="str">
        <f>IF(OR(B$7="",ISERROR($A131)),"",HLOOKUP(B$80,MODEL_MATRIX!$C$1:$AA$71,ROW()-ROW(A$80)+1,0))</f>
        <v/>
      </c>
      <c r="C131" s="1" t="str">
        <f>IF(OR(C$80="",ISERROR($A131)),"",HLOOKUP(C$80,MODEL_MATRIX!$C$1:$AA$71,ROW()-ROW(C$80)+1,0))</f>
        <v/>
      </c>
    </row>
    <row r="132" spans="1:3" hidden="1" x14ac:dyDescent="0.25">
      <c r="A132" s="1" t="str">
        <f>IF(MODEL_MATRIX!B53="","",MODEL_MATRIX!B53)</f>
        <v/>
      </c>
      <c r="B132" s="1" t="str">
        <f>IF(OR(B$7="",ISERROR($A132)),"",HLOOKUP(B$80,MODEL_MATRIX!$C$1:$AA$71,ROW()-ROW(A$80)+1,0))</f>
        <v/>
      </c>
      <c r="C132" s="1" t="str">
        <f>IF(OR(C$80="",ISERROR($A132)),"",HLOOKUP(C$80,MODEL_MATRIX!$C$1:$AA$71,ROW()-ROW(C$80)+1,0))</f>
        <v/>
      </c>
    </row>
    <row r="133" spans="1:3" hidden="1" x14ac:dyDescent="0.25">
      <c r="A133" s="1" t="str">
        <f>IF(MODEL_MATRIX!B54="","",MODEL_MATRIX!B54)</f>
        <v/>
      </c>
      <c r="B133" s="1" t="str">
        <f>IF(OR(B$7="",ISERROR($A133)),"",HLOOKUP(B$80,MODEL_MATRIX!$C$1:$AA$71,ROW()-ROW(A$80)+1,0))</f>
        <v/>
      </c>
      <c r="C133" s="1" t="str">
        <f>IF(OR(C$80="",ISERROR($A133)),"",HLOOKUP(C$80,MODEL_MATRIX!$C$1:$AA$71,ROW()-ROW(C$80)+1,0))</f>
        <v/>
      </c>
    </row>
    <row r="134" spans="1:3" hidden="1" x14ac:dyDescent="0.25">
      <c r="A134" s="1" t="str">
        <f>IF(MODEL_MATRIX!B55="","",MODEL_MATRIX!B55)</f>
        <v/>
      </c>
      <c r="B134" s="1" t="str">
        <f>IF(OR(B$7="",ISERROR($A134)),"",HLOOKUP(B$80,MODEL_MATRIX!$C$1:$AA$71,ROW()-ROW(A$80)+1,0))</f>
        <v/>
      </c>
      <c r="C134" s="1" t="str">
        <f>IF(OR(C$80="",ISERROR($A134)),"",HLOOKUP(C$80,MODEL_MATRIX!$C$1:$AA$71,ROW()-ROW(C$80)+1,0))</f>
        <v/>
      </c>
    </row>
    <row r="135" spans="1:3" hidden="1" x14ac:dyDescent="0.25">
      <c r="A135" s="1" t="str">
        <f>IF(MODEL_MATRIX!B56="","",MODEL_MATRIX!B56)</f>
        <v/>
      </c>
      <c r="B135" s="1" t="str">
        <f>IF(OR(B$7="",ISERROR($A135)),"",HLOOKUP(B$80,MODEL_MATRIX!$C$1:$AA$71,ROW()-ROW(A$80)+1,0))</f>
        <v/>
      </c>
      <c r="C135" s="1" t="str">
        <f>IF(OR(C$80="",ISERROR($A135)),"",HLOOKUP(C$80,MODEL_MATRIX!$C$1:$AA$71,ROW()-ROW(C$80)+1,0))</f>
        <v/>
      </c>
    </row>
    <row r="136" spans="1:3" hidden="1" x14ac:dyDescent="0.25">
      <c r="A136" s="1" t="str">
        <f>IF(MODEL_MATRIX!B57="","",MODEL_MATRIX!B57)</f>
        <v/>
      </c>
      <c r="B136" s="1" t="str">
        <f>IF(OR(B$7="",ISERROR($A136)),"",HLOOKUP(B$80,MODEL_MATRIX!$C$1:$AA$71,ROW()-ROW(A$80)+1,0))</f>
        <v/>
      </c>
      <c r="C136" s="1" t="str">
        <f>IF(OR(C$80="",ISERROR($A136)),"",HLOOKUP(C$80,MODEL_MATRIX!$C$1:$AA$71,ROW()-ROW(C$80)+1,0))</f>
        <v/>
      </c>
    </row>
    <row r="137" spans="1:3" hidden="1" x14ac:dyDescent="0.25">
      <c r="A137" s="1" t="str">
        <f>IF(MODEL_MATRIX!B58="","",MODEL_MATRIX!B58)</f>
        <v/>
      </c>
      <c r="B137" s="1" t="str">
        <f>IF(OR(B$7="",ISERROR($A137)),"",HLOOKUP(B$80,MODEL_MATRIX!$C$1:$AA$71,ROW()-ROW(A$80)+1,0))</f>
        <v/>
      </c>
      <c r="C137" s="1" t="str">
        <f>IF(OR(C$80="",ISERROR($A137)),"",HLOOKUP(C$80,MODEL_MATRIX!$C$1:$AA$71,ROW()-ROW(C$80)+1,0))</f>
        <v/>
      </c>
    </row>
    <row r="138" spans="1:3" hidden="1" x14ac:dyDescent="0.25">
      <c r="A138" s="1" t="str">
        <f>IF(MODEL_MATRIX!B59="","",MODEL_MATRIX!B59)</f>
        <v/>
      </c>
      <c r="B138" s="1" t="str">
        <f>IF(OR(B$7="",ISERROR($A138)),"",HLOOKUP(B$80,MODEL_MATRIX!$C$1:$AA$71,ROW()-ROW(A$80)+1,0))</f>
        <v/>
      </c>
      <c r="C138" s="1" t="str">
        <f>IF(OR(C$80="",ISERROR($A138)),"",HLOOKUP(C$80,MODEL_MATRIX!$C$1:$AA$71,ROW()-ROW(C$80)+1,0))</f>
        <v/>
      </c>
    </row>
    <row r="139" spans="1:3" hidden="1" x14ac:dyDescent="0.25">
      <c r="A139" s="1" t="str">
        <f>IF(MODEL_MATRIX!B60="","",MODEL_MATRIX!B60)</f>
        <v/>
      </c>
      <c r="B139" s="1" t="str">
        <f>IF(OR(B$7="",ISERROR($A139)),"",HLOOKUP(B$80,MODEL_MATRIX!$C$1:$AA$71,ROW()-ROW(A$80)+1,0))</f>
        <v/>
      </c>
      <c r="C139" s="1" t="str">
        <f>IF(OR(C$80="",ISERROR($A139)),"",HLOOKUP(C$80,MODEL_MATRIX!$C$1:$AA$71,ROW()-ROW(C$80)+1,0))</f>
        <v/>
      </c>
    </row>
    <row r="140" spans="1:3" hidden="1" x14ac:dyDescent="0.25">
      <c r="A140" s="1" t="str">
        <f>IF(MODEL_MATRIX!B61="","",MODEL_MATRIX!B61)</f>
        <v/>
      </c>
      <c r="B140" s="1" t="str">
        <f>IF(OR(B$7="",ISERROR($A140)),"",HLOOKUP(B$80,MODEL_MATRIX!$C$1:$AA$71,ROW()-ROW(A$80)+1,0))</f>
        <v/>
      </c>
      <c r="C140" s="1" t="str">
        <f>IF(OR(C$80="",ISERROR($A140)),"",HLOOKUP(C$80,MODEL_MATRIX!$C$1:$AA$71,ROW()-ROW(C$80)+1,0))</f>
        <v/>
      </c>
    </row>
    <row r="141" spans="1:3" hidden="1" x14ac:dyDescent="0.25">
      <c r="A141" s="1" t="str">
        <f>IF(MODEL_MATRIX!B62="","",MODEL_MATRIX!B62)</f>
        <v/>
      </c>
      <c r="B141" s="1" t="str">
        <f>IF(OR(B$7="",ISERROR($A141)),"",HLOOKUP(B$80,MODEL_MATRIX!$C$1:$AA$71,ROW()-ROW(A$80)+1,0))</f>
        <v/>
      </c>
      <c r="C141" s="1" t="str">
        <f>IF(OR(C$80="",ISERROR($A141)),"",HLOOKUP(C$80,MODEL_MATRIX!$C$1:$AA$71,ROW()-ROW(C$80)+1,0))</f>
        <v/>
      </c>
    </row>
    <row r="142" spans="1:3" hidden="1" x14ac:dyDescent="0.25">
      <c r="A142" s="1" t="str">
        <f>IF(MODEL_MATRIX!B63="","",MODEL_MATRIX!B63)</f>
        <v/>
      </c>
      <c r="B142" s="1" t="str">
        <f>IF(OR(B$7="",ISERROR($A142)),"",HLOOKUP(B$80,MODEL_MATRIX!$C$1:$AA$71,ROW()-ROW(A$80)+1,0))</f>
        <v/>
      </c>
      <c r="C142" s="1" t="str">
        <f>IF(OR(C$80="",ISERROR($A142)),"",HLOOKUP(C$80,MODEL_MATRIX!$C$1:$AA$71,ROW()-ROW(C$80)+1,0))</f>
        <v/>
      </c>
    </row>
    <row r="143" spans="1:3" hidden="1" x14ac:dyDescent="0.25">
      <c r="A143" s="1" t="str">
        <f>IF(MODEL_MATRIX!B64="","",MODEL_MATRIX!B64)</f>
        <v/>
      </c>
      <c r="B143" s="1" t="str">
        <f>IF(OR(B$7="",ISERROR($A143)),"",HLOOKUP(B$80,MODEL_MATRIX!$C$1:$AA$71,ROW()-ROW(A$80)+1,0))</f>
        <v/>
      </c>
      <c r="C143" s="1" t="str">
        <f>IF(OR(C$80="",ISERROR($A143)),"",HLOOKUP(C$80,MODEL_MATRIX!$C$1:$AA$71,ROW()-ROW(C$80)+1,0))</f>
        <v/>
      </c>
    </row>
    <row r="144" spans="1:3" hidden="1" x14ac:dyDescent="0.25">
      <c r="A144" s="1" t="str">
        <f>IF(MODEL_MATRIX!B65="","",MODEL_MATRIX!B65)</f>
        <v/>
      </c>
      <c r="B144" s="1" t="str">
        <f>IF(OR(B$7="",ISERROR($A144)),"",HLOOKUP(B$80,MODEL_MATRIX!$C$1:$AA$71,ROW()-ROW(A$80)+1,0))</f>
        <v/>
      </c>
      <c r="C144" s="1" t="str">
        <f>IF(OR(C$80="",ISERROR($A144)),"",HLOOKUP(C$80,MODEL_MATRIX!$C$1:$AA$71,ROW()-ROW(C$80)+1,0))</f>
        <v/>
      </c>
    </row>
    <row r="145" spans="1:3" hidden="1" x14ac:dyDescent="0.25">
      <c r="A145" s="1" t="str">
        <f>IF(MODEL_MATRIX!B66="","",MODEL_MATRIX!B66)</f>
        <v/>
      </c>
      <c r="B145" s="1" t="str">
        <f>IF(OR(B$7="",ISERROR($A145)),"",HLOOKUP(B$80,MODEL_MATRIX!$C$1:$AA$71,ROW()-ROW(A$80)+1,0))</f>
        <v/>
      </c>
      <c r="C145" s="1" t="str">
        <f>IF(OR(C$80="",ISERROR($A145)),"",HLOOKUP(C$80,MODEL_MATRIX!$C$1:$AA$71,ROW()-ROW(C$80)+1,0))</f>
        <v/>
      </c>
    </row>
    <row r="146" spans="1:3" hidden="1" x14ac:dyDescent="0.25">
      <c r="A146" s="1" t="str">
        <f>IF(MODEL_MATRIX!B67="","",MODEL_MATRIX!B67)</f>
        <v/>
      </c>
      <c r="B146" s="1" t="str">
        <f>IF(OR(B$7="",ISERROR($A146)),"",HLOOKUP(B$80,MODEL_MATRIX!$C$1:$AA$71,ROW()-ROW(A$80)+1,0))</f>
        <v/>
      </c>
      <c r="C146" s="1" t="str">
        <f>IF(OR(C$80="",ISERROR($A146)),"",HLOOKUP(C$80,MODEL_MATRIX!$C$1:$AA$71,ROW()-ROW(C$80)+1,0))</f>
        <v/>
      </c>
    </row>
    <row r="147" spans="1:3" hidden="1" x14ac:dyDescent="0.25">
      <c r="A147" s="1" t="str">
        <f>IF(MODEL_MATRIX!B68="","",MODEL_MATRIX!B68)</f>
        <v/>
      </c>
      <c r="B147" s="1" t="str">
        <f>IF(OR(B$7="",ISERROR($A147)),"",HLOOKUP(B$80,MODEL_MATRIX!$C$1:$AA$71,ROW()-ROW(A$80)+1,0))</f>
        <v/>
      </c>
      <c r="C147" s="1" t="str">
        <f>IF(OR(C$80="",ISERROR($A147)),"",HLOOKUP(C$80,MODEL_MATRIX!$C$1:$AA$71,ROW()-ROW(C$80)+1,0))</f>
        <v/>
      </c>
    </row>
    <row r="148" spans="1:3" hidden="1" x14ac:dyDescent="0.25">
      <c r="A148" s="1" t="str">
        <f>IF(MODEL_MATRIX!B69="","",MODEL_MATRIX!B69)</f>
        <v/>
      </c>
      <c r="B148" s="1" t="str">
        <f>IF(OR(B$7="",ISERROR($A148)),"",HLOOKUP(B$80,MODEL_MATRIX!$C$1:$AA$71,ROW()-ROW(A$80)+1,0))</f>
        <v/>
      </c>
      <c r="C148" s="1" t="str">
        <f>IF(OR(C$80="",ISERROR($A148)),"",HLOOKUP(C$80,MODEL_MATRIX!$C$1:$AA$71,ROW()-ROW(C$80)+1,0))</f>
        <v/>
      </c>
    </row>
    <row r="149" spans="1:3" hidden="1" x14ac:dyDescent="0.25">
      <c r="A149" s="1" t="str">
        <f>IF(MODEL_MATRIX!B70="","",MODEL_MATRIX!B70)</f>
        <v/>
      </c>
      <c r="B149" s="1" t="str">
        <f>IF(OR(B$7="",ISERROR($A149)),"",HLOOKUP(B$80,MODEL_MATRIX!$C$1:$AA$71,ROW()-ROW(A$80)+1,0))</f>
        <v/>
      </c>
      <c r="C149" s="1" t="str">
        <f>IF(OR(C$80="",ISERROR($A149)),"",HLOOKUP(C$80,MODEL_MATRIX!$C$1:$AA$71,ROW()-ROW(C$80)+1,0))</f>
        <v/>
      </c>
    </row>
    <row r="150" spans="1:3" hidden="1" x14ac:dyDescent="0.25">
      <c r="A150" s="1" t="str">
        <f>IF(MODEL_MATRIX!B71="","",MODEL_MATRIX!B71)</f>
        <v/>
      </c>
      <c r="B150" s="1" t="str">
        <f>IF(OR(B$7="",ISERROR($A150)),"",HLOOKUP(B$80,MODEL_MATRIX!$C$1:$AA$71,ROW()-ROW(A$80)+1,0))</f>
        <v/>
      </c>
      <c r="C150" s="1" t="str">
        <f>IF(OR(C$80="",ISERROR($A150)),"",HLOOKUP(C$80,MODEL_MATRIX!$C$1:$AA$71,ROW()-ROW(C$80)+1,0))</f>
        <v/>
      </c>
    </row>
  </sheetData>
  <mergeCells count="1">
    <mergeCell ref="AP1:AP18"/>
  </mergeCells>
  <dataValidations count="1">
    <dataValidation type="list" allowBlank="1" showInputMessage="1" showErrorMessage="1" sqref="AE1:AF1" xr:uid="{016E156D-040B-4E42-93BA-420FC9E65CCD}">
      <formula1>$B$4:$Z$4</formula1>
    </dataValidation>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A2D11-EA50-4640-A97F-5B4C1AA1A4AD}">
  <sheetPr>
    <tabColor rgb="FF92D050"/>
  </sheetPr>
  <dimension ref="A1:AA19"/>
  <sheetViews>
    <sheetView zoomScaleNormal="100" workbookViewId="0"/>
  </sheetViews>
  <sheetFormatPr baseColWidth="10" defaultColWidth="0" defaultRowHeight="15" zeroHeight="1" x14ac:dyDescent="0.25"/>
  <cols>
    <col min="1" max="1" width="13.85546875" customWidth="1"/>
    <col min="2" max="27" width="10.7109375" customWidth="1"/>
    <col min="28" max="16384" width="11.42578125" hidden="1"/>
  </cols>
  <sheetData>
    <row r="1" spans="1:27" x14ac:dyDescent="0.25">
      <c r="A1" t="s">
        <v>15</v>
      </c>
      <c r="B1" t="str">
        <f>"MODEL_MATRIX!b2:b" &amp; DESIGN_FEATURES!E1+1</f>
        <v>MODEL_MATRIX!b2:b33</v>
      </c>
      <c r="F1" t="s">
        <v>115</v>
      </c>
      <c r="H1">
        <f>COUNT(MODEL_MATRIX!C2:AA2)</f>
        <v>5</v>
      </c>
      <c r="J1" t="s">
        <v>37</v>
      </c>
      <c r="K1">
        <f ca="1">B8</f>
        <v>0.79976729272691449</v>
      </c>
    </row>
    <row r="2" spans="1:27" x14ac:dyDescent="0.25">
      <c r="A2" t="s">
        <v>35</v>
      </c>
      <c r="B2" t="str">
        <f>"MODEL_MATRIX!c2:" &amp; ADDRESS(DESIGN_FEATURES!E1+1,COUNT(MODEL_MATRIX!C2:AA2)+2)</f>
        <v>MODEL_MATRIX!c2:$G$33</v>
      </c>
      <c r="F2" t="s">
        <v>173</v>
      </c>
      <c r="H2">
        <f>DESIGN_FEATURES!E1</f>
        <v>32</v>
      </c>
      <c r="J2" t="s">
        <v>174</v>
      </c>
      <c r="K2">
        <f ca="1">1-(1-K1)*(H2-1)/(H2-H1-1)</f>
        <v>0.76126100286670573</v>
      </c>
    </row>
    <row r="3" spans="1:27" x14ac:dyDescent="0.25"/>
    <row r="4" spans="1:27" x14ac:dyDescent="0.25">
      <c r="B4" t="str">
        <f>IF(COLUMN()&gt;$H$1+1,"",ADDRESS(1,$H$1-COLUMN()+4,1,1,"MODEL_MATRIX"))</f>
        <v>MODEL_MATRIX!$G$1</v>
      </c>
      <c r="C4" t="str">
        <f t="shared" ref="C4:AA4" si="0">IF(COLUMN()&gt;$H$1+1,"",ADDRESS(1,$H$1-COLUMN()+4,1,1,"MODEL_MATRIX"))</f>
        <v>MODEL_MATRIX!$F$1</v>
      </c>
      <c r="D4" t="str">
        <f t="shared" si="0"/>
        <v>MODEL_MATRIX!$E$1</v>
      </c>
      <c r="E4" t="str">
        <f t="shared" si="0"/>
        <v>MODEL_MATRIX!$D$1</v>
      </c>
      <c r="F4" t="str">
        <f t="shared" si="0"/>
        <v>MODEL_MATRIX!$C$1</v>
      </c>
      <c r="G4" t="str">
        <f t="shared" si="0"/>
        <v/>
      </c>
      <c r="H4" t="str">
        <f t="shared" si="0"/>
        <v/>
      </c>
      <c r="I4" t="str">
        <f t="shared" si="0"/>
        <v/>
      </c>
      <c r="J4" t="str">
        <f t="shared" si="0"/>
        <v/>
      </c>
      <c r="K4" t="str">
        <f t="shared" si="0"/>
        <v/>
      </c>
      <c r="L4" t="str">
        <f t="shared" si="0"/>
        <v/>
      </c>
      <c r="M4" t="str">
        <f t="shared" si="0"/>
        <v/>
      </c>
      <c r="N4" t="str">
        <f t="shared" si="0"/>
        <v/>
      </c>
      <c r="O4" t="str">
        <f t="shared" si="0"/>
        <v/>
      </c>
      <c r="P4" t="str">
        <f t="shared" si="0"/>
        <v/>
      </c>
      <c r="Q4" t="str">
        <f t="shared" si="0"/>
        <v/>
      </c>
      <c r="R4" t="str">
        <f t="shared" si="0"/>
        <v/>
      </c>
      <c r="S4" t="str">
        <f t="shared" si="0"/>
        <v/>
      </c>
      <c r="T4" t="str">
        <f t="shared" si="0"/>
        <v/>
      </c>
      <c r="U4" t="str">
        <f t="shared" si="0"/>
        <v/>
      </c>
      <c r="V4" t="str">
        <f t="shared" si="0"/>
        <v/>
      </c>
      <c r="W4" t="str">
        <f t="shared" si="0"/>
        <v/>
      </c>
      <c r="X4" t="str">
        <f t="shared" si="0"/>
        <v/>
      </c>
      <c r="Y4" t="str">
        <f t="shared" si="0"/>
        <v/>
      </c>
      <c r="Z4" t="str">
        <f t="shared" si="0"/>
        <v/>
      </c>
      <c r="AA4" t="str">
        <f t="shared" si="0"/>
        <v/>
      </c>
    </row>
    <row r="5" spans="1:27" x14ac:dyDescent="0.25">
      <c r="B5" s="1" t="str" cm="1">
        <f t="array" aca="1" ref="B5" ca="1">IFERROR(INDIRECT(B4),IF(B6="","","Intercept"))</f>
        <v>AE</v>
      </c>
      <c r="C5" s="1" t="str" cm="1">
        <f t="array" aca="1" ref="C5" ca="1">IFERROR(INDIRECT(C4),IF(C6="","","Intercept"))</f>
        <v>AC</v>
      </c>
      <c r="D5" s="1" t="str" cm="1">
        <f t="array" aca="1" ref="D5" ca="1">IFERROR(INDIRECT(D4),IF(D6="","","Intercept"))</f>
        <v>E</v>
      </c>
      <c r="E5" s="1" t="str" cm="1">
        <f t="array" aca="1" ref="E5" ca="1">IFERROR(INDIRECT(E4),IF(E6="","","Intercept"))</f>
        <v>C</v>
      </c>
      <c r="F5" s="1" t="str" cm="1">
        <f t="array" aca="1" ref="F5" ca="1">IFERROR(INDIRECT(F4),IF(F6="","","Intercept"))</f>
        <v>A</v>
      </c>
      <c r="G5" s="1" t="str" cm="1">
        <f t="array" aca="1" ref="G5" ca="1">IFERROR(INDIRECT(G4),IF(G6="","","Intercept"))</f>
        <v>Intercept</v>
      </c>
      <c r="H5" s="1" t="str" cm="1">
        <f t="array" aca="1" ref="H5" ca="1">IFERROR(INDIRECT(H4),IF(H6="","","Intercept"))</f>
        <v/>
      </c>
      <c r="I5" s="1" t="str" cm="1">
        <f t="array" aca="1" ref="I5" ca="1">IFERROR(INDIRECT(I4),IF(I6="","","Intercept"))</f>
        <v/>
      </c>
      <c r="J5" s="1" t="str" cm="1">
        <f t="array" aca="1" ref="J5" ca="1">IFERROR(INDIRECT(J4),IF(J6="","","Intercept"))</f>
        <v/>
      </c>
      <c r="K5" s="1" t="str" cm="1">
        <f t="array" aca="1" ref="K5" ca="1">IFERROR(INDIRECT(K4),IF(K6="","","Intercept"))</f>
        <v/>
      </c>
      <c r="L5" s="1" t="str" cm="1">
        <f t="array" aca="1" ref="L5" ca="1">IFERROR(INDIRECT(L4),IF(L6="","","Intercept"))</f>
        <v/>
      </c>
      <c r="M5" s="1" t="str" cm="1">
        <f t="array" aca="1" ref="M5" ca="1">IFERROR(INDIRECT(M4),IF(M6="","","Intercept"))</f>
        <v/>
      </c>
      <c r="N5" s="1" t="str" cm="1">
        <f t="array" aca="1" ref="N5" ca="1">IFERROR(INDIRECT(N4),IF(N6="","","Intercept"))</f>
        <v/>
      </c>
      <c r="O5" s="1" t="str" cm="1">
        <f t="array" aca="1" ref="O5" ca="1">IFERROR(INDIRECT(O4),IF(O6="","","Intercept"))</f>
        <v/>
      </c>
      <c r="P5" s="1" t="str" cm="1">
        <f t="array" aca="1" ref="P5" ca="1">IFERROR(INDIRECT(P4),IF(P6="","","Intercept"))</f>
        <v/>
      </c>
      <c r="Q5" s="1" t="str" cm="1">
        <f t="array" aca="1" ref="Q5" ca="1">IFERROR(INDIRECT(Q4),IF(Q6="","","Intercept"))</f>
        <v/>
      </c>
      <c r="R5" s="1" t="str" cm="1">
        <f t="array" aca="1" ref="R5" ca="1">IFERROR(INDIRECT(R4),IF(R6="","","Intercept"))</f>
        <v/>
      </c>
      <c r="S5" s="1" t="str" cm="1">
        <f t="array" aca="1" ref="S5" ca="1">IFERROR(INDIRECT(S4),IF(S6="","","Intercept"))</f>
        <v/>
      </c>
      <c r="T5" s="1" t="str" cm="1">
        <f t="array" aca="1" ref="T5" ca="1">IFERROR(INDIRECT(T4),IF(T6="","","Intercept"))</f>
        <v/>
      </c>
      <c r="U5" s="1" t="str" cm="1">
        <f t="array" aca="1" ref="U5" ca="1">IFERROR(INDIRECT(U4),IF(U6="","","Intercept"))</f>
        <v/>
      </c>
      <c r="V5" s="1" t="str" cm="1">
        <f t="array" aca="1" ref="V5" ca="1">IFERROR(INDIRECT(V4),IF(V6="","","Intercept"))</f>
        <v/>
      </c>
      <c r="W5" s="1" t="str" cm="1">
        <f t="array" aca="1" ref="W5" ca="1">IFERROR(INDIRECT(W4),IF(W6="","","Intercept"))</f>
        <v/>
      </c>
      <c r="X5" s="1" t="str" cm="1">
        <f t="array" aca="1" ref="X5" ca="1">IFERROR(INDIRECT(X4),IF(X6="","","Intercept"))</f>
        <v/>
      </c>
      <c r="Y5" s="1" t="str" cm="1">
        <f t="array" aca="1" ref="Y5" ca="1">IFERROR(INDIRECT(Y4),IF(Y6="","","Intercept"))</f>
        <v/>
      </c>
      <c r="Z5" s="1" t="str" cm="1">
        <f t="array" aca="1" ref="Z5" ca="1">IFERROR(INDIRECT(Z4),IF(Z6="","","Intercept"))</f>
        <v/>
      </c>
      <c r="AA5" s="1" t="str" cm="1">
        <f t="array" aca="1" ref="AA5" ca="1">IFERROR(INDIRECT(AA4),IF(AA6="","","Intercept"))</f>
        <v/>
      </c>
    </row>
    <row r="6" spans="1:27" x14ac:dyDescent="0.25">
      <c r="B6" s="1" cm="1">
        <f t="array" aca="1" ref="B6:G10" ca="1">LINEST(INDIRECT(B1),INDIRECT(B2),1,1)</f>
        <v>0.41883355468749978</v>
      </c>
      <c r="C6" s="1">
        <f ca="1"/>
        <v>-0.35986405468749977</v>
      </c>
      <c r="D6" s="1">
        <f ca="1"/>
        <v>0.46799014843750014</v>
      </c>
      <c r="E6" s="1">
        <f ca="1"/>
        <v>1.0836925390624996</v>
      </c>
      <c r="F6" s="1">
        <f ca="1"/>
        <v>-0.47624316406249995</v>
      </c>
      <c r="G6" s="1">
        <f ca="1"/>
        <v>5.9889290109375004</v>
      </c>
      <c r="H6" s="1"/>
      <c r="I6" s="1"/>
      <c r="J6" s="1"/>
      <c r="K6" s="1"/>
      <c r="L6" s="1"/>
      <c r="M6" s="1"/>
      <c r="N6" s="1"/>
      <c r="O6" s="1"/>
      <c r="P6" s="1"/>
      <c r="Q6" s="1"/>
      <c r="R6" s="1"/>
      <c r="S6" s="1"/>
      <c r="T6" s="1"/>
      <c r="U6" s="1"/>
      <c r="V6" s="1"/>
      <c r="W6" s="1"/>
      <c r="X6" s="1"/>
      <c r="Y6" s="1"/>
      <c r="Z6" s="1"/>
      <c r="AA6" s="1"/>
    </row>
    <row r="7" spans="1:27" x14ac:dyDescent="0.25">
      <c r="B7" s="1">
        <f ca="1"/>
        <v>0.13615377001056339</v>
      </c>
      <c r="C7" s="1">
        <f ca="1"/>
        <v>0.13615377001056336</v>
      </c>
      <c r="D7" s="1">
        <f ca="1"/>
        <v>0.13615377001056336</v>
      </c>
      <c r="E7" s="1">
        <f ca="1"/>
        <v>0.13615377001056339</v>
      </c>
      <c r="F7" s="1">
        <f ca="1"/>
        <v>0.13615377001056339</v>
      </c>
      <c r="G7" s="1">
        <f ca="1"/>
        <v>0.13615377001056336</v>
      </c>
      <c r="H7" s="1"/>
      <c r="I7" s="1"/>
      <c r="J7" s="1"/>
      <c r="K7" s="1"/>
      <c r="L7" s="1"/>
      <c r="M7" s="1"/>
      <c r="N7" s="1"/>
      <c r="O7" s="1"/>
      <c r="P7" s="1"/>
      <c r="Q7" s="1"/>
      <c r="R7" s="1"/>
      <c r="S7" s="1"/>
      <c r="T7" s="1"/>
      <c r="U7" s="1"/>
      <c r="V7" s="1"/>
      <c r="W7" s="1"/>
      <c r="X7" s="1"/>
      <c r="Y7" s="1"/>
      <c r="Z7" s="1"/>
      <c r="AA7" s="1"/>
    </row>
    <row r="8" spans="1:27" x14ac:dyDescent="0.25">
      <c r="A8" t="s">
        <v>37</v>
      </c>
      <c r="B8" s="1">
        <f ca="1"/>
        <v>0.79976729272691449</v>
      </c>
      <c r="C8" s="1">
        <f ca="1"/>
        <v>0.7702020324686637</v>
      </c>
      <c r="D8" s="1" t="e">
        <f ca="1"/>
        <v>#N/A</v>
      </c>
      <c r="E8" s="1" t="e">
        <f ca="1"/>
        <v>#N/A</v>
      </c>
      <c r="F8" s="1" t="e">
        <f ca="1"/>
        <v>#N/A</v>
      </c>
      <c r="G8" s="1" t="e">
        <f ca="1"/>
        <v>#N/A</v>
      </c>
      <c r="H8" s="1"/>
      <c r="I8" s="1"/>
      <c r="J8" s="1"/>
      <c r="K8" s="1"/>
      <c r="L8" s="1"/>
      <c r="M8" s="1"/>
      <c r="N8" s="1"/>
      <c r="O8" s="1"/>
      <c r="P8" s="1"/>
      <c r="Q8" s="1"/>
      <c r="R8" s="1"/>
      <c r="S8" s="1"/>
      <c r="T8" s="1"/>
      <c r="U8" s="1"/>
      <c r="V8" s="1"/>
      <c r="W8" s="1"/>
      <c r="X8" s="1"/>
      <c r="Y8" s="1"/>
      <c r="Z8" s="1"/>
      <c r="AA8" s="1"/>
    </row>
    <row r="9" spans="1:27" x14ac:dyDescent="0.25">
      <c r="A9" t="s">
        <v>5</v>
      </c>
      <c r="B9" s="1">
        <f ca="1"/>
        <v>20.769783212829605</v>
      </c>
      <c r="C9" s="1">
        <f ca="1"/>
        <v>26</v>
      </c>
      <c r="D9" s="1" t="e">
        <f ca="1"/>
        <v>#N/A</v>
      </c>
      <c r="E9" s="1" t="e">
        <f ca="1"/>
        <v>#N/A</v>
      </c>
      <c r="F9" s="1" t="e">
        <f ca="1"/>
        <v>#N/A</v>
      </c>
      <c r="G9" s="1" t="e">
        <f ca="1"/>
        <v>#N/A</v>
      </c>
      <c r="H9" s="1"/>
      <c r="I9" s="1"/>
      <c r="J9" s="1"/>
      <c r="K9" s="1"/>
      <c r="L9" s="1"/>
      <c r="M9" s="1"/>
      <c r="N9" s="1"/>
      <c r="O9" s="1"/>
      <c r="P9" s="1"/>
      <c r="Q9" s="1"/>
      <c r="R9" s="1"/>
      <c r="S9" s="1"/>
      <c r="T9" s="1"/>
      <c r="U9" s="1"/>
      <c r="V9" s="1"/>
      <c r="W9" s="1"/>
      <c r="X9" s="1"/>
      <c r="Y9" s="1"/>
      <c r="Z9" s="1"/>
      <c r="AA9" s="1"/>
    </row>
    <row r="10" spans="1:27" x14ac:dyDescent="0.25">
      <c r="A10" t="s">
        <v>38</v>
      </c>
      <c r="B10" s="1">
        <f ca="1"/>
        <v>61.604337086682818</v>
      </c>
      <c r="C10" s="1">
        <f ca="1"/>
        <v>15.423490441290371</v>
      </c>
      <c r="D10" s="1" t="e">
        <f ca="1"/>
        <v>#N/A</v>
      </c>
      <c r="E10" s="1" t="e">
        <f ca="1"/>
        <v>#N/A</v>
      </c>
      <c r="F10" s="1" t="e">
        <f ca="1"/>
        <v>#N/A</v>
      </c>
      <c r="G10" s="1" t="e">
        <f ca="1"/>
        <v>#N/A</v>
      </c>
      <c r="H10" s="1"/>
      <c r="I10" s="1"/>
      <c r="J10" s="1"/>
      <c r="K10" s="1"/>
      <c r="L10" s="1"/>
      <c r="M10" s="1"/>
      <c r="N10" s="1"/>
      <c r="O10" s="1"/>
      <c r="P10" s="1"/>
      <c r="Q10" s="1"/>
      <c r="R10" s="1"/>
      <c r="S10" s="1"/>
      <c r="T10" s="1"/>
      <c r="U10" s="1"/>
      <c r="V10" s="1"/>
      <c r="W10" s="1"/>
      <c r="X10" s="1"/>
      <c r="Y10" s="1"/>
      <c r="Z10" s="1"/>
      <c r="AA10" s="1"/>
    </row>
    <row r="11" spans="1:27" x14ac:dyDescent="0.25">
      <c r="A11" t="s">
        <v>132</v>
      </c>
      <c r="B11" s="1">
        <f ca="1">_xlfn.F.DIST.RT(B9,COUNT(B6:AA6)-1,C9)</f>
        <v>2.4712118185628062E-8</v>
      </c>
    </row>
    <row r="12" spans="1:27" x14ac:dyDescent="0.25">
      <c r="I12" s="26" t="s">
        <v>172</v>
      </c>
      <c r="J12" s="27"/>
      <c r="K12" s="27"/>
      <c r="L12" s="27"/>
      <c r="M12" s="27"/>
      <c r="N12" s="27"/>
      <c r="O12" s="27"/>
      <c r="P12" s="27"/>
      <c r="Q12" s="27"/>
      <c r="R12" s="27"/>
      <c r="S12" s="27"/>
      <c r="T12" s="27"/>
      <c r="U12" s="27"/>
    </row>
    <row r="13" spans="1:27" x14ac:dyDescent="0.25">
      <c r="I13" s="27"/>
      <c r="J13" s="27"/>
      <c r="K13" s="27"/>
      <c r="L13" s="27"/>
      <c r="M13" s="27"/>
      <c r="N13" s="27"/>
      <c r="O13" s="27"/>
      <c r="P13" s="27"/>
      <c r="Q13" s="27"/>
      <c r="R13" s="27"/>
      <c r="S13" s="27"/>
      <c r="T13" s="27"/>
      <c r="U13" s="27"/>
    </row>
    <row r="14" spans="1:27" x14ac:dyDescent="0.25">
      <c r="I14" s="27"/>
      <c r="J14" s="27"/>
      <c r="K14" s="27"/>
      <c r="L14" s="27"/>
      <c r="M14" s="27"/>
      <c r="N14" s="27"/>
      <c r="O14" s="27"/>
      <c r="P14" s="27"/>
      <c r="Q14" s="27"/>
      <c r="R14" s="27"/>
      <c r="S14" s="27"/>
      <c r="T14" s="27"/>
      <c r="U14" s="27"/>
    </row>
    <row r="15" spans="1:27" x14ac:dyDescent="0.25">
      <c r="I15" s="27"/>
      <c r="J15" s="27"/>
      <c r="K15" s="27"/>
      <c r="L15" s="27"/>
      <c r="M15" s="27"/>
      <c r="N15" s="27"/>
      <c r="O15" s="27"/>
      <c r="P15" s="27"/>
      <c r="Q15" s="27"/>
      <c r="R15" s="27"/>
      <c r="S15" s="27"/>
      <c r="T15" s="27"/>
      <c r="U15" s="27"/>
    </row>
    <row r="16" spans="1:27" x14ac:dyDescent="0.25">
      <c r="I16" s="27"/>
      <c r="J16" s="27"/>
      <c r="K16" s="27"/>
      <c r="L16" s="27"/>
      <c r="M16" s="27"/>
      <c r="N16" s="27"/>
      <c r="O16" s="27"/>
      <c r="P16" s="27"/>
      <c r="Q16" s="27"/>
      <c r="R16" s="27"/>
      <c r="S16" s="27"/>
      <c r="T16" s="27"/>
      <c r="U16" s="27"/>
    </row>
    <row r="17" spans="9:21" x14ac:dyDescent="0.25">
      <c r="I17" s="27"/>
      <c r="J17" s="27"/>
      <c r="K17" s="27"/>
      <c r="L17" s="27"/>
      <c r="M17" s="27"/>
      <c r="N17" s="27"/>
      <c r="O17" s="27"/>
      <c r="P17" s="27"/>
      <c r="Q17" s="27"/>
      <c r="R17" s="27"/>
      <c r="S17" s="27"/>
      <c r="T17" s="27"/>
      <c r="U17" s="27"/>
    </row>
    <row r="18" spans="9:21" x14ac:dyDescent="0.25"/>
    <row r="19" spans="9:21" x14ac:dyDescent="0.25"/>
  </sheetData>
  <mergeCells count="1">
    <mergeCell ref="I12:U17"/>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DD883-2C38-42A1-A02A-1A3C72805B24}">
  <sheetPr>
    <tabColor rgb="FF92D050"/>
  </sheetPr>
  <dimension ref="A1:N31"/>
  <sheetViews>
    <sheetView zoomScaleNormal="100" workbookViewId="0"/>
  </sheetViews>
  <sheetFormatPr baseColWidth="10" defaultColWidth="0" defaultRowHeight="15" zeroHeight="1" x14ac:dyDescent="0.25"/>
  <cols>
    <col min="1" max="1" width="23.5703125" customWidth="1"/>
    <col min="2" max="4" width="11.42578125" customWidth="1"/>
    <col min="5" max="5" width="18" customWidth="1"/>
    <col min="6" max="6" width="13" bestFit="1" customWidth="1"/>
    <col min="7" max="14" width="11.42578125" customWidth="1"/>
    <col min="15" max="16384" width="11.42578125" hidden="1"/>
  </cols>
  <sheetData>
    <row r="1" spans="1:14" x14ac:dyDescent="0.25">
      <c r="B1" t="s">
        <v>69</v>
      </c>
      <c r="C1" t="s">
        <v>62</v>
      </c>
      <c r="D1" t="s">
        <v>75</v>
      </c>
      <c r="E1" t="s">
        <v>116</v>
      </c>
      <c r="F1" s="28" t="s">
        <v>117</v>
      </c>
      <c r="G1" s="28" t="s">
        <v>84</v>
      </c>
    </row>
    <row r="2" spans="1:14" x14ac:dyDescent="0.25">
      <c r="A2" s="14" t="s">
        <v>70</v>
      </c>
      <c r="B2" s="14">
        <f>DESIGN_FEATURES!E1-1</f>
        <v>31</v>
      </c>
      <c r="C2" s="14">
        <f ca="1">MODEL!M61</f>
        <v>77.027827527973187</v>
      </c>
      <c r="D2" s="14">
        <f ca="1">IF(C2="","",C2/B2)</f>
        <v>2.484768629934619</v>
      </c>
      <c r="E2" s="14"/>
      <c r="F2" s="28"/>
      <c r="G2" s="28"/>
      <c r="H2" s="14"/>
    </row>
    <row r="3" spans="1:14" x14ac:dyDescent="0.25">
      <c r="A3" s="14" t="s">
        <v>71</v>
      </c>
      <c r="B3" s="14">
        <f>B2-B6</f>
        <v>26</v>
      </c>
      <c r="C3" s="14">
        <f ca="1">C2-C6</f>
        <v>15.423490441290369</v>
      </c>
      <c r="D3" s="14">
        <f ca="1">IF(C3="","",C3/B3)</f>
        <v>0.59321117081886032</v>
      </c>
      <c r="E3" s="14"/>
      <c r="F3" s="14"/>
      <c r="G3" s="14"/>
      <c r="H3" s="14"/>
      <c r="I3" s="15" t="s">
        <v>77</v>
      </c>
    </row>
    <row r="4" spans="1:14" x14ac:dyDescent="0.25">
      <c r="A4" t="s">
        <v>72</v>
      </c>
      <c r="B4">
        <f>B3-B5</f>
        <v>2</v>
      </c>
      <c r="C4">
        <f ca="1">C3-C5</f>
        <v>3.1098683428983822</v>
      </c>
      <c r="D4">
        <f t="shared" ref="D4" ca="1" si="0">IF(C4="","",C4/B4)</f>
        <v>1.5549341714491911</v>
      </c>
      <c r="I4" t="s">
        <v>76</v>
      </c>
      <c r="K4">
        <f ca="1">D4/D5</f>
        <v>3.0306614752822352</v>
      </c>
    </row>
    <row r="5" spans="1:14" x14ac:dyDescent="0.25">
      <c r="A5" t="s">
        <v>73</v>
      </c>
      <c r="B5">
        <f>MODEL_REPLICATION!G5</f>
        <v>24</v>
      </c>
      <c r="C5">
        <f>MODEL_REPLICATION!G2</f>
        <v>12.313622098391987</v>
      </c>
      <c r="D5">
        <f>IF(OR(B5=0,C5=""),"",C5/B5)</f>
        <v>0.51306758743299941</v>
      </c>
      <c r="I5" t="s">
        <v>84</v>
      </c>
      <c r="K5">
        <f ca="1">_xlfn.F.DIST.RT(K4,B4,B5)</f>
        <v>6.7056028681205818E-2</v>
      </c>
    </row>
    <row r="6" spans="1:14" x14ac:dyDescent="0.25">
      <c r="A6" s="16" t="s">
        <v>74</v>
      </c>
      <c r="B6" s="16">
        <f>SUM(B7:B31)</f>
        <v>5</v>
      </c>
      <c r="C6" s="16">
        <f ca="1">MODEL_FIT!B10</f>
        <v>61.604337086682818</v>
      </c>
      <c r="D6" s="16">
        <f ca="1">IF(C6="","",C6/B6)</f>
        <v>12.320867417336563</v>
      </c>
      <c r="E6" s="16"/>
      <c r="F6" s="16">
        <f ca="1">IF(D6="","",D6/$D$3)</f>
        <v>20.769783212829608</v>
      </c>
      <c r="G6" s="16">
        <f ca="1">IF(F6="","",_xlfn.F.DIST.RT(F6,B6,$B$3))</f>
        <v>2.4712118185627976E-8</v>
      </c>
      <c r="H6" s="16" t="str">
        <f ca="1">IF(G6="","",IF(G6&lt;0.001,"***",IF(G6&lt;0.01,"**",IF(G6&lt;0.05,"*",IF(G6&lt;0.1,".","")))))</f>
        <v>***</v>
      </c>
    </row>
    <row r="7" spans="1:14" x14ac:dyDescent="0.25">
      <c r="A7" t="str" cm="1">
        <f t="array" ref="A7:A31">TRANSPOSE(MODEL!A15:Y15)</f>
        <v>A</v>
      </c>
      <c r="B7">
        <f>IF(A7="","",1)</f>
        <v>1</v>
      </c>
      <c r="C7" s="17">
        <f ca="1">IF(A7="","",D7*B7)</f>
        <v>7.2578416421203578</v>
      </c>
      <c r="D7">
        <f ca="1">IF(A7="","",F7*$D$3)</f>
        <v>7.2578416421203578</v>
      </c>
      <c r="E7">
        <f ca="1">IF(A7="","",HLOOKUP(A7,MODEL_FIT!$B$5:$AA$10,2,0)/HLOOKUP(A7,MODEL_FIT!$B$5:$AA$10,3,0))</f>
        <v>-3.4978331046253879</v>
      </c>
      <c r="F7">
        <f ca="1">IF(A7="","",E7^2)</f>
        <v>12.23483642781328</v>
      </c>
      <c r="G7">
        <f t="shared" ref="G7" ca="1" si="1">IF(F7="","",_xlfn.F.DIST.RT(F7,B7,$B$3))</f>
        <v>1.7055742651077579E-3</v>
      </c>
      <c r="H7" t="str">
        <f t="shared" ref="H7:H31" ca="1" si="2">IF(G7="","",IF(G7&lt;0.001,"***",IF(G7&lt;0.01,"**",IF(G7&lt;0.05,"*",IF(G7&lt;0.1,".","")))))</f>
        <v>**</v>
      </c>
    </row>
    <row r="8" spans="1:14" x14ac:dyDescent="0.25">
      <c r="A8" t="str">
        <v>C</v>
      </c>
      <c r="B8">
        <f t="shared" ref="B8:B31" si="3">IF(A8="","",1)</f>
        <v>1</v>
      </c>
      <c r="C8" s="17">
        <f t="shared" ref="C8:C31" ca="1" si="4">IF(A8="","",D8*B8)</f>
        <v>37.580464615031268</v>
      </c>
      <c r="D8">
        <f t="shared" ref="D8:D31" ca="1" si="5">IF(A8="","",F8*$D$3)</f>
        <v>37.580464615031268</v>
      </c>
      <c r="E8">
        <f ca="1">IF(A8="","",HLOOKUP(A8,MODEL_FIT!$B$5:$AA$10,2,0)/HLOOKUP(A8,MODEL_FIT!$B$5:$AA$10,3,0))</f>
        <v>7.959328184437509</v>
      </c>
      <c r="F8">
        <f t="shared" ref="F8:F31" ca="1" si="6">IF(A8="","",E8^2)</f>
        <v>63.350905147581294</v>
      </c>
      <c r="G8">
        <f t="shared" ref="G8:G31" ca="1" si="7">IF(F8="","",_xlfn.F.DIST.RT(F8,B8,$B$3))</f>
        <v>1.9460554627096387E-8</v>
      </c>
      <c r="H8" t="str">
        <f t="shared" ca="1" si="2"/>
        <v>***</v>
      </c>
      <c r="I8" s="26" t="s">
        <v>135</v>
      </c>
      <c r="J8" s="26"/>
      <c r="K8" s="26"/>
      <c r="L8" s="26"/>
      <c r="M8" s="26"/>
      <c r="N8" s="26"/>
    </row>
    <row r="9" spans="1:14" x14ac:dyDescent="0.25">
      <c r="A9" t="str">
        <v>E</v>
      </c>
      <c r="B9">
        <f t="shared" si="3"/>
        <v>1</v>
      </c>
      <c r="C9" s="17">
        <f t="shared" ca="1" si="4"/>
        <v>7.00847292910571</v>
      </c>
      <c r="D9">
        <f t="shared" ca="1" si="5"/>
        <v>7.00847292910571</v>
      </c>
      <c r="E9">
        <f ca="1">IF(A9="","",HLOOKUP(A9,MODEL_FIT!$B$5:$AA$10,2,0)/HLOOKUP(A9,MODEL_FIT!$B$5:$AA$10,3,0))</f>
        <v>3.437217701729387</v>
      </c>
      <c r="F9">
        <f t="shared" ca="1" si="6"/>
        <v>11.814465529081849</v>
      </c>
      <c r="G9">
        <f t="shared" ca="1" si="7"/>
        <v>1.9888014609613733E-3</v>
      </c>
      <c r="H9" t="str">
        <f t="shared" ca="1" si="2"/>
        <v>**</v>
      </c>
      <c r="I9" s="26"/>
      <c r="J9" s="26"/>
      <c r="K9" s="26"/>
      <c r="L9" s="26"/>
      <c r="M9" s="26"/>
      <c r="N9" s="26"/>
    </row>
    <row r="10" spans="1:14" x14ac:dyDescent="0.25">
      <c r="A10" t="str">
        <v>AC</v>
      </c>
      <c r="B10">
        <f t="shared" si="3"/>
        <v>1</v>
      </c>
      <c r="C10" s="17">
        <f t="shared" ca="1" si="4"/>
        <v>4.1440684113960913</v>
      </c>
      <c r="D10">
        <f t="shared" ca="1" si="5"/>
        <v>4.1440684113960913</v>
      </c>
      <c r="E10">
        <f ca="1">IF(A10="","",HLOOKUP(A10,MODEL_FIT!$B$5:$AA$10,2,0)/HLOOKUP(A10,MODEL_FIT!$B$5:$AA$10,3,0))</f>
        <v>-2.6430708063359543</v>
      </c>
      <c r="F10">
        <f t="shared" ca="1" si="6"/>
        <v>6.9858232873053918</v>
      </c>
      <c r="G10">
        <f t="shared" ca="1" si="7"/>
        <v>1.3733783023208421E-2</v>
      </c>
      <c r="H10" t="str">
        <f t="shared" ca="1" si="2"/>
        <v>*</v>
      </c>
      <c r="I10" s="26"/>
      <c r="J10" s="26"/>
      <c r="K10" s="26"/>
      <c r="L10" s="26"/>
      <c r="M10" s="26"/>
      <c r="N10" s="26"/>
    </row>
    <row r="11" spans="1:14" x14ac:dyDescent="0.25">
      <c r="A11" t="str">
        <v>AE</v>
      </c>
      <c r="B11">
        <f t="shared" si="3"/>
        <v>1</v>
      </c>
      <c r="C11" s="17">
        <f t="shared" ca="1" si="4"/>
        <v>5.6134894890293383</v>
      </c>
      <c r="D11">
        <f t="shared" ca="1" si="5"/>
        <v>5.6134894890293383</v>
      </c>
      <c r="E11">
        <f ca="1">IF(A11="","",HLOOKUP(A11,MODEL_FIT!$B$5:$AA$10,2,0)/HLOOKUP(A11,MODEL_FIT!$B$5:$AA$10,3,0))</f>
        <v>3.0761803705839719</v>
      </c>
      <c r="F11">
        <f t="shared" ca="1" si="6"/>
        <v>9.4628856723661432</v>
      </c>
      <c r="G11">
        <f t="shared" ca="1" si="7"/>
        <v>4.8878458527178998E-3</v>
      </c>
      <c r="H11" t="str">
        <f t="shared" ca="1" si="2"/>
        <v>**</v>
      </c>
      <c r="I11" s="26"/>
      <c r="J11" s="26"/>
      <c r="K11" s="26"/>
      <c r="L11" s="26"/>
      <c r="M11" s="26"/>
      <c r="N11" s="26"/>
    </row>
    <row r="12" spans="1:14" x14ac:dyDescent="0.25">
      <c r="A12" t="str">
        <v/>
      </c>
      <c r="B12" t="str">
        <f t="shared" si="3"/>
        <v/>
      </c>
      <c r="C12" s="17" t="str">
        <f t="shared" si="4"/>
        <v/>
      </c>
      <c r="D12" t="str">
        <f t="shared" si="5"/>
        <v/>
      </c>
      <c r="E12" t="str">
        <f>IF(A12="","",HLOOKUP(A12,MODEL_FIT!$B$5:$AA$10,2,0)/HLOOKUP(A12,MODEL_FIT!$B$5:$AA$10,3,0))</f>
        <v/>
      </c>
      <c r="F12" t="str">
        <f t="shared" si="6"/>
        <v/>
      </c>
      <c r="G12" t="str">
        <f t="shared" si="7"/>
        <v/>
      </c>
      <c r="H12" t="str">
        <f t="shared" si="2"/>
        <v/>
      </c>
      <c r="I12" s="26"/>
      <c r="J12" s="26"/>
      <c r="K12" s="26"/>
      <c r="L12" s="26"/>
      <c r="M12" s="26"/>
      <c r="N12" s="26"/>
    </row>
    <row r="13" spans="1:14" x14ac:dyDescent="0.25">
      <c r="A13" t="str">
        <v/>
      </c>
      <c r="B13" t="str">
        <f t="shared" si="3"/>
        <v/>
      </c>
      <c r="C13" s="17" t="str">
        <f t="shared" si="4"/>
        <v/>
      </c>
      <c r="D13" t="str">
        <f t="shared" si="5"/>
        <v/>
      </c>
      <c r="E13" t="str">
        <f>IF(A13="","",HLOOKUP(A13,MODEL_FIT!$B$5:$AA$10,2,0)/HLOOKUP(A13,MODEL_FIT!$B$5:$AA$10,3,0))</f>
        <v/>
      </c>
      <c r="F13" t="str">
        <f t="shared" si="6"/>
        <v/>
      </c>
      <c r="G13" t="str">
        <f t="shared" si="7"/>
        <v/>
      </c>
      <c r="H13" t="str">
        <f t="shared" si="2"/>
        <v/>
      </c>
      <c r="I13" s="26"/>
      <c r="J13" s="26"/>
      <c r="K13" s="26"/>
      <c r="L13" s="26"/>
      <c r="M13" s="26"/>
      <c r="N13" s="26"/>
    </row>
    <row r="14" spans="1:14" x14ac:dyDescent="0.25">
      <c r="A14" t="str">
        <v/>
      </c>
      <c r="B14" t="str">
        <f t="shared" si="3"/>
        <v/>
      </c>
      <c r="C14" s="17" t="str">
        <f t="shared" si="4"/>
        <v/>
      </c>
      <c r="D14" t="str">
        <f t="shared" si="5"/>
        <v/>
      </c>
      <c r="E14" t="str">
        <f>IF(A14="","",HLOOKUP(A14,MODEL_FIT!$B$5:$AA$10,2,0)/HLOOKUP(A14,MODEL_FIT!$B$5:$AA$10,3,0))</f>
        <v/>
      </c>
      <c r="F14" t="str">
        <f t="shared" si="6"/>
        <v/>
      </c>
      <c r="G14" t="str">
        <f t="shared" si="7"/>
        <v/>
      </c>
      <c r="H14" t="str">
        <f t="shared" si="2"/>
        <v/>
      </c>
      <c r="I14" s="26"/>
      <c r="J14" s="26"/>
      <c r="K14" s="26"/>
      <c r="L14" s="26"/>
      <c r="M14" s="26"/>
      <c r="N14" s="26"/>
    </row>
    <row r="15" spans="1:14" x14ac:dyDescent="0.25">
      <c r="A15" t="str">
        <v/>
      </c>
      <c r="B15" t="str">
        <f t="shared" si="3"/>
        <v/>
      </c>
      <c r="C15" s="17" t="str">
        <f t="shared" si="4"/>
        <v/>
      </c>
      <c r="D15" t="str">
        <f t="shared" si="5"/>
        <v/>
      </c>
      <c r="E15" t="str">
        <f>IF(A15="","",HLOOKUP(A15,MODEL_FIT!$B$5:$AA$10,2,0)/HLOOKUP(A15,MODEL_FIT!$B$5:$AA$10,3,0))</f>
        <v/>
      </c>
      <c r="F15" t="str">
        <f t="shared" si="6"/>
        <v/>
      </c>
      <c r="G15" t="str">
        <f t="shared" si="7"/>
        <v/>
      </c>
      <c r="H15" t="str">
        <f t="shared" si="2"/>
        <v/>
      </c>
      <c r="I15" s="26"/>
      <c r="J15" s="26"/>
      <c r="K15" s="26"/>
      <c r="L15" s="26"/>
      <c r="M15" s="26"/>
      <c r="N15" s="26"/>
    </row>
    <row r="16" spans="1:14" x14ac:dyDescent="0.25">
      <c r="A16" t="str">
        <v/>
      </c>
      <c r="B16" t="str">
        <f t="shared" si="3"/>
        <v/>
      </c>
      <c r="C16" s="17" t="str">
        <f t="shared" si="4"/>
        <v/>
      </c>
      <c r="D16" t="str">
        <f t="shared" si="5"/>
        <v/>
      </c>
      <c r="E16" t="str">
        <f>IF(A16="","",HLOOKUP(A16,MODEL_FIT!$B$5:$AA$10,2,0)/HLOOKUP(A16,MODEL_FIT!$B$5:$AA$10,3,0))</f>
        <v/>
      </c>
      <c r="F16" t="str">
        <f t="shared" si="6"/>
        <v/>
      </c>
      <c r="G16" t="str">
        <f t="shared" si="7"/>
        <v/>
      </c>
      <c r="H16" t="str">
        <f t="shared" si="2"/>
        <v/>
      </c>
      <c r="I16" s="26"/>
      <c r="J16" s="26"/>
      <c r="K16" s="26"/>
      <c r="L16" s="26"/>
      <c r="M16" s="26"/>
      <c r="N16" s="26"/>
    </row>
    <row r="17" spans="1:14" x14ac:dyDescent="0.25">
      <c r="A17" t="str">
        <v/>
      </c>
      <c r="B17" t="str">
        <f t="shared" si="3"/>
        <v/>
      </c>
      <c r="C17" s="17" t="str">
        <f t="shared" si="4"/>
        <v/>
      </c>
      <c r="D17" t="str">
        <f t="shared" si="5"/>
        <v/>
      </c>
      <c r="E17" t="str">
        <f>IF(A17="","",HLOOKUP(A17,MODEL_FIT!$B$5:$AA$10,2,0)/HLOOKUP(A17,MODEL_FIT!$B$5:$AA$10,3,0))</f>
        <v/>
      </c>
      <c r="F17" t="str">
        <f t="shared" si="6"/>
        <v/>
      </c>
      <c r="G17" t="str">
        <f t="shared" si="7"/>
        <v/>
      </c>
      <c r="H17" t="str">
        <f t="shared" si="2"/>
        <v/>
      </c>
      <c r="I17" s="26"/>
      <c r="J17" s="26"/>
      <c r="K17" s="26"/>
      <c r="L17" s="26"/>
      <c r="M17" s="26"/>
      <c r="N17" s="26"/>
    </row>
    <row r="18" spans="1:14" x14ac:dyDescent="0.25">
      <c r="A18" t="str">
        <v/>
      </c>
      <c r="B18" t="str">
        <f t="shared" si="3"/>
        <v/>
      </c>
      <c r="C18" s="17" t="str">
        <f t="shared" si="4"/>
        <v/>
      </c>
      <c r="D18" t="str">
        <f t="shared" si="5"/>
        <v/>
      </c>
      <c r="E18" t="str">
        <f>IF(A18="","",HLOOKUP(A18,MODEL_FIT!$B$5:$AA$10,2,0)/HLOOKUP(A18,MODEL_FIT!$B$5:$AA$10,3,0))</f>
        <v/>
      </c>
      <c r="F18" t="str">
        <f t="shared" si="6"/>
        <v/>
      </c>
      <c r="G18" t="str">
        <f t="shared" si="7"/>
        <v/>
      </c>
      <c r="H18" t="str">
        <f t="shared" si="2"/>
        <v/>
      </c>
      <c r="I18" s="26"/>
      <c r="J18" s="26"/>
      <c r="K18" s="26"/>
      <c r="L18" s="26"/>
      <c r="M18" s="26"/>
      <c r="N18" s="26"/>
    </row>
    <row r="19" spans="1:14" x14ac:dyDescent="0.25">
      <c r="A19" t="str">
        <v/>
      </c>
      <c r="B19" t="str">
        <f t="shared" si="3"/>
        <v/>
      </c>
      <c r="C19" s="17" t="str">
        <f t="shared" si="4"/>
        <v/>
      </c>
      <c r="D19" t="str">
        <f t="shared" si="5"/>
        <v/>
      </c>
      <c r="E19" t="str">
        <f>IF(A19="","",HLOOKUP(A19,MODEL_FIT!$B$5:$AA$10,2,0)/HLOOKUP(A19,MODEL_FIT!$B$5:$AA$10,3,0))</f>
        <v/>
      </c>
      <c r="F19" t="str">
        <f t="shared" si="6"/>
        <v/>
      </c>
      <c r="G19" t="str">
        <f t="shared" si="7"/>
        <v/>
      </c>
      <c r="H19" t="str">
        <f t="shared" si="2"/>
        <v/>
      </c>
      <c r="I19" s="26"/>
      <c r="J19" s="26"/>
      <c r="K19" s="26"/>
      <c r="L19" s="26"/>
      <c r="M19" s="26"/>
      <c r="N19" s="26"/>
    </row>
    <row r="20" spans="1:14" x14ac:dyDescent="0.25">
      <c r="A20" t="str">
        <v/>
      </c>
      <c r="B20" t="str">
        <f t="shared" si="3"/>
        <v/>
      </c>
      <c r="C20" s="17" t="str">
        <f t="shared" si="4"/>
        <v/>
      </c>
      <c r="D20" t="str">
        <f t="shared" si="5"/>
        <v/>
      </c>
      <c r="E20" t="str">
        <f>IF(A20="","",HLOOKUP(A20,MODEL_FIT!$B$5:$AA$10,2,0)/HLOOKUP(A20,MODEL_FIT!$B$5:$AA$10,3,0))</f>
        <v/>
      </c>
      <c r="F20" t="str">
        <f t="shared" si="6"/>
        <v/>
      </c>
      <c r="G20" t="str">
        <f t="shared" si="7"/>
        <v/>
      </c>
      <c r="H20" t="str">
        <f t="shared" si="2"/>
        <v/>
      </c>
      <c r="I20" s="26"/>
      <c r="J20" s="26"/>
      <c r="K20" s="26"/>
      <c r="L20" s="26"/>
      <c r="M20" s="26"/>
      <c r="N20" s="26"/>
    </row>
    <row r="21" spans="1:14" x14ac:dyDescent="0.25">
      <c r="A21" t="str">
        <v/>
      </c>
      <c r="B21" t="str">
        <f t="shared" si="3"/>
        <v/>
      </c>
      <c r="C21" s="17" t="str">
        <f t="shared" si="4"/>
        <v/>
      </c>
      <c r="D21" t="str">
        <f t="shared" si="5"/>
        <v/>
      </c>
      <c r="E21" t="str">
        <f>IF(A21="","",HLOOKUP(A21,MODEL_FIT!$B$5:$AA$10,2,0)/HLOOKUP(A21,MODEL_FIT!$B$5:$AA$10,3,0))</f>
        <v/>
      </c>
      <c r="F21" t="str">
        <f t="shared" si="6"/>
        <v/>
      </c>
      <c r="G21" t="str">
        <f t="shared" si="7"/>
        <v/>
      </c>
      <c r="H21" t="str">
        <f t="shared" si="2"/>
        <v/>
      </c>
      <c r="I21" s="26"/>
      <c r="J21" s="26"/>
      <c r="K21" s="26"/>
      <c r="L21" s="26"/>
      <c r="M21" s="26"/>
      <c r="N21" s="26"/>
    </row>
    <row r="22" spans="1:14" x14ac:dyDescent="0.25">
      <c r="A22" t="str">
        <v/>
      </c>
      <c r="B22" t="str">
        <f t="shared" si="3"/>
        <v/>
      </c>
      <c r="C22" s="17" t="str">
        <f t="shared" si="4"/>
        <v/>
      </c>
      <c r="D22" t="str">
        <f t="shared" si="5"/>
        <v/>
      </c>
      <c r="E22" t="str">
        <f>IF(A22="","",HLOOKUP(A22,MODEL_FIT!$B$5:$AA$10,2,0)/HLOOKUP(A22,MODEL_FIT!$B$5:$AA$10,3,0))</f>
        <v/>
      </c>
      <c r="F22" t="str">
        <f t="shared" si="6"/>
        <v/>
      </c>
      <c r="G22" t="str">
        <f t="shared" si="7"/>
        <v/>
      </c>
      <c r="H22" t="str">
        <f t="shared" si="2"/>
        <v/>
      </c>
    </row>
    <row r="23" spans="1:14" x14ac:dyDescent="0.25">
      <c r="A23" t="str">
        <v/>
      </c>
      <c r="B23" t="str">
        <f t="shared" si="3"/>
        <v/>
      </c>
      <c r="C23" s="17" t="str">
        <f t="shared" si="4"/>
        <v/>
      </c>
      <c r="D23" t="str">
        <f t="shared" si="5"/>
        <v/>
      </c>
      <c r="E23" t="str">
        <f>IF(A23="","",HLOOKUP(A23,MODEL_FIT!$B$5:$AA$10,2,0)/HLOOKUP(A23,MODEL_FIT!$B$5:$AA$10,3,0))</f>
        <v/>
      </c>
      <c r="F23" t="str">
        <f t="shared" si="6"/>
        <v/>
      </c>
      <c r="G23" t="str">
        <f t="shared" si="7"/>
        <v/>
      </c>
      <c r="H23" t="str">
        <f t="shared" si="2"/>
        <v/>
      </c>
    </row>
    <row r="24" spans="1:14" x14ac:dyDescent="0.25">
      <c r="A24" t="str">
        <v/>
      </c>
      <c r="B24" t="str">
        <f t="shared" si="3"/>
        <v/>
      </c>
      <c r="C24" s="17" t="str">
        <f t="shared" si="4"/>
        <v/>
      </c>
      <c r="D24" t="str">
        <f t="shared" si="5"/>
        <v/>
      </c>
      <c r="E24" t="str">
        <f>IF(A24="","",HLOOKUP(A24,MODEL_FIT!$B$5:$AA$10,2,0)/HLOOKUP(A24,MODEL_FIT!$B$5:$AA$10,3,0))</f>
        <v/>
      </c>
      <c r="F24" t="str">
        <f t="shared" si="6"/>
        <v/>
      </c>
      <c r="G24" t="str">
        <f t="shared" si="7"/>
        <v/>
      </c>
      <c r="H24" t="str">
        <f t="shared" si="2"/>
        <v/>
      </c>
    </row>
    <row r="25" spans="1:14" x14ac:dyDescent="0.25">
      <c r="A25" t="str">
        <v/>
      </c>
      <c r="B25" t="str">
        <f t="shared" si="3"/>
        <v/>
      </c>
      <c r="C25" s="17" t="str">
        <f t="shared" si="4"/>
        <v/>
      </c>
      <c r="D25" t="str">
        <f t="shared" si="5"/>
        <v/>
      </c>
      <c r="E25" t="str">
        <f>IF(A25="","",HLOOKUP(A25,MODEL_FIT!$B$5:$AA$10,2,0)/HLOOKUP(A25,MODEL_FIT!$B$5:$AA$10,3,0))</f>
        <v/>
      </c>
      <c r="F25" t="str">
        <f t="shared" si="6"/>
        <v/>
      </c>
      <c r="G25" t="str">
        <f t="shared" si="7"/>
        <v/>
      </c>
      <c r="H25" t="str">
        <f t="shared" si="2"/>
        <v/>
      </c>
    </row>
    <row r="26" spans="1:14" x14ac:dyDescent="0.25">
      <c r="A26" t="str">
        <v/>
      </c>
      <c r="B26" t="str">
        <f t="shared" si="3"/>
        <v/>
      </c>
      <c r="C26" s="17" t="str">
        <f t="shared" si="4"/>
        <v/>
      </c>
      <c r="D26" t="str">
        <f t="shared" si="5"/>
        <v/>
      </c>
      <c r="E26" t="str">
        <f>IF(A26="","",HLOOKUP(A26,MODEL_FIT!$B$5:$AA$10,2,0)/HLOOKUP(A26,MODEL_FIT!$B$5:$AA$10,3,0))</f>
        <v/>
      </c>
      <c r="F26" t="str">
        <f t="shared" si="6"/>
        <v/>
      </c>
      <c r="G26" t="str">
        <f t="shared" si="7"/>
        <v/>
      </c>
      <c r="H26" t="str">
        <f t="shared" si="2"/>
        <v/>
      </c>
    </row>
    <row r="27" spans="1:14" x14ac:dyDescent="0.25">
      <c r="A27" t="str">
        <v/>
      </c>
      <c r="B27" t="str">
        <f t="shared" si="3"/>
        <v/>
      </c>
      <c r="C27" s="17" t="str">
        <f t="shared" si="4"/>
        <v/>
      </c>
      <c r="D27" t="str">
        <f t="shared" si="5"/>
        <v/>
      </c>
      <c r="E27" t="str">
        <f>IF(A27="","",HLOOKUP(A27,MODEL_FIT!$B$5:$AA$10,2,0)/HLOOKUP(A27,MODEL_FIT!$B$5:$AA$10,3,0))</f>
        <v/>
      </c>
      <c r="F27" t="str">
        <f t="shared" si="6"/>
        <v/>
      </c>
      <c r="G27" t="str">
        <f t="shared" si="7"/>
        <v/>
      </c>
      <c r="H27" t="str">
        <f t="shared" si="2"/>
        <v/>
      </c>
    </row>
    <row r="28" spans="1:14" x14ac:dyDescent="0.25">
      <c r="A28" t="str">
        <v/>
      </c>
      <c r="B28" t="str">
        <f t="shared" si="3"/>
        <v/>
      </c>
      <c r="C28" s="17" t="str">
        <f t="shared" si="4"/>
        <v/>
      </c>
      <c r="D28" t="str">
        <f t="shared" si="5"/>
        <v/>
      </c>
      <c r="E28" t="str">
        <f>IF(A28="","",HLOOKUP(A28,MODEL_FIT!$B$5:$AA$10,2,0)/HLOOKUP(A28,MODEL_FIT!$B$5:$AA$10,3,0))</f>
        <v/>
      </c>
      <c r="F28" t="str">
        <f t="shared" si="6"/>
        <v/>
      </c>
      <c r="G28" t="str">
        <f t="shared" si="7"/>
        <v/>
      </c>
      <c r="H28" t="str">
        <f t="shared" si="2"/>
        <v/>
      </c>
    </row>
    <row r="29" spans="1:14" x14ac:dyDescent="0.25">
      <c r="A29" t="str">
        <v/>
      </c>
      <c r="B29" t="str">
        <f t="shared" si="3"/>
        <v/>
      </c>
      <c r="C29" s="17" t="str">
        <f t="shared" si="4"/>
        <v/>
      </c>
      <c r="D29" t="str">
        <f t="shared" si="5"/>
        <v/>
      </c>
      <c r="E29" t="str">
        <f>IF(A29="","",HLOOKUP(A29,MODEL_FIT!$B$5:$AA$10,2,0)/HLOOKUP(A29,MODEL_FIT!$B$5:$AA$10,3,0))</f>
        <v/>
      </c>
      <c r="F29" t="str">
        <f t="shared" si="6"/>
        <v/>
      </c>
      <c r="G29" t="str">
        <f t="shared" si="7"/>
        <v/>
      </c>
      <c r="H29" t="str">
        <f t="shared" si="2"/>
        <v/>
      </c>
    </row>
    <row r="30" spans="1:14" x14ac:dyDescent="0.25">
      <c r="A30" t="str">
        <v/>
      </c>
      <c r="B30" t="str">
        <f t="shared" si="3"/>
        <v/>
      </c>
      <c r="C30" s="17" t="str">
        <f t="shared" si="4"/>
        <v/>
      </c>
      <c r="D30" t="str">
        <f t="shared" si="5"/>
        <v/>
      </c>
      <c r="E30" t="str">
        <f>IF(A30="","",HLOOKUP(A30,MODEL_FIT!$B$5:$AA$10,2,0)/HLOOKUP(A30,MODEL_FIT!$B$5:$AA$10,3,0))</f>
        <v/>
      </c>
      <c r="F30" t="str">
        <f t="shared" si="6"/>
        <v/>
      </c>
      <c r="G30" t="str">
        <f t="shared" si="7"/>
        <v/>
      </c>
      <c r="H30" t="str">
        <f t="shared" si="2"/>
        <v/>
      </c>
    </row>
    <row r="31" spans="1:14" x14ac:dyDescent="0.25">
      <c r="A31" t="str">
        <v/>
      </c>
      <c r="B31" t="str">
        <f t="shared" si="3"/>
        <v/>
      </c>
      <c r="C31" s="17" t="str">
        <f t="shared" si="4"/>
        <v/>
      </c>
      <c r="D31" t="str">
        <f t="shared" si="5"/>
        <v/>
      </c>
      <c r="E31" t="str">
        <f>IF(A31="","",HLOOKUP(A31,MODEL_FIT!$B$5:$AA$10,2,0)/HLOOKUP(A31,MODEL_FIT!$B$5:$AA$10,3,0))</f>
        <v/>
      </c>
      <c r="F31" t="str">
        <f t="shared" si="6"/>
        <v/>
      </c>
      <c r="G31" t="str">
        <f t="shared" si="7"/>
        <v/>
      </c>
      <c r="H31" t="str">
        <f t="shared" si="2"/>
        <v/>
      </c>
    </row>
  </sheetData>
  <mergeCells count="3">
    <mergeCell ref="I8:N21"/>
    <mergeCell ref="F1:F2"/>
    <mergeCell ref="G1:G2"/>
  </mergeCells>
  <conditionalFormatting sqref="G3:G31">
    <cfRule type="cellIs" dxfId="0" priority="1" operator="notBetween">
      <formula>0</formula>
      <formula>0.1</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BBA90-B571-44F1-84F4-67BBEC4E5F7A}">
  <sheetPr>
    <tabColor rgb="FF92D050"/>
  </sheetPr>
  <dimension ref="A1:Q44"/>
  <sheetViews>
    <sheetView showGridLines="0" zoomScaleNormal="100" workbookViewId="0"/>
  </sheetViews>
  <sheetFormatPr baseColWidth="10" defaultColWidth="0" defaultRowHeight="15" zeroHeight="1" x14ac:dyDescent="0.25"/>
  <cols>
    <col min="1" max="17" width="11.42578125" customWidth="1"/>
    <col min="18" max="16384" width="11.42578125" hidden="1"/>
  </cols>
  <sheetData>
    <row r="1" spans="1:1" x14ac:dyDescent="0.25">
      <c r="A1" t="s">
        <v>81</v>
      </c>
    </row>
    <row r="2" spans="1:1" x14ac:dyDescent="0.25"/>
    <row r="3" spans="1:1" x14ac:dyDescent="0.25"/>
    <row r="4" spans="1:1" x14ac:dyDescent="0.25"/>
    <row r="5" spans="1:1" x14ac:dyDescent="0.25"/>
    <row r="6" spans="1:1" x14ac:dyDescent="0.25"/>
    <row r="7" spans="1:1" x14ac:dyDescent="0.25"/>
    <row r="8" spans="1:1" x14ac:dyDescent="0.25"/>
    <row r="9" spans="1:1" x14ac:dyDescent="0.25"/>
    <row r="10" spans="1:1" x14ac:dyDescent="0.25"/>
    <row r="11" spans="1:1" x14ac:dyDescent="0.25"/>
    <row r="12" spans="1:1" x14ac:dyDescent="0.25"/>
    <row r="13" spans="1:1" x14ac:dyDescent="0.25"/>
    <row r="14" spans="1:1" x14ac:dyDescent="0.25">
      <c r="A14" t="s">
        <v>83</v>
      </c>
    </row>
    <row r="15" spans="1:1" x14ac:dyDescent="0.25"/>
    <row r="16" spans="1:1" x14ac:dyDescent="0.25"/>
    <row r="17" spans="1:1" x14ac:dyDescent="0.25"/>
    <row r="18" spans="1:1" x14ac:dyDescent="0.25"/>
    <row r="19" spans="1:1" x14ac:dyDescent="0.25"/>
    <row r="20" spans="1:1" x14ac:dyDescent="0.25"/>
    <row r="21" spans="1:1" x14ac:dyDescent="0.25"/>
    <row r="22" spans="1:1" x14ac:dyDescent="0.25"/>
    <row r="23" spans="1:1" x14ac:dyDescent="0.25"/>
    <row r="24" spans="1:1" x14ac:dyDescent="0.25"/>
    <row r="25" spans="1:1" x14ac:dyDescent="0.25"/>
    <row r="26" spans="1:1" x14ac:dyDescent="0.25"/>
    <row r="27" spans="1:1" s="26" customFormat="1" x14ac:dyDescent="0.25">
      <c r="A27" s="26" t="s">
        <v>133</v>
      </c>
    </row>
    <row r="28" spans="1:1" s="26" customFormat="1" x14ac:dyDescent="0.25"/>
    <row r="29" spans="1:1" s="26" customFormat="1" x14ac:dyDescent="0.25"/>
    <row r="30" spans="1:1" s="26" customFormat="1" x14ac:dyDescent="0.25"/>
    <row r="31" spans="1:1" s="26" customFormat="1" x14ac:dyDescent="0.25"/>
    <row r="32" spans="1:1" s="26" customFormat="1" x14ac:dyDescent="0.25"/>
    <row r="33" customFormat="1" hidden="1" x14ac:dyDescent="0.25"/>
    <row r="34" customFormat="1" hidden="1" x14ac:dyDescent="0.25"/>
    <row r="35" customFormat="1" hidden="1" x14ac:dyDescent="0.25"/>
    <row r="36" customFormat="1" hidden="1" x14ac:dyDescent="0.25"/>
    <row r="37" customFormat="1" hidden="1" x14ac:dyDescent="0.25"/>
    <row r="38" customFormat="1" hidden="1" x14ac:dyDescent="0.25"/>
    <row r="39" customFormat="1" hidden="1" x14ac:dyDescent="0.25"/>
    <row r="40" customFormat="1" hidden="1" x14ac:dyDescent="0.25"/>
    <row r="41" customFormat="1" hidden="1" x14ac:dyDescent="0.25"/>
    <row r="42" customFormat="1" hidden="1" x14ac:dyDescent="0.25"/>
    <row r="43" customFormat="1" hidden="1" x14ac:dyDescent="0.25"/>
    <row r="44" customFormat="1" hidden="1" x14ac:dyDescent="0.25"/>
  </sheetData>
  <mergeCells count="1">
    <mergeCell ref="A27:XFD32"/>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C4900-0505-4FF9-A1A9-56F6057FC67C}">
  <sheetPr>
    <tabColor rgb="FF92D050"/>
  </sheetPr>
  <dimension ref="A1:Q74"/>
  <sheetViews>
    <sheetView zoomScaleNormal="100" workbookViewId="0"/>
  </sheetViews>
  <sheetFormatPr baseColWidth="10" defaultColWidth="0" defaultRowHeight="15" zeroHeight="1" x14ac:dyDescent="0.25"/>
  <cols>
    <col min="1" max="1" width="11.42578125" customWidth="1"/>
    <col min="2" max="2" width="13" bestFit="1" customWidth="1"/>
    <col min="3" max="4" width="11.42578125" customWidth="1"/>
    <col min="5" max="5" width="3.140625" customWidth="1"/>
    <col min="6" max="6" width="13.7109375" customWidth="1"/>
    <col min="7" max="7" width="11.42578125" customWidth="1"/>
    <col min="8" max="8" width="3.42578125" customWidth="1"/>
    <col min="9" max="17" width="11.42578125" customWidth="1"/>
    <col min="18" max="16384" width="11.42578125" hidden="1"/>
  </cols>
  <sheetData>
    <row r="1" spans="1:17" x14ac:dyDescent="0.25">
      <c r="A1" t="s">
        <v>60</v>
      </c>
      <c r="B1">
        <f ca="1">D1</f>
        <v>-3.6082248300317588E-16</v>
      </c>
      <c r="C1">
        <f ca="1">MEDIAN(A5:A74)</f>
        <v>8.1528953124999415E-2</v>
      </c>
      <c r="D1">
        <f ca="1">AVERAGE(A5:A74)</f>
        <v>-3.6082248300317588E-16</v>
      </c>
      <c r="F1" t="s">
        <v>114</v>
      </c>
      <c r="I1" s="19"/>
      <c r="J1" s="19"/>
      <c r="K1" s="19"/>
      <c r="L1" s="19"/>
      <c r="M1" s="19"/>
      <c r="N1" s="19"/>
      <c r="O1" s="19"/>
      <c r="P1" s="19"/>
      <c r="Q1" s="19"/>
    </row>
    <row r="2" spans="1:17" x14ac:dyDescent="0.25">
      <c r="A2" t="s">
        <v>97</v>
      </c>
      <c r="B2">
        <f ca="1">D2</f>
        <v>0.70535944717501631</v>
      </c>
      <c r="C2">
        <f ca="1">(_xlfn.QUARTILE.INC(A5:A74,3)-_xlfn.QUARTILE.INC(A5:A74,1))/1.349</f>
        <v>0.88032060785767219</v>
      </c>
      <c r="D2">
        <f ca="1">STDEV(A5:A74)</f>
        <v>0.70535944717501631</v>
      </c>
      <c r="F2" t="s">
        <v>99</v>
      </c>
      <c r="G2">
        <f ca="1">(B3-MODEL_FIT!H1)/6*(SKEW(A5:A74)^2/2+KURT(A5:A74)^2/4)</f>
        <v>1.0718895800053951</v>
      </c>
      <c r="I2" s="19"/>
      <c r="J2" s="19"/>
      <c r="K2" s="19"/>
      <c r="L2" s="19"/>
      <c r="M2" s="19"/>
      <c r="N2" s="19"/>
      <c r="O2" s="19"/>
      <c r="P2" s="19"/>
      <c r="Q2" s="19"/>
    </row>
    <row r="3" spans="1:17" x14ac:dyDescent="0.25">
      <c r="A3" t="s">
        <v>61</v>
      </c>
      <c r="B3">
        <f ca="1">COUNT(A5:A74)</f>
        <v>32</v>
      </c>
      <c r="F3" t="s">
        <v>100</v>
      </c>
      <c r="G3">
        <f ca="1">_xlfn.CHISQ.DIST.RT(G2,2)</f>
        <v>0.58511621696472438</v>
      </c>
      <c r="I3" s="19"/>
      <c r="J3" s="19"/>
      <c r="K3" s="19"/>
      <c r="L3" s="19"/>
      <c r="M3" s="19"/>
      <c r="N3" s="19"/>
      <c r="O3" s="19"/>
      <c r="P3" s="19"/>
      <c r="Q3" s="19"/>
    </row>
    <row r="4" spans="1:17" x14ac:dyDescent="0.25">
      <c r="I4" s="19"/>
      <c r="J4" s="19"/>
      <c r="K4" s="19"/>
      <c r="L4" s="19"/>
      <c r="M4" s="19"/>
      <c r="N4" s="19"/>
      <c r="O4" s="19"/>
      <c r="P4" s="19"/>
      <c r="Q4" s="19"/>
    </row>
    <row r="5" spans="1:17" x14ac:dyDescent="0.25">
      <c r="A5" s="1">
        <f ca="1">MODEL_RESIDUALS!AH2</f>
        <v>-0.68047746875000037</v>
      </c>
      <c r="B5" cm="1">
        <f t="array" aca="1" ref="B5:B36" ca="1">_xlfn._xlws.SORT(OFFSET($A$5,0,0,B3,1))</f>
        <v>-1.4953942968750003</v>
      </c>
      <c r="C5">
        <f t="shared" ref="C5:C36" ca="1" si="0">IF(A5="","",(ROW()-ROW($A$5)+0.5)/$B$3)</f>
        <v>1.5625E-2</v>
      </c>
      <c r="D5">
        <f t="shared" ref="D5:D36" ca="1" si="1">IF(A5="","",_xlfn.NORM.INV(C5,$B$1,$B$2))</f>
        <v>-1.519255863487446</v>
      </c>
      <c r="F5">
        <f t="shared" ref="F5:F36" ca="1" si="2">IF(D5="",NA(),D5)</f>
        <v>-1.519255863487446</v>
      </c>
      <c r="G5">
        <f t="shared" ref="G5:G36" ca="1" si="3">IF(B5="",NA(),B5)</f>
        <v>-1.4953942968750003</v>
      </c>
      <c r="I5" s="19"/>
      <c r="J5" s="19"/>
      <c r="K5" s="19"/>
      <c r="L5" s="19"/>
      <c r="M5" s="19"/>
      <c r="N5" s="19"/>
      <c r="O5" s="19"/>
      <c r="P5" s="19"/>
      <c r="Q5" s="19"/>
    </row>
    <row r="6" spans="1:17" x14ac:dyDescent="0.25">
      <c r="A6" s="1">
        <f ca="1">MODEL_RESIDUALS!AH3</f>
        <v>0.10590610937499889</v>
      </c>
      <c r="B6">
        <f ca="1"/>
        <v>-1.2981838437499995</v>
      </c>
      <c r="C6">
        <f t="shared" ca="1" si="0"/>
        <v>4.6875E-2</v>
      </c>
      <c r="D6">
        <f t="shared" ca="1" si="1"/>
        <v>-1.1821399163541266</v>
      </c>
      <c r="F6">
        <f t="shared" ca="1" si="2"/>
        <v>-1.1821399163541266</v>
      </c>
      <c r="G6">
        <f t="shared" ca="1" si="3"/>
        <v>-1.2981838437499995</v>
      </c>
      <c r="I6" s="19"/>
      <c r="J6" s="19"/>
      <c r="K6" s="19"/>
      <c r="L6" s="19"/>
      <c r="M6" s="19"/>
      <c r="N6" s="19"/>
      <c r="O6" s="19"/>
      <c r="P6" s="19"/>
      <c r="Q6" s="19"/>
    </row>
    <row r="7" spans="1:17" x14ac:dyDescent="0.25">
      <c r="A7" s="1">
        <f ca="1">MODEL_RESIDUALS!AH4</f>
        <v>0.20801703124999982</v>
      </c>
      <c r="B7">
        <f ca="1"/>
        <v>-1.1067236093750008</v>
      </c>
      <c r="C7">
        <f t="shared" ca="1" si="0"/>
        <v>7.8125E-2</v>
      </c>
      <c r="D7">
        <f t="shared" ca="1" si="1"/>
        <v>-1.0000566054633684</v>
      </c>
      <c r="F7">
        <f t="shared" ca="1" si="2"/>
        <v>-1.0000566054633684</v>
      </c>
      <c r="G7">
        <f t="shared" ca="1" si="3"/>
        <v>-1.1067236093750008</v>
      </c>
      <c r="I7" s="19"/>
      <c r="J7" s="19"/>
      <c r="K7" s="19"/>
      <c r="L7" s="19"/>
      <c r="M7" s="19"/>
      <c r="N7" s="19"/>
      <c r="O7" s="19"/>
      <c r="P7" s="19"/>
      <c r="Q7" s="19"/>
    </row>
    <row r="8" spans="1:17" x14ac:dyDescent="0.25">
      <c r="A8" s="1">
        <f ca="1">MODEL_RESIDUALS!AH5</f>
        <v>0.78966685937499914</v>
      </c>
      <c r="B8">
        <f ca="1"/>
        <v>-1.037521609375001</v>
      </c>
      <c r="C8">
        <f t="shared" ca="1" si="0"/>
        <v>0.109375</v>
      </c>
      <c r="D8">
        <f t="shared" ca="1" si="1"/>
        <v>-0.86749249450436505</v>
      </c>
      <c r="F8">
        <f t="shared" ca="1" si="2"/>
        <v>-0.86749249450436505</v>
      </c>
      <c r="G8">
        <f t="shared" ca="1" si="3"/>
        <v>-1.037521609375001</v>
      </c>
      <c r="I8" s="19"/>
      <c r="J8" s="19"/>
      <c r="K8" s="19"/>
      <c r="L8" s="19"/>
      <c r="M8" s="19"/>
      <c r="N8" s="19"/>
      <c r="O8" s="19"/>
      <c r="P8" s="19"/>
      <c r="Q8" s="19"/>
    </row>
    <row r="9" spans="1:17" x14ac:dyDescent="0.25">
      <c r="A9" s="1">
        <f ca="1">MODEL_RESIDUALS!AH6</f>
        <v>0.67361584375000039</v>
      </c>
      <c r="B9">
        <f ca="1"/>
        <v>-0.76129315624999983</v>
      </c>
      <c r="C9">
        <f t="shared" ca="1" si="0"/>
        <v>0.140625</v>
      </c>
      <c r="D9">
        <f t="shared" ca="1" si="1"/>
        <v>-0.76003578469000677</v>
      </c>
      <c r="F9">
        <f t="shared" ca="1" si="2"/>
        <v>-0.76003578469000677</v>
      </c>
      <c r="G9">
        <f t="shared" ca="1" si="3"/>
        <v>-0.76129315624999983</v>
      </c>
      <c r="I9" s="19"/>
      <c r="J9" s="19"/>
      <c r="K9" s="19"/>
      <c r="L9" s="19"/>
      <c r="M9" s="19"/>
      <c r="N9" s="19"/>
      <c r="O9" s="19"/>
      <c r="P9" s="19"/>
      <c r="Q9" s="19"/>
    </row>
    <row r="10" spans="1:17" x14ac:dyDescent="0.25">
      <c r="A10" s="1">
        <f ca="1">MODEL_RESIDUALS!AH7</f>
        <v>-1.037521609375001</v>
      </c>
      <c r="B10">
        <f ca="1"/>
        <v>-0.70397784374999972</v>
      </c>
      <c r="C10">
        <f t="shared" ca="1" si="0"/>
        <v>0.171875</v>
      </c>
      <c r="D10">
        <f t="shared" ca="1" si="1"/>
        <v>-0.66782145621989797</v>
      </c>
      <c r="F10">
        <f t="shared" ca="1" si="2"/>
        <v>-0.66782145621989797</v>
      </c>
      <c r="G10">
        <f t="shared" ca="1" si="3"/>
        <v>-0.70397784374999972</v>
      </c>
      <c r="I10" s="19"/>
      <c r="J10" s="19"/>
      <c r="K10" s="19"/>
      <c r="L10" s="19"/>
      <c r="M10" s="19"/>
      <c r="N10" s="19"/>
      <c r="O10" s="19"/>
      <c r="P10" s="19"/>
      <c r="Q10" s="19"/>
    </row>
    <row r="11" spans="1:17" x14ac:dyDescent="0.25">
      <c r="A11" s="1">
        <f ca="1">MODEL_RESIDUALS!AH8</f>
        <v>0.45747384375000077</v>
      </c>
      <c r="B11">
        <f ca="1"/>
        <v>-0.68047746875000037</v>
      </c>
      <c r="C11">
        <f t="shared" ca="1" si="0"/>
        <v>0.203125</v>
      </c>
      <c r="D11">
        <f t="shared" ca="1" si="1"/>
        <v>-0.58580869392379864</v>
      </c>
      <c r="F11">
        <f t="shared" ca="1" si="2"/>
        <v>-0.58580869392379864</v>
      </c>
      <c r="G11">
        <f t="shared" ca="1" si="3"/>
        <v>-0.68047746875000037</v>
      </c>
      <c r="I11" s="19"/>
      <c r="J11" s="19"/>
      <c r="K11" s="19"/>
      <c r="L11" s="19"/>
      <c r="M11" s="19"/>
      <c r="N11" s="19"/>
      <c r="O11" s="19"/>
      <c r="P11" s="19"/>
      <c r="Q11" s="19"/>
    </row>
    <row r="12" spans="1:17" x14ac:dyDescent="0.25">
      <c r="A12" s="1">
        <f ca="1">MODEL_RESIDUALS!AH9</f>
        <v>-1.1067236093750008</v>
      </c>
      <c r="B12">
        <f ca="1"/>
        <v>-0.62957015625000068</v>
      </c>
      <c r="C12">
        <f t="shared" ca="1" si="0"/>
        <v>0.234375</v>
      </c>
      <c r="D12">
        <f t="shared" ca="1" si="1"/>
        <v>-0.5110430650105231</v>
      </c>
      <c r="F12">
        <f t="shared" ca="1" si="2"/>
        <v>-0.5110430650105231</v>
      </c>
      <c r="G12">
        <f t="shared" ca="1" si="3"/>
        <v>-0.62957015625000068</v>
      </c>
      <c r="I12" s="19"/>
      <c r="J12" s="19"/>
      <c r="K12" s="19"/>
      <c r="L12" s="19"/>
      <c r="M12" s="19"/>
      <c r="N12" s="19"/>
      <c r="O12" s="19"/>
      <c r="P12" s="19"/>
      <c r="Q12" s="19"/>
    </row>
    <row r="13" spans="1:17" x14ac:dyDescent="0.25">
      <c r="A13" s="1">
        <f ca="1">MODEL_RESIDUALS!AH10</f>
        <v>-0.23451896875000067</v>
      </c>
      <c r="B13">
        <f ca="1"/>
        <v>-0.53773215625000059</v>
      </c>
      <c r="C13">
        <f t="shared" ca="1" si="0"/>
        <v>0.265625</v>
      </c>
      <c r="D13">
        <f t="shared" ca="1" si="1"/>
        <v>-0.44162485322549583</v>
      </c>
      <c r="F13">
        <f t="shared" ca="1" si="2"/>
        <v>-0.44162485322549583</v>
      </c>
      <c r="G13">
        <f t="shared" ca="1" si="3"/>
        <v>-0.53773215625000059</v>
      </c>
      <c r="I13" s="19"/>
      <c r="J13" s="19"/>
      <c r="K13" s="19"/>
      <c r="L13" s="19"/>
      <c r="M13" s="19"/>
      <c r="N13" s="19"/>
      <c r="O13" s="19"/>
      <c r="P13" s="19"/>
      <c r="Q13" s="19"/>
    </row>
    <row r="14" spans="1:17" x14ac:dyDescent="0.25">
      <c r="A14" s="1">
        <f ca="1">MODEL_RESIDUALS!AH11</f>
        <v>-7.0668390625001187E-2</v>
      </c>
      <c r="B14">
        <f ca="1"/>
        <v>-0.41313754687500026</v>
      </c>
      <c r="C14">
        <f t="shared" ca="1" si="0"/>
        <v>0.296875</v>
      </c>
      <c r="D14">
        <f t="shared" ca="1" si="1"/>
        <v>-0.376245575512138</v>
      </c>
      <c r="F14">
        <f t="shared" ca="1" si="2"/>
        <v>-0.376245575512138</v>
      </c>
      <c r="G14">
        <f t="shared" ca="1" si="3"/>
        <v>-0.41313754687500026</v>
      </c>
      <c r="I14" s="19"/>
      <c r="J14" s="19"/>
      <c r="K14" s="19"/>
      <c r="L14" s="19"/>
      <c r="M14" s="19"/>
      <c r="N14" s="19"/>
      <c r="O14" s="19"/>
      <c r="P14" s="19"/>
      <c r="Q14" s="19"/>
    </row>
    <row r="15" spans="1:17" x14ac:dyDescent="0.25">
      <c r="A15" s="1">
        <f ca="1">MODEL_RESIDUALS!AH12</f>
        <v>0.45560503124999929</v>
      </c>
      <c r="B15">
        <f ca="1"/>
        <v>-0.23451896875000067</v>
      </c>
      <c r="C15">
        <f t="shared" ca="1" si="0"/>
        <v>0.328125</v>
      </c>
      <c r="D15">
        <f t="shared" ca="1" si="1"/>
        <v>-0.31395303880330505</v>
      </c>
      <c r="F15">
        <f t="shared" ca="1" si="2"/>
        <v>-0.31395303880330505</v>
      </c>
      <c r="G15">
        <f t="shared" ca="1" si="3"/>
        <v>-0.23451896875000067</v>
      </c>
      <c r="I15" s="19"/>
      <c r="J15" s="19"/>
      <c r="K15" s="19"/>
      <c r="L15" s="19"/>
      <c r="M15" s="19"/>
      <c r="N15" s="19"/>
      <c r="O15" s="19"/>
      <c r="P15" s="19"/>
      <c r="Q15" s="19"/>
    </row>
    <row r="16" spans="1:17" x14ac:dyDescent="0.25">
      <c r="A16" s="1">
        <f ca="1">MODEL_RESIDUALS!AH13</f>
        <v>0.92056935937499862</v>
      </c>
      <c r="B16">
        <f ca="1"/>
        <v>-0.11842215624999941</v>
      </c>
      <c r="C16">
        <f t="shared" ca="1" si="0"/>
        <v>0.359375</v>
      </c>
      <c r="D16">
        <f t="shared" ca="1" si="1"/>
        <v>-0.25402102138388938</v>
      </c>
      <c r="F16">
        <f t="shared" ca="1" si="2"/>
        <v>-0.25402102138388938</v>
      </c>
      <c r="G16">
        <f t="shared" ca="1" si="3"/>
        <v>-0.11842215624999941</v>
      </c>
      <c r="I16" s="19"/>
      <c r="J16" s="19"/>
      <c r="K16" s="19"/>
      <c r="L16" s="19"/>
      <c r="M16" s="19"/>
      <c r="N16" s="19"/>
      <c r="O16" s="19"/>
      <c r="P16" s="19"/>
      <c r="Q16" s="19"/>
    </row>
    <row r="17" spans="1:17" x14ac:dyDescent="0.25">
      <c r="A17" s="1">
        <f ca="1">MODEL_RESIDUALS!AH14</f>
        <v>-0.11842215624999941</v>
      </c>
      <c r="B17">
        <f ca="1"/>
        <v>-0.10090710937500091</v>
      </c>
      <c r="C17">
        <f t="shared" ca="1" si="0"/>
        <v>0.390625</v>
      </c>
      <c r="D17">
        <f t="shared" ca="1" si="1"/>
        <v>-0.19587157511833489</v>
      </c>
      <c r="F17">
        <f t="shared" ca="1" si="2"/>
        <v>-0.19587157511833489</v>
      </c>
      <c r="G17">
        <f t="shared" ca="1" si="3"/>
        <v>-0.10090710937500091</v>
      </c>
      <c r="I17" s="19"/>
      <c r="J17" s="19"/>
      <c r="K17" s="19"/>
      <c r="L17" s="19"/>
      <c r="M17" s="19"/>
      <c r="N17" s="19"/>
      <c r="O17" s="19"/>
      <c r="P17" s="19"/>
      <c r="Q17" s="19"/>
    </row>
    <row r="18" spans="1:17" x14ac:dyDescent="0.25">
      <c r="A18" s="1">
        <f ca="1">MODEL_RESIDUALS!AH15</f>
        <v>-0.10090710937500091</v>
      </c>
      <c r="B18">
        <f ca="1"/>
        <v>-7.0668390625001187E-2</v>
      </c>
      <c r="C18">
        <f t="shared" ca="1" si="0"/>
        <v>0.421875</v>
      </c>
      <c r="D18">
        <f t="shared" ca="1" si="1"/>
        <v>-0.13902570113653848</v>
      </c>
      <c r="F18">
        <f t="shared" ca="1" si="2"/>
        <v>-0.13902570113653848</v>
      </c>
      <c r="G18">
        <f t="shared" ca="1" si="3"/>
        <v>-7.0668390625001187E-2</v>
      </c>
      <c r="I18" s="19"/>
      <c r="J18" s="19"/>
      <c r="K18" s="19"/>
      <c r="L18" s="19"/>
      <c r="M18" s="19"/>
      <c r="N18" s="19"/>
      <c r="O18" s="19"/>
      <c r="P18" s="19"/>
      <c r="Q18" s="19"/>
    </row>
    <row r="19" spans="1:17" x14ac:dyDescent="0.25">
      <c r="A19" s="1">
        <f ca="1">MODEL_RESIDUALS!AH16</f>
        <v>-0.76129315624999983</v>
      </c>
      <c r="B19">
        <f ca="1"/>
        <v>-6.404601562500023E-2</v>
      </c>
      <c r="C19">
        <f t="shared" ca="1" si="0"/>
        <v>0.453125</v>
      </c>
      <c r="D19">
        <f t="shared" ca="1" si="1"/>
        <v>-8.3070093626982019E-2</v>
      </c>
      <c r="F19">
        <f t="shared" ca="1" si="2"/>
        <v>-8.3070093626982019E-2</v>
      </c>
      <c r="G19">
        <f t="shared" ca="1" si="3"/>
        <v>-6.404601562500023E-2</v>
      </c>
      <c r="I19" s="19"/>
      <c r="J19" s="19"/>
      <c r="K19" s="19"/>
      <c r="L19" s="19"/>
      <c r="M19" s="19"/>
      <c r="N19" s="19"/>
      <c r="O19" s="19"/>
      <c r="P19" s="19"/>
      <c r="Q19" s="19"/>
    </row>
    <row r="20" spans="1:17" x14ac:dyDescent="0.25">
      <c r="A20" s="1">
        <f ca="1">MODEL_RESIDUALS!AH17</f>
        <v>0.4996783906249993</v>
      </c>
      <c r="B20">
        <f ca="1"/>
        <v>5.856645312499964E-2</v>
      </c>
      <c r="C20">
        <f t="shared" ca="1" si="0"/>
        <v>0.484375</v>
      </c>
      <c r="D20">
        <f t="shared" ca="1" si="1"/>
        <v>-2.7633222012946476E-2</v>
      </c>
      <c r="F20">
        <f t="shared" ca="1" si="2"/>
        <v>-2.7633222012946476E-2</v>
      </c>
      <c r="G20">
        <f t="shared" ca="1" si="3"/>
        <v>5.856645312499964E-2</v>
      </c>
      <c r="I20" s="19"/>
      <c r="J20" s="19"/>
      <c r="K20" s="19"/>
      <c r="L20" s="19"/>
      <c r="M20" s="19"/>
      <c r="N20" s="19"/>
      <c r="O20" s="19"/>
      <c r="P20" s="19"/>
      <c r="Q20" s="19"/>
    </row>
    <row r="21" spans="1:17" x14ac:dyDescent="0.25">
      <c r="A21" s="1">
        <f ca="1">MODEL_RESIDUALS!AH18</f>
        <v>-0.53773215625000059</v>
      </c>
      <c r="B21">
        <f ca="1"/>
        <v>0.10449145312499919</v>
      </c>
      <c r="C21">
        <f t="shared" ca="1" si="0"/>
        <v>0.515625</v>
      </c>
      <c r="D21">
        <f t="shared" ca="1" si="1"/>
        <v>2.7633222012945755E-2</v>
      </c>
      <c r="F21">
        <f t="shared" ca="1" si="2"/>
        <v>2.7633222012945755E-2</v>
      </c>
      <c r="G21">
        <f t="shared" ca="1" si="3"/>
        <v>0.10449145312499919</v>
      </c>
      <c r="I21" s="19"/>
      <c r="J21" s="19"/>
      <c r="K21" s="19"/>
      <c r="L21" s="19"/>
      <c r="M21" s="19"/>
      <c r="N21" s="19"/>
      <c r="O21" s="19"/>
      <c r="P21" s="19"/>
      <c r="Q21" s="19"/>
    </row>
    <row r="22" spans="1:17" x14ac:dyDescent="0.25">
      <c r="A22" s="1">
        <f ca="1">MODEL_RESIDUALS!AH19</f>
        <v>5.856645312499964E-2</v>
      </c>
      <c r="B22">
        <f ca="1"/>
        <v>0.10590610937499889</v>
      </c>
      <c r="C22">
        <f t="shared" ca="1" si="0"/>
        <v>0.546875</v>
      </c>
      <c r="D22">
        <f t="shared" ca="1" si="1"/>
        <v>8.3070093626981298E-2</v>
      </c>
      <c r="F22">
        <f t="shared" ca="1" si="2"/>
        <v>8.3070093626981298E-2</v>
      </c>
      <c r="G22">
        <f t="shared" ca="1" si="3"/>
        <v>0.10590610937499889</v>
      </c>
      <c r="I22" s="19"/>
      <c r="J22" s="19"/>
      <c r="K22" s="19"/>
      <c r="L22" s="19"/>
      <c r="M22" s="19"/>
      <c r="N22" s="19"/>
      <c r="O22" s="19"/>
      <c r="P22" s="19"/>
      <c r="Q22" s="19"/>
    </row>
    <row r="23" spans="1:17" x14ac:dyDescent="0.25">
      <c r="A23" s="1">
        <f ca="1">MODEL_RESIDUALS!AH20</f>
        <v>0.8074008437499991</v>
      </c>
      <c r="B23">
        <f ca="1"/>
        <v>0.11585898437499953</v>
      </c>
      <c r="C23">
        <f t="shared" ca="1" si="0"/>
        <v>0.578125</v>
      </c>
      <c r="D23">
        <f t="shared" ca="1" si="1"/>
        <v>0.13902570113653775</v>
      </c>
      <c r="F23">
        <f t="shared" ca="1" si="2"/>
        <v>0.13902570113653775</v>
      </c>
      <c r="G23">
        <f t="shared" ca="1" si="3"/>
        <v>0.11585898437499953</v>
      </c>
      <c r="I23" s="19"/>
      <c r="J23" s="19"/>
      <c r="K23" s="19"/>
      <c r="L23" s="19"/>
      <c r="M23" s="19"/>
      <c r="N23" s="19"/>
      <c r="O23" s="19"/>
      <c r="P23" s="19"/>
      <c r="Q23" s="19"/>
    </row>
    <row r="24" spans="1:17" x14ac:dyDescent="0.25">
      <c r="A24" s="1">
        <f ca="1">MODEL_RESIDUALS!AH21</f>
        <v>-0.41313754687500026</v>
      </c>
      <c r="B24">
        <f ca="1"/>
        <v>0.20801703124999982</v>
      </c>
      <c r="C24">
        <f t="shared" ca="1" si="0"/>
        <v>0.609375</v>
      </c>
      <c r="D24">
        <f t="shared" ca="1" si="1"/>
        <v>0.19587157511833417</v>
      </c>
      <c r="F24">
        <f t="shared" ca="1" si="2"/>
        <v>0.19587157511833417</v>
      </c>
      <c r="G24">
        <f t="shared" ca="1" si="3"/>
        <v>0.20801703124999982</v>
      </c>
      <c r="I24" s="19"/>
      <c r="J24" s="19"/>
      <c r="K24" s="19"/>
      <c r="L24" s="19"/>
      <c r="M24" s="19"/>
      <c r="N24" s="19"/>
      <c r="O24" s="19"/>
      <c r="P24" s="19"/>
      <c r="Q24" s="19"/>
    </row>
    <row r="25" spans="1:17" x14ac:dyDescent="0.25">
      <c r="A25" s="1">
        <f ca="1">MODEL_RESIDUALS!AH22</f>
        <v>-1.2981838437499995</v>
      </c>
      <c r="B25">
        <f ca="1"/>
        <v>0.45560503124999929</v>
      </c>
      <c r="C25">
        <f t="shared" ca="1" si="0"/>
        <v>0.640625</v>
      </c>
      <c r="D25">
        <f t="shared" ca="1" si="1"/>
        <v>0.25402102138388871</v>
      </c>
      <c r="F25">
        <f t="shared" ca="1" si="2"/>
        <v>0.25402102138388871</v>
      </c>
      <c r="G25">
        <f t="shared" ca="1" si="3"/>
        <v>0.45560503124999929</v>
      </c>
      <c r="I25" s="19"/>
      <c r="J25" s="19"/>
      <c r="K25" s="19"/>
      <c r="L25" s="19"/>
      <c r="M25" s="19"/>
      <c r="N25" s="19"/>
      <c r="O25" s="19"/>
      <c r="P25" s="19"/>
      <c r="Q25" s="19"/>
    </row>
    <row r="26" spans="1:17" x14ac:dyDescent="0.25">
      <c r="A26" s="1">
        <f ca="1">MODEL_RESIDUALS!AH23</f>
        <v>0.9781944843749999</v>
      </c>
      <c r="B26">
        <f ca="1"/>
        <v>0.45747384375000077</v>
      </c>
      <c r="C26">
        <f t="shared" ca="1" si="0"/>
        <v>0.671875</v>
      </c>
      <c r="D26">
        <f t="shared" ca="1" si="1"/>
        <v>0.31395303880330439</v>
      </c>
      <c r="F26">
        <f t="shared" ca="1" si="2"/>
        <v>0.31395303880330439</v>
      </c>
      <c r="G26">
        <f t="shared" ca="1" si="3"/>
        <v>0.45747384375000077</v>
      </c>
      <c r="I26" s="19"/>
      <c r="J26" s="19"/>
      <c r="K26" s="19"/>
      <c r="L26" s="19"/>
      <c r="M26" s="19"/>
      <c r="N26" s="19"/>
      <c r="O26" s="19"/>
      <c r="P26" s="19"/>
      <c r="Q26" s="19"/>
    </row>
    <row r="27" spans="1:17" x14ac:dyDescent="0.25">
      <c r="A27" s="1">
        <f ca="1">MODEL_RESIDUALS!AH24</f>
        <v>0.96894065625000092</v>
      </c>
      <c r="B27">
        <f ca="1"/>
        <v>0.4996783906249993</v>
      </c>
      <c r="C27">
        <f t="shared" ca="1" si="0"/>
        <v>0.703125</v>
      </c>
      <c r="D27">
        <f t="shared" ca="1" si="1"/>
        <v>0.37624557551213722</v>
      </c>
      <c r="F27">
        <f t="shared" ca="1" si="2"/>
        <v>0.37624557551213722</v>
      </c>
      <c r="G27">
        <f t="shared" ca="1" si="3"/>
        <v>0.4996783906249993</v>
      </c>
      <c r="I27" s="19"/>
      <c r="J27" s="19"/>
      <c r="K27" s="19"/>
      <c r="L27" s="19"/>
      <c r="M27" s="19"/>
      <c r="N27" s="19"/>
      <c r="O27" s="19"/>
      <c r="P27" s="19"/>
      <c r="Q27" s="19"/>
    </row>
    <row r="28" spans="1:17" x14ac:dyDescent="0.25">
      <c r="A28" s="1">
        <f ca="1">MODEL_RESIDUALS!AH25</f>
        <v>-6.404601562500023E-2</v>
      </c>
      <c r="B28">
        <f ca="1"/>
        <v>0.61127584374999877</v>
      </c>
      <c r="C28">
        <f t="shared" ca="1" si="0"/>
        <v>0.734375</v>
      </c>
      <c r="D28">
        <f t="shared" ca="1" si="1"/>
        <v>0.44162485322549505</v>
      </c>
      <c r="F28">
        <f t="shared" ca="1" si="2"/>
        <v>0.44162485322549505</v>
      </c>
      <c r="G28">
        <f t="shared" ca="1" si="3"/>
        <v>0.61127584374999877</v>
      </c>
      <c r="I28" s="26" t="s">
        <v>134</v>
      </c>
      <c r="J28" s="26"/>
      <c r="K28" s="26"/>
      <c r="L28" s="26"/>
      <c r="M28" s="26"/>
      <c r="N28" s="26"/>
      <c r="O28" s="26"/>
      <c r="P28" s="26"/>
      <c r="Q28" s="26"/>
    </row>
    <row r="29" spans="1:17" x14ac:dyDescent="0.25">
      <c r="A29" s="1">
        <f ca="1">MODEL_RESIDUALS!AH26</f>
        <v>-0.62957015625000068</v>
      </c>
      <c r="B29">
        <f ca="1"/>
        <v>0.67361584375000039</v>
      </c>
      <c r="C29">
        <f t="shared" ca="1" si="0"/>
        <v>0.765625</v>
      </c>
      <c r="D29">
        <f t="shared" ca="1" si="1"/>
        <v>0.51104306501052243</v>
      </c>
      <c r="F29">
        <f t="shared" ca="1" si="2"/>
        <v>0.51104306501052243</v>
      </c>
      <c r="G29">
        <f t="shared" ca="1" si="3"/>
        <v>0.67361584375000039</v>
      </c>
      <c r="I29" s="26"/>
      <c r="J29" s="26"/>
      <c r="K29" s="26"/>
      <c r="L29" s="26"/>
      <c r="M29" s="26"/>
      <c r="N29" s="26"/>
      <c r="O29" s="26"/>
      <c r="P29" s="26"/>
      <c r="Q29" s="26"/>
    </row>
    <row r="30" spans="1:17" x14ac:dyDescent="0.25">
      <c r="A30" s="1">
        <f ca="1">MODEL_RESIDUALS!AH27</f>
        <v>-1.4953942968750003</v>
      </c>
      <c r="B30">
        <f ca="1"/>
        <v>0.71546648437499982</v>
      </c>
      <c r="C30">
        <f t="shared" ca="1" si="0"/>
        <v>0.796875</v>
      </c>
      <c r="D30">
        <f t="shared" ca="1" si="1"/>
        <v>0.58580869392379797</v>
      </c>
      <c r="F30">
        <f t="shared" ca="1" si="2"/>
        <v>0.58580869392379797</v>
      </c>
      <c r="G30">
        <f t="shared" ca="1" si="3"/>
        <v>0.71546648437499982</v>
      </c>
      <c r="I30" s="26"/>
      <c r="J30" s="26"/>
      <c r="K30" s="26"/>
      <c r="L30" s="26"/>
      <c r="M30" s="26"/>
      <c r="N30" s="26"/>
      <c r="O30" s="26"/>
      <c r="P30" s="26"/>
      <c r="Q30" s="26"/>
    </row>
    <row r="31" spans="1:17" x14ac:dyDescent="0.25">
      <c r="A31" s="1">
        <f ca="1">MODEL_RESIDUALS!AH28</f>
        <v>0.61127584374999877</v>
      </c>
      <c r="B31">
        <f ca="1"/>
        <v>0.78184665625000083</v>
      </c>
      <c r="C31">
        <f t="shared" ca="1" si="0"/>
        <v>0.828125</v>
      </c>
      <c r="D31">
        <f t="shared" ca="1" si="1"/>
        <v>0.6678214562198973</v>
      </c>
      <c r="F31">
        <f t="shared" ca="1" si="2"/>
        <v>0.6678214562198973</v>
      </c>
      <c r="G31">
        <f t="shared" ca="1" si="3"/>
        <v>0.78184665625000083</v>
      </c>
      <c r="I31" s="26"/>
      <c r="J31" s="26"/>
      <c r="K31" s="26"/>
      <c r="L31" s="26"/>
      <c r="M31" s="26"/>
      <c r="N31" s="26"/>
      <c r="O31" s="26"/>
      <c r="P31" s="26"/>
      <c r="Q31" s="26"/>
    </row>
    <row r="32" spans="1:17" x14ac:dyDescent="0.25">
      <c r="A32" s="1">
        <f ca="1">MODEL_RESIDUALS!AH29</f>
        <v>0.10449145312499919</v>
      </c>
      <c r="B32">
        <f ca="1"/>
        <v>0.78966685937499914</v>
      </c>
      <c r="C32">
        <f t="shared" ca="1" si="0"/>
        <v>0.859375</v>
      </c>
      <c r="D32">
        <f t="shared" ca="1" si="1"/>
        <v>0.7600357846900061</v>
      </c>
      <c r="F32">
        <f t="shared" ca="1" si="2"/>
        <v>0.7600357846900061</v>
      </c>
      <c r="G32">
        <f t="shared" ca="1" si="3"/>
        <v>0.78966685937499914</v>
      </c>
    </row>
    <row r="33" spans="1:7" x14ac:dyDescent="0.25">
      <c r="A33" s="1">
        <f ca="1">MODEL_RESIDUALS!AH30</f>
        <v>0.78184665625000083</v>
      </c>
      <c r="B33">
        <f ca="1"/>
        <v>0.8074008437499991</v>
      </c>
      <c r="C33">
        <f t="shared" ca="1" si="0"/>
        <v>0.890625</v>
      </c>
      <c r="D33">
        <f t="shared" ca="1" si="1"/>
        <v>0.86749249450436439</v>
      </c>
      <c r="F33">
        <f t="shared" ca="1" si="2"/>
        <v>0.86749249450436439</v>
      </c>
      <c r="G33">
        <f t="shared" ca="1" si="3"/>
        <v>0.8074008437499991</v>
      </c>
    </row>
    <row r="34" spans="1:7" x14ac:dyDescent="0.25">
      <c r="A34" s="1">
        <f ca="1">MODEL_RESIDUALS!AH31</f>
        <v>0.71546648437499982</v>
      </c>
      <c r="B34">
        <f ca="1"/>
        <v>0.92056935937499862</v>
      </c>
      <c r="C34">
        <f t="shared" ca="1" si="0"/>
        <v>0.921875</v>
      </c>
      <c r="D34">
        <f t="shared" ca="1" si="1"/>
        <v>1.0000566054633675</v>
      </c>
      <c r="F34">
        <f t="shared" ca="1" si="2"/>
        <v>1.0000566054633675</v>
      </c>
      <c r="G34">
        <f t="shared" ca="1" si="3"/>
        <v>0.92056935937499862</v>
      </c>
    </row>
    <row r="35" spans="1:7" x14ac:dyDescent="0.25">
      <c r="A35" s="1">
        <f ca="1">MODEL_RESIDUALS!AH32</f>
        <v>-0.70397784374999972</v>
      </c>
      <c r="B35">
        <f ca="1"/>
        <v>0.96894065625000092</v>
      </c>
      <c r="C35">
        <f t="shared" ca="1" si="0"/>
        <v>0.953125</v>
      </c>
      <c r="D35">
        <f t="shared" ca="1" si="1"/>
        <v>1.1821399163541257</v>
      </c>
      <c r="F35">
        <f t="shared" ca="1" si="2"/>
        <v>1.1821399163541257</v>
      </c>
      <c r="G35">
        <f t="shared" ca="1" si="3"/>
        <v>0.96894065625000092</v>
      </c>
    </row>
    <row r="36" spans="1:7" x14ac:dyDescent="0.25">
      <c r="A36" s="1">
        <f ca="1">MODEL_RESIDUALS!AH33</f>
        <v>0.11585898437499953</v>
      </c>
      <c r="B36">
        <f ca="1"/>
        <v>0.9781944843749999</v>
      </c>
      <c r="C36">
        <f t="shared" ca="1" si="0"/>
        <v>0.984375</v>
      </c>
      <c r="D36">
        <f t="shared" ca="1" si="1"/>
        <v>1.5192558634874451</v>
      </c>
      <c r="F36">
        <f t="shared" ca="1" si="2"/>
        <v>1.5192558634874451</v>
      </c>
      <c r="G36">
        <f t="shared" ca="1" si="3"/>
        <v>0.9781944843749999</v>
      </c>
    </row>
    <row r="37" spans="1:7" x14ac:dyDescent="0.25">
      <c r="A37" s="1" t="str">
        <f>MODEL_RESIDUALS!AH34</f>
        <v/>
      </c>
      <c r="C37" t="str">
        <f t="shared" ref="C37:C68" si="4">IF(A37="","",(ROW()-ROW($A$5)+0.5)/$B$3)</f>
        <v/>
      </c>
      <c r="D37" t="str">
        <f t="shared" ref="D37:D68" si="5">IF(A37="","",_xlfn.NORM.INV(C37,$B$1,$B$2))</f>
        <v/>
      </c>
      <c r="F37" t="e">
        <f t="shared" ref="F37:F68" si="6">IF(D37="",NA(),D37)</f>
        <v>#N/A</v>
      </c>
      <c r="G37" t="e">
        <f t="shared" ref="G37:G68" si="7">IF(B37="",NA(),B37)</f>
        <v>#N/A</v>
      </c>
    </row>
    <row r="38" spans="1:7" x14ac:dyDescent="0.25">
      <c r="A38" s="1" t="str">
        <f>MODEL_RESIDUALS!AH35</f>
        <v/>
      </c>
      <c r="C38" t="str">
        <f t="shared" si="4"/>
        <v/>
      </c>
      <c r="D38" t="str">
        <f t="shared" si="5"/>
        <v/>
      </c>
      <c r="F38" t="e">
        <f t="shared" si="6"/>
        <v>#N/A</v>
      </c>
      <c r="G38" t="e">
        <f t="shared" si="7"/>
        <v>#N/A</v>
      </c>
    </row>
    <row r="39" spans="1:7" x14ac:dyDescent="0.25">
      <c r="A39" s="1" t="str">
        <f>MODEL_RESIDUALS!AH36</f>
        <v/>
      </c>
      <c r="C39" t="str">
        <f t="shared" si="4"/>
        <v/>
      </c>
      <c r="D39" t="str">
        <f t="shared" si="5"/>
        <v/>
      </c>
      <c r="F39" t="e">
        <f t="shared" si="6"/>
        <v>#N/A</v>
      </c>
      <c r="G39" t="e">
        <f t="shared" si="7"/>
        <v>#N/A</v>
      </c>
    </row>
    <row r="40" spans="1:7" x14ac:dyDescent="0.25">
      <c r="A40" s="1" t="str">
        <f>MODEL_RESIDUALS!AH37</f>
        <v/>
      </c>
      <c r="C40" t="str">
        <f t="shared" si="4"/>
        <v/>
      </c>
      <c r="D40" t="str">
        <f t="shared" si="5"/>
        <v/>
      </c>
      <c r="F40" t="e">
        <f t="shared" si="6"/>
        <v>#N/A</v>
      </c>
      <c r="G40" t="e">
        <f t="shared" si="7"/>
        <v>#N/A</v>
      </c>
    </row>
    <row r="41" spans="1:7" x14ac:dyDescent="0.25">
      <c r="A41" s="1" t="str">
        <f>MODEL_RESIDUALS!AH38</f>
        <v/>
      </c>
      <c r="C41" t="str">
        <f t="shared" si="4"/>
        <v/>
      </c>
      <c r="D41" t="str">
        <f t="shared" si="5"/>
        <v/>
      </c>
      <c r="F41" t="e">
        <f t="shared" si="6"/>
        <v>#N/A</v>
      </c>
      <c r="G41" t="e">
        <f t="shared" si="7"/>
        <v>#N/A</v>
      </c>
    </row>
    <row r="42" spans="1:7" x14ac:dyDescent="0.25">
      <c r="A42" s="1" t="str">
        <f>MODEL_RESIDUALS!AH39</f>
        <v/>
      </c>
      <c r="C42" t="str">
        <f t="shared" si="4"/>
        <v/>
      </c>
      <c r="D42" t="str">
        <f t="shared" si="5"/>
        <v/>
      </c>
      <c r="F42" t="e">
        <f t="shared" si="6"/>
        <v>#N/A</v>
      </c>
      <c r="G42" t="e">
        <f t="shared" si="7"/>
        <v>#N/A</v>
      </c>
    </row>
    <row r="43" spans="1:7" x14ac:dyDescent="0.25">
      <c r="A43" s="1" t="str">
        <f>MODEL_RESIDUALS!AH40</f>
        <v/>
      </c>
      <c r="C43" t="str">
        <f t="shared" si="4"/>
        <v/>
      </c>
      <c r="D43" t="str">
        <f t="shared" si="5"/>
        <v/>
      </c>
      <c r="F43" t="e">
        <f t="shared" si="6"/>
        <v>#N/A</v>
      </c>
      <c r="G43" t="e">
        <f t="shared" si="7"/>
        <v>#N/A</v>
      </c>
    </row>
    <row r="44" spans="1:7" x14ac:dyDescent="0.25">
      <c r="A44" s="1" t="str">
        <f>MODEL_RESIDUALS!AH41</f>
        <v/>
      </c>
      <c r="C44" t="str">
        <f t="shared" si="4"/>
        <v/>
      </c>
      <c r="D44" t="str">
        <f t="shared" si="5"/>
        <v/>
      </c>
      <c r="F44" t="e">
        <f t="shared" si="6"/>
        <v>#N/A</v>
      </c>
      <c r="G44" t="e">
        <f t="shared" si="7"/>
        <v>#N/A</v>
      </c>
    </row>
    <row r="45" spans="1:7" x14ac:dyDescent="0.25">
      <c r="A45" s="1" t="str">
        <f>MODEL_RESIDUALS!AH42</f>
        <v/>
      </c>
      <c r="C45" t="str">
        <f t="shared" si="4"/>
        <v/>
      </c>
      <c r="D45" t="str">
        <f t="shared" si="5"/>
        <v/>
      </c>
      <c r="F45" t="e">
        <f t="shared" si="6"/>
        <v>#N/A</v>
      </c>
      <c r="G45" t="e">
        <f t="shared" si="7"/>
        <v>#N/A</v>
      </c>
    </row>
    <row r="46" spans="1:7" x14ac:dyDescent="0.25">
      <c r="A46" s="1" t="str">
        <f>MODEL_RESIDUALS!AH43</f>
        <v/>
      </c>
      <c r="C46" t="str">
        <f t="shared" si="4"/>
        <v/>
      </c>
      <c r="D46" t="str">
        <f t="shared" si="5"/>
        <v/>
      </c>
      <c r="F46" t="e">
        <f t="shared" si="6"/>
        <v>#N/A</v>
      </c>
      <c r="G46" t="e">
        <f t="shared" si="7"/>
        <v>#N/A</v>
      </c>
    </row>
    <row r="47" spans="1:7" x14ac:dyDescent="0.25">
      <c r="A47" s="1" t="str">
        <f>MODEL_RESIDUALS!AH44</f>
        <v/>
      </c>
      <c r="C47" t="str">
        <f t="shared" si="4"/>
        <v/>
      </c>
      <c r="D47" t="str">
        <f t="shared" si="5"/>
        <v/>
      </c>
      <c r="F47" t="e">
        <f t="shared" si="6"/>
        <v>#N/A</v>
      </c>
      <c r="G47" t="e">
        <f t="shared" si="7"/>
        <v>#N/A</v>
      </c>
    </row>
    <row r="48" spans="1:7" x14ac:dyDescent="0.25">
      <c r="A48" s="1" t="str">
        <f>MODEL_RESIDUALS!AH45</f>
        <v/>
      </c>
      <c r="C48" t="str">
        <f t="shared" si="4"/>
        <v/>
      </c>
      <c r="D48" t="str">
        <f t="shared" si="5"/>
        <v/>
      </c>
      <c r="F48" t="e">
        <f t="shared" si="6"/>
        <v>#N/A</v>
      </c>
      <c r="G48" t="e">
        <f t="shared" si="7"/>
        <v>#N/A</v>
      </c>
    </row>
    <row r="49" spans="1:7" x14ac:dyDescent="0.25">
      <c r="A49" s="1" t="str">
        <f>MODEL_RESIDUALS!AH46</f>
        <v/>
      </c>
      <c r="C49" t="str">
        <f t="shared" si="4"/>
        <v/>
      </c>
      <c r="D49" t="str">
        <f t="shared" si="5"/>
        <v/>
      </c>
      <c r="F49" t="e">
        <f t="shared" si="6"/>
        <v>#N/A</v>
      </c>
      <c r="G49" t="e">
        <f t="shared" si="7"/>
        <v>#N/A</v>
      </c>
    </row>
    <row r="50" spans="1:7" x14ac:dyDescent="0.25">
      <c r="A50" s="1" t="str">
        <f>MODEL_RESIDUALS!AH47</f>
        <v/>
      </c>
      <c r="C50" t="str">
        <f t="shared" si="4"/>
        <v/>
      </c>
      <c r="D50" t="str">
        <f t="shared" si="5"/>
        <v/>
      </c>
      <c r="F50" t="e">
        <f t="shared" si="6"/>
        <v>#N/A</v>
      </c>
      <c r="G50" t="e">
        <f t="shared" si="7"/>
        <v>#N/A</v>
      </c>
    </row>
    <row r="51" spans="1:7" x14ac:dyDescent="0.25">
      <c r="A51" s="1" t="str">
        <f>MODEL_RESIDUALS!AH48</f>
        <v/>
      </c>
      <c r="C51" t="str">
        <f t="shared" si="4"/>
        <v/>
      </c>
      <c r="D51" t="str">
        <f t="shared" si="5"/>
        <v/>
      </c>
      <c r="F51" t="e">
        <f t="shared" si="6"/>
        <v>#N/A</v>
      </c>
      <c r="G51" t="e">
        <f t="shared" si="7"/>
        <v>#N/A</v>
      </c>
    </row>
    <row r="52" spans="1:7" x14ac:dyDescent="0.25">
      <c r="A52" s="1" t="str">
        <f>MODEL_RESIDUALS!AH49</f>
        <v/>
      </c>
      <c r="C52" t="str">
        <f t="shared" si="4"/>
        <v/>
      </c>
      <c r="D52" t="str">
        <f t="shared" si="5"/>
        <v/>
      </c>
      <c r="F52" t="e">
        <f t="shared" si="6"/>
        <v>#N/A</v>
      </c>
      <c r="G52" t="e">
        <f t="shared" si="7"/>
        <v>#N/A</v>
      </c>
    </row>
    <row r="53" spans="1:7" x14ac:dyDescent="0.25">
      <c r="A53" s="1" t="str">
        <f>MODEL_RESIDUALS!AH50</f>
        <v/>
      </c>
      <c r="C53" t="str">
        <f t="shared" si="4"/>
        <v/>
      </c>
      <c r="D53" t="str">
        <f t="shared" si="5"/>
        <v/>
      </c>
      <c r="F53" t="e">
        <f t="shared" si="6"/>
        <v>#N/A</v>
      </c>
      <c r="G53" t="e">
        <f t="shared" si="7"/>
        <v>#N/A</v>
      </c>
    </row>
    <row r="54" spans="1:7" x14ac:dyDescent="0.25">
      <c r="A54" s="1" t="str">
        <f>MODEL_RESIDUALS!AH51</f>
        <v/>
      </c>
      <c r="C54" t="str">
        <f t="shared" si="4"/>
        <v/>
      </c>
      <c r="D54" t="str">
        <f t="shared" si="5"/>
        <v/>
      </c>
      <c r="F54" t="e">
        <f t="shared" si="6"/>
        <v>#N/A</v>
      </c>
      <c r="G54" t="e">
        <f t="shared" si="7"/>
        <v>#N/A</v>
      </c>
    </row>
    <row r="55" spans="1:7" x14ac:dyDescent="0.25">
      <c r="A55" s="1" t="str">
        <f>MODEL_RESIDUALS!AH52</f>
        <v/>
      </c>
      <c r="C55" t="str">
        <f t="shared" si="4"/>
        <v/>
      </c>
      <c r="D55" t="str">
        <f t="shared" si="5"/>
        <v/>
      </c>
      <c r="F55" t="e">
        <f t="shared" si="6"/>
        <v>#N/A</v>
      </c>
      <c r="G55" t="e">
        <f t="shared" si="7"/>
        <v>#N/A</v>
      </c>
    </row>
    <row r="56" spans="1:7" x14ac:dyDescent="0.25">
      <c r="A56" s="1" t="str">
        <f>MODEL_RESIDUALS!AH53</f>
        <v/>
      </c>
      <c r="C56" t="str">
        <f t="shared" si="4"/>
        <v/>
      </c>
      <c r="D56" t="str">
        <f t="shared" si="5"/>
        <v/>
      </c>
      <c r="F56" t="e">
        <f t="shared" si="6"/>
        <v>#N/A</v>
      </c>
      <c r="G56" t="e">
        <f t="shared" si="7"/>
        <v>#N/A</v>
      </c>
    </row>
    <row r="57" spans="1:7" x14ac:dyDescent="0.25">
      <c r="A57" s="1" t="str">
        <f>MODEL_RESIDUALS!AH54</f>
        <v/>
      </c>
      <c r="C57" t="str">
        <f t="shared" si="4"/>
        <v/>
      </c>
      <c r="D57" t="str">
        <f t="shared" si="5"/>
        <v/>
      </c>
      <c r="F57" t="e">
        <f t="shared" si="6"/>
        <v>#N/A</v>
      </c>
      <c r="G57" t="e">
        <f t="shared" si="7"/>
        <v>#N/A</v>
      </c>
    </row>
    <row r="58" spans="1:7" x14ac:dyDescent="0.25">
      <c r="A58" s="1" t="str">
        <f>MODEL_RESIDUALS!AH55</f>
        <v/>
      </c>
      <c r="C58" t="str">
        <f t="shared" si="4"/>
        <v/>
      </c>
      <c r="D58" t="str">
        <f t="shared" si="5"/>
        <v/>
      </c>
      <c r="F58" t="e">
        <f t="shared" si="6"/>
        <v>#N/A</v>
      </c>
      <c r="G58" t="e">
        <f t="shared" si="7"/>
        <v>#N/A</v>
      </c>
    </row>
    <row r="59" spans="1:7" x14ac:dyDescent="0.25">
      <c r="A59" s="1" t="str">
        <f>MODEL_RESIDUALS!AH56</f>
        <v/>
      </c>
      <c r="C59" t="str">
        <f t="shared" si="4"/>
        <v/>
      </c>
      <c r="D59" t="str">
        <f t="shared" si="5"/>
        <v/>
      </c>
      <c r="F59" t="e">
        <f t="shared" si="6"/>
        <v>#N/A</v>
      </c>
      <c r="G59" t="e">
        <f t="shared" si="7"/>
        <v>#N/A</v>
      </c>
    </row>
    <row r="60" spans="1:7" x14ac:dyDescent="0.25">
      <c r="A60" s="1" t="str">
        <f>MODEL_RESIDUALS!AH57</f>
        <v/>
      </c>
      <c r="C60" t="str">
        <f t="shared" si="4"/>
        <v/>
      </c>
      <c r="D60" t="str">
        <f t="shared" si="5"/>
        <v/>
      </c>
      <c r="F60" t="e">
        <f t="shared" si="6"/>
        <v>#N/A</v>
      </c>
      <c r="G60" t="e">
        <f t="shared" si="7"/>
        <v>#N/A</v>
      </c>
    </row>
    <row r="61" spans="1:7" x14ac:dyDescent="0.25">
      <c r="A61" s="1" t="str">
        <f>MODEL_RESIDUALS!AH58</f>
        <v/>
      </c>
      <c r="C61" t="str">
        <f t="shared" si="4"/>
        <v/>
      </c>
      <c r="D61" t="str">
        <f t="shared" si="5"/>
        <v/>
      </c>
      <c r="F61" t="e">
        <f t="shared" si="6"/>
        <v>#N/A</v>
      </c>
      <c r="G61" t="e">
        <f t="shared" si="7"/>
        <v>#N/A</v>
      </c>
    </row>
    <row r="62" spans="1:7" x14ac:dyDescent="0.25">
      <c r="A62" s="1" t="str">
        <f>MODEL_RESIDUALS!AH59</f>
        <v/>
      </c>
      <c r="C62" t="str">
        <f t="shared" si="4"/>
        <v/>
      </c>
      <c r="D62" t="str">
        <f t="shared" si="5"/>
        <v/>
      </c>
      <c r="F62" t="e">
        <f t="shared" si="6"/>
        <v>#N/A</v>
      </c>
      <c r="G62" t="e">
        <f t="shared" si="7"/>
        <v>#N/A</v>
      </c>
    </row>
    <row r="63" spans="1:7" x14ac:dyDescent="0.25">
      <c r="A63" s="1" t="str">
        <f>MODEL_RESIDUALS!AH60</f>
        <v/>
      </c>
      <c r="C63" t="str">
        <f t="shared" si="4"/>
        <v/>
      </c>
      <c r="D63" t="str">
        <f t="shared" si="5"/>
        <v/>
      </c>
      <c r="F63" t="e">
        <f t="shared" si="6"/>
        <v>#N/A</v>
      </c>
      <c r="G63" t="e">
        <f t="shared" si="7"/>
        <v>#N/A</v>
      </c>
    </row>
    <row r="64" spans="1:7" x14ac:dyDescent="0.25">
      <c r="A64" s="1" t="str">
        <f>MODEL_RESIDUALS!AH61</f>
        <v/>
      </c>
      <c r="C64" t="str">
        <f t="shared" si="4"/>
        <v/>
      </c>
      <c r="D64" t="str">
        <f t="shared" si="5"/>
        <v/>
      </c>
      <c r="F64" t="e">
        <f t="shared" si="6"/>
        <v>#N/A</v>
      </c>
      <c r="G64" t="e">
        <f t="shared" si="7"/>
        <v>#N/A</v>
      </c>
    </row>
    <row r="65" spans="1:7" x14ac:dyDescent="0.25">
      <c r="A65" s="1" t="str">
        <f>MODEL_RESIDUALS!AH62</f>
        <v/>
      </c>
      <c r="C65" t="str">
        <f t="shared" si="4"/>
        <v/>
      </c>
      <c r="D65" t="str">
        <f t="shared" si="5"/>
        <v/>
      </c>
      <c r="F65" t="e">
        <f t="shared" si="6"/>
        <v>#N/A</v>
      </c>
      <c r="G65" t="e">
        <f t="shared" si="7"/>
        <v>#N/A</v>
      </c>
    </row>
    <row r="66" spans="1:7" x14ac:dyDescent="0.25">
      <c r="A66" s="1" t="str">
        <f>MODEL_RESIDUALS!AH63</f>
        <v/>
      </c>
      <c r="C66" t="str">
        <f t="shared" si="4"/>
        <v/>
      </c>
      <c r="D66" t="str">
        <f t="shared" si="5"/>
        <v/>
      </c>
      <c r="F66" t="e">
        <f t="shared" si="6"/>
        <v>#N/A</v>
      </c>
      <c r="G66" t="e">
        <f t="shared" si="7"/>
        <v>#N/A</v>
      </c>
    </row>
    <row r="67" spans="1:7" x14ac:dyDescent="0.25">
      <c r="A67" s="1" t="str">
        <f>MODEL_RESIDUALS!AH64</f>
        <v/>
      </c>
      <c r="C67" t="str">
        <f t="shared" si="4"/>
        <v/>
      </c>
      <c r="D67" t="str">
        <f t="shared" si="5"/>
        <v/>
      </c>
      <c r="F67" t="e">
        <f t="shared" si="6"/>
        <v>#N/A</v>
      </c>
      <c r="G67" t="e">
        <f t="shared" si="7"/>
        <v>#N/A</v>
      </c>
    </row>
    <row r="68" spans="1:7" x14ac:dyDescent="0.25">
      <c r="A68" s="1" t="str">
        <f>MODEL_RESIDUALS!AH65</f>
        <v/>
      </c>
      <c r="C68" t="str">
        <f t="shared" si="4"/>
        <v/>
      </c>
      <c r="D68" t="str">
        <f t="shared" si="5"/>
        <v/>
      </c>
      <c r="F68" t="e">
        <f t="shared" si="6"/>
        <v>#N/A</v>
      </c>
      <c r="G68" t="e">
        <f t="shared" si="7"/>
        <v>#N/A</v>
      </c>
    </row>
    <row r="69" spans="1:7" x14ac:dyDescent="0.25">
      <c r="A69" s="1" t="str">
        <f>MODEL_RESIDUALS!AH66</f>
        <v/>
      </c>
      <c r="C69" t="str">
        <f t="shared" ref="C69:C74" si="8">IF(A69="","",(ROW()-ROW($A$5)+0.5)/$B$3)</f>
        <v/>
      </c>
      <c r="D69" t="str">
        <f t="shared" ref="D69:D74" si="9">IF(A69="","",_xlfn.NORM.INV(C69,$B$1,$B$2))</f>
        <v/>
      </c>
      <c r="F69" t="e">
        <f t="shared" ref="F69:F74" si="10">IF(D69="",NA(),D69)</f>
        <v>#N/A</v>
      </c>
      <c r="G69" t="e">
        <f t="shared" ref="G69:G74" si="11">IF(B69="",NA(),B69)</f>
        <v>#N/A</v>
      </c>
    </row>
    <row r="70" spans="1:7" x14ac:dyDescent="0.25">
      <c r="A70" s="1" t="str">
        <f>MODEL_RESIDUALS!AH67</f>
        <v/>
      </c>
      <c r="C70" t="str">
        <f t="shared" si="8"/>
        <v/>
      </c>
      <c r="D70" t="str">
        <f t="shared" si="9"/>
        <v/>
      </c>
      <c r="F70" t="e">
        <f t="shared" si="10"/>
        <v>#N/A</v>
      </c>
      <c r="G70" t="e">
        <f t="shared" si="11"/>
        <v>#N/A</v>
      </c>
    </row>
    <row r="71" spans="1:7" x14ac:dyDescent="0.25">
      <c r="A71" s="1" t="str">
        <f>MODEL_RESIDUALS!AH68</f>
        <v/>
      </c>
      <c r="C71" t="str">
        <f t="shared" si="8"/>
        <v/>
      </c>
      <c r="D71" t="str">
        <f t="shared" si="9"/>
        <v/>
      </c>
      <c r="F71" t="e">
        <f t="shared" si="10"/>
        <v>#N/A</v>
      </c>
      <c r="G71" t="e">
        <f t="shared" si="11"/>
        <v>#N/A</v>
      </c>
    </row>
    <row r="72" spans="1:7" x14ac:dyDescent="0.25">
      <c r="A72" s="1" t="str">
        <f>MODEL_RESIDUALS!AH69</f>
        <v/>
      </c>
      <c r="C72" t="str">
        <f t="shared" si="8"/>
        <v/>
      </c>
      <c r="D72" t="str">
        <f t="shared" si="9"/>
        <v/>
      </c>
      <c r="F72" t="e">
        <f t="shared" si="10"/>
        <v>#N/A</v>
      </c>
      <c r="G72" t="e">
        <f t="shared" si="11"/>
        <v>#N/A</v>
      </c>
    </row>
    <row r="73" spans="1:7" x14ac:dyDescent="0.25">
      <c r="A73" s="1" t="str">
        <f>MODEL_RESIDUALS!AH70</f>
        <v/>
      </c>
      <c r="C73" t="str">
        <f t="shared" si="8"/>
        <v/>
      </c>
      <c r="D73" t="str">
        <f t="shared" si="9"/>
        <v/>
      </c>
      <c r="F73" t="e">
        <f t="shared" si="10"/>
        <v>#N/A</v>
      </c>
      <c r="G73" t="e">
        <f t="shared" si="11"/>
        <v>#N/A</v>
      </c>
    </row>
    <row r="74" spans="1:7" x14ac:dyDescent="0.25">
      <c r="A74" s="1" t="str">
        <f>MODEL_RESIDUALS!AH71</f>
        <v/>
      </c>
      <c r="C74" t="str">
        <f t="shared" si="8"/>
        <v/>
      </c>
      <c r="D74" t="str">
        <f t="shared" si="9"/>
        <v/>
      </c>
      <c r="F74" t="e">
        <f t="shared" si="10"/>
        <v>#N/A</v>
      </c>
      <c r="G74" t="e">
        <f t="shared" si="11"/>
        <v>#N/A</v>
      </c>
    </row>
  </sheetData>
  <mergeCells count="1">
    <mergeCell ref="I28:Q31"/>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964BA-34F7-4E81-8FE1-256C18531AA3}">
  <sheetPr codeName="Hoja3"/>
  <dimension ref="A1:X28"/>
  <sheetViews>
    <sheetView zoomScaleNormal="100" workbookViewId="0"/>
  </sheetViews>
  <sheetFormatPr baseColWidth="10" defaultRowHeight="15" x14ac:dyDescent="0.25"/>
  <cols>
    <col min="1" max="24" width="5.5703125" customWidth="1"/>
  </cols>
  <sheetData>
    <row r="1" spans="1:24" x14ac:dyDescent="0.25">
      <c r="A1" t="s">
        <v>25</v>
      </c>
      <c r="E1">
        <f>COUNT(EXP_MATRIX!C2:C71)</f>
        <v>32</v>
      </c>
    </row>
    <row r="2" spans="1:24" x14ac:dyDescent="0.25">
      <c r="A2" t="s">
        <v>26</v>
      </c>
      <c r="E2">
        <f>COUNT(EXP_MATRIX!C2:Z2)</f>
        <v>9</v>
      </c>
    </row>
    <row r="4" spans="1:24" x14ac:dyDescent="0.25">
      <c r="A4" t="s">
        <v>27</v>
      </c>
    </row>
    <row r="5" spans="1:24" x14ac:dyDescent="0.25">
      <c r="A5">
        <f>IF(COUNT(A7:A15)&gt;0,COUNT(A7:A15),"")</f>
        <v>2</v>
      </c>
      <c r="B5">
        <f t="shared" ref="B5:X5" si="0">IF(COUNT(B7:B15)&gt;0,COUNT(B7:B15),"")</f>
        <v>2</v>
      </c>
      <c r="C5">
        <f t="shared" si="0"/>
        <v>2</v>
      </c>
      <c r="D5">
        <f t="shared" si="0"/>
        <v>2</v>
      </c>
      <c r="E5">
        <f t="shared" si="0"/>
        <v>2</v>
      </c>
      <c r="F5">
        <f t="shared" si="0"/>
        <v>2</v>
      </c>
      <c r="G5">
        <f t="shared" si="0"/>
        <v>2</v>
      </c>
      <c r="H5">
        <f t="shared" si="0"/>
        <v>2</v>
      </c>
      <c r="I5">
        <f t="shared" si="0"/>
        <v>2</v>
      </c>
      <c r="J5" t="str">
        <f t="shared" si="0"/>
        <v/>
      </c>
      <c r="K5" t="str">
        <f t="shared" si="0"/>
        <v/>
      </c>
      <c r="L5" t="str">
        <f t="shared" si="0"/>
        <v/>
      </c>
      <c r="M5" t="str">
        <f t="shared" si="0"/>
        <v/>
      </c>
      <c r="N5" t="str">
        <f t="shared" si="0"/>
        <v/>
      </c>
      <c r="O5" t="str">
        <f t="shared" si="0"/>
        <v/>
      </c>
      <c r="P5" t="str">
        <f t="shared" si="0"/>
        <v/>
      </c>
      <c r="Q5" t="str">
        <f t="shared" si="0"/>
        <v/>
      </c>
      <c r="R5" t="str">
        <f t="shared" si="0"/>
        <v/>
      </c>
      <c r="S5" t="str">
        <f t="shared" si="0"/>
        <v/>
      </c>
      <c r="T5" t="str">
        <f t="shared" si="0"/>
        <v/>
      </c>
      <c r="U5" t="str">
        <f t="shared" si="0"/>
        <v/>
      </c>
      <c r="V5" t="str">
        <f t="shared" si="0"/>
        <v/>
      </c>
      <c r="W5" t="str">
        <f t="shared" si="0"/>
        <v/>
      </c>
      <c r="X5" t="str">
        <f t="shared" si="0"/>
        <v/>
      </c>
    </row>
    <row r="6" spans="1:24" x14ac:dyDescent="0.25">
      <c r="A6" t="str">
        <f>EXP_MATRIX!C1</f>
        <v>A</v>
      </c>
      <c r="B6" t="str">
        <f>EXP_MATRIX!D1</f>
        <v>B</v>
      </c>
      <c r="C6" t="str">
        <f>EXP_MATRIX!E1</f>
        <v>C</v>
      </c>
      <c r="D6" t="str">
        <f>EXP_MATRIX!F1</f>
        <v>D</v>
      </c>
      <c r="E6" t="str">
        <f>EXP_MATRIX!G1</f>
        <v>E</v>
      </c>
      <c r="F6" t="str">
        <f>EXP_MATRIX!H1</f>
        <v>F</v>
      </c>
      <c r="G6" t="str">
        <f>EXP_MATRIX!I1</f>
        <v>G</v>
      </c>
      <c r="H6" t="str">
        <f>EXP_MATRIX!J1</f>
        <v>H</v>
      </c>
      <c r="I6" t="str">
        <f>EXP_MATRIX!K1</f>
        <v>J</v>
      </c>
      <c r="J6" t="str">
        <f>EXP_MATRIX!L1</f>
        <v>K</v>
      </c>
      <c r="K6" t="str">
        <f>EXP_MATRIX!M1</f>
        <v>L</v>
      </c>
      <c r="L6" t="str">
        <f>EXP_MATRIX!N1</f>
        <v>M</v>
      </c>
      <c r="M6" t="str">
        <f>EXP_MATRIX!O1</f>
        <v>N</v>
      </c>
      <c r="N6" t="str">
        <f>EXP_MATRIX!P1</f>
        <v>O</v>
      </c>
      <c r="O6" t="str">
        <f>EXP_MATRIX!Q1</f>
        <v>P</v>
      </c>
      <c r="P6" t="str">
        <f>EXP_MATRIX!R1</f>
        <v>Q</v>
      </c>
      <c r="Q6" t="str">
        <f>EXP_MATRIX!S1</f>
        <v>R</v>
      </c>
      <c r="R6" t="str">
        <f>EXP_MATRIX!T1</f>
        <v>S</v>
      </c>
      <c r="S6" t="s">
        <v>18</v>
      </c>
      <c r="T6" t="s">
        <v>19</v>
      </c>
      <c r="U6" t="s">
        <v>20</v>
      </c>
      <c r="V6" t="s">
        <v>21</v>
      </c>
      <c r="W6" t="s">
        <v>22</v>
      </c>
      <c r="X6" t="s">
        <v>23</v>
      </c>
    </row>
    <row r="7" spans="1:24" x14ac:dyDescent="0.25">
      <c r="A7" cm="1">
        <f t="array" ref="A7:A9">_xlfn._xlws.SORT(_xlfn.UNIQUE(IF(EXP_MATRIX!C2:C71="","",EXP_MATRIX!C2:C71)))</f>
        <v>-1</v>
      </c>
      <c r="B7" cm="1">
        <f t="array" ref="B7:B9">_xlfn._xlws.SORT(_xlfn.UNIQUE(IF(EXP_MATRIX!D2:D71="","",EXP_MATRIX!D2:D71)))</f>
        <v>-1</v>
      </c>
      <c r="C7" cm="1">
        <f t="array" ref="C7:C9">_xlfn._xlws.SORT(_xlfn.UNIQUE(IF(EXP_MATRIX!E2:E71="","",EXP_MATRIX!E2:E71)))</f>
        <v>-1</v>
      </c>
      <c r="D7" cm="1">
        <f t="array" ref="D7:D9">_xlfn._xlws.SORT(_xlfn.UNIQUE(IF(EXP_MATRIX!F2:F71="","",EXP_MATRIX!F2:F71)))</f>
        <v>-1</v>
      </c>
      <c r="E7" cm="1">
        <f t="array" ref="E7:E9">_xlfn._xlws.SORT(_xlfn.UNIQUE(IF(EXP_MATRIX!G2:G71="","",EXP_MATRIX!G2:G71)))</f>
        <v>-1</v>
      </c>
      <c r="F7" cm="1">
        <f t="array" ref="F7:F9">_xlfn._xlws.SORT(_xlfn.UNIQUE(IF(EXP_MATRIX!H2:H71="","",EXP_MATRIX!H2:H71)))</f>
        <v>-1</v>
      </c>
      <c r="G7" cm="1">
        <f t="array" ref="G7:G9">_xlfn._xlws.SORT(_xlfn.UNIQUE(IF(EXP_MATRIX!I2:I71="","",EXP_MATRIX!I2:I71)))</f>
        <v>-1</v>
      </c>
      <c r="H7" cm="1">
        <f t="array" ref="H7:H9">_xlfn._xlws.SORT(_xlfn.UNIQUE(IF(EXP_MATRIX!J2:J71="","",EXP_MATRIX!J2:J71)))</f>
        <v>-1</v>
      </c>
      <c r="I7" cm="1">
        <f t="array" ref="I7:I9">_xlfn._xlws.SORT(_xlfn.UNIQUE(IF(EXP_MATRIX!K2:K71="","",EXP_MATRIX!K2:K71)))</f>
        <v>-1</v>
      </c>
      <c r="J7" t="str" cm="1">
        <f t="array" ref="J7">_xlfn._xlws.SORT(_xlfn.UNIQUE(IF(EXP_MATRIX!L2:L71="","",EXP_MATRIX!L2:L71)))</f>
        <v/>
      </c>
      <c r="K7" t="str" cm="1">
        <f t="array" ref="K7">_xlfn._xlws.SORT(_xlfn.UNIQUE(IF(EXP_MATRIX!M2:M71="","",EXP_MATRIX!M2:M71)))</f>
        <v/>
      </c>
      <c r="L7" t="str" cm="1">
        <f t="array" ref="L7">_xlfn._xlws.SORT(_xlfn.UNIQUE(IF(EXP_MATRIX!N2:N71="","",EXP_MATRIX!N2:N71)))</f>
        <v/>
      </c>
      <c r="M7" t="str" cm="1">
        <f t="array" ref="M7">_xlfn._xlws.SORT(_xlfn.UNIQUE(IF(EXP_MATRIX!O2:O71="","",EXP_MATRIX!O2:O71)))</f>
        <v/>
      </c>
      <c r="N7" t="str" cm="1">
        <f t="array" ref="N7">_xlfn._xlws.SORT(_xlfn.UNIQUE(IF(EXP_MATRIX!P2:P71="","",EXP_MATRIX!P2:P71)))</f>
        <v/>
      </c>
      <c r="O7" t="str" cm="1">
        <f t="array" ref="O7">_xlfn._xlws.SORT(_xlfn.UNIQUE(IF(EXP_MATRIX!Q2:Q71="","",EXP_MATRIX!Q2:Q71)))</f>
        <v/>
      </c>
      <c r="P7" t="str" cm="1">
        <f t="array" ref="P7">_xlfn._xlws.SORT(_xlfn.UNIQUE(IF(EXP_MATRIX!R2:R71="","",EXP_MATRIX!R2:R71)))</f>
        <v/>
      </c>
      <c r="Q7" t="str" cm="1">
        <f t="array" ref="Q7">_xlfn._xlws.SORT(_xlfn.UNIQUE(IF(EXP_MATRIX!S2:S71="","",EXP_MATRIX!S2:S71)))</f>
        <v/>
      </c>
      <c r="R7" t="str" cm="1">
        <f t="array" ref="R7">_xlfn._xlws.SORT(_xlfn.UNIQUE(IF(EXP_MATRIX!T2:T71="","",EXP_MATRIX!T2:T71)))</f>
        <v/>
      </c>
      <c r="S7" t="str" cm="1">
        <f t="array" ref="S7">_xlfn._xlws.SORT(_xlfn.UNIQUE(IF(EXP_MATRIX!U2:U71="","",EXP_MATRIX!U2:U71)))</f>
        <v/>
      </c>
      <c r="T7" t="str" cm="1">
        <f t="array" ref="T7">_xlfn._xlws.SORT(_xlfn.UNIQUE(IF(EXP_MATRIX!V2:V71="","",EXP_MATRIX!V2:V71)))</f>
        <v/>
      </c>
      <c r="U7" t="str" cm="1">
        <f t="array" ref="U7">_xlfn._xlws.SORT(_xlfn.UNIQUE(IF(EXP_MATRIX!W2:W71="","",EXP_MATRIX!W2:W71)))</f>
        <v/>
      </c>
      <c r="V7" t="str" cm="1">
        <f t="array" ref="V7">_xlfn._xlws.SORT(_xlfn.UNIQUE(IF(EXP_MATRIX!X2:X71="","",EXP_MATRIX!X2:X71)))</f>
        <v/>
      </c>
      <c r="W7" t="str" cm="1">
        <f t="array" ref="W7">_xlfn._xlws.SORT(_xlfn.UNIQUE(IF(EXP_MATRIX!Y2:Y71="","",EXP_MATRIX!Y2:Y71)))</f>
        <v/>
      </c>
      <c r="X7" t="str" cm="1">
        <f t="array" ref="X7">_xlfn._xlws.SORT(_xlfn.UNIQUE(IF(EXP_MATRIX!Z2:Z71="","",EXP_MATRIX!Z2:Z71)))</f>
        <v/>
      </c>
    </row>
    <row r="8" spans="1:24" x14ac:dyDescent="0.25">
      <c r="A8">
        <v>1</v>
      </c>
      <c r="B8">
        <v>1</v>
      </c>
      <c r="C8">
        <v>1</v>
      </c>
      <c r="D8">
        <v>1</v>
      </c>
      <c r="E8">
        <v>1</v>
      </c>
      <c r="F8">
        <v>1</v>
      </c>
      <c r="G8">
        <v>1</v>
      </c>
      <c r="H8">
        <v>1</v>
      </c>
      <c r="I8">
        <v>1</v>
      </c>
    </row>
    <row r="9" spans="1:24" x14ac:dyDescent="0.25">
      <c r="A9" t="str">
        <v/>
      </c>
      <c r="B9" t="str">
        <v/>
      </c>
      <c r="C9" t="str">
        <v/>
      </c>
      <c r="D9" t="str">
        <v/>
      </c>
      <c r="E9" t="str">
        <v/>
      </c>
      <c r="F9" t="str">
        <v/>
      </c>
      <c r="G9" t="str">
        <v/>
      </c>
      <c r="H9" t="str">
        <v/>
      </c>
      <c r="I9" t="str">
        <v/>
      </c>
    </row>
    <row r="17" spans="1:24" x14ac:dyDescent="0.25">
      <c r="A17" t="s">
        <v>28</v>
      </c>
      <c r="D17" t="s">
        <v>85</v>
      </c>
      <c r="G17" s="24" t="b">
        <f>AND(A18:X18)</f>
        <v>0</v>
      </c>
      <c r="H17" s="24"/>
      <c r="I17" s="24"/>
      <c r="J17" s="24"/>
      <c r="K17" s="24"/>
      <c r="L17" s="24"/>
      <c r="N17" t="s">
        <v>86</v>
      </c>
      <c r="Q17" s="24" t="b">
        <f>DESIGN_REPLICATION!G8</f>
        <v>1</v>
      </c>
      <c r="R17" s="24"/>
      <c r="S17" s="24"/>
      <c r="T17" s="24"/>
      <c r="U17" s="24"/>
      <c r="V17" s="24"/>
    </row>
    <row r="18" spans="1:24" x14ac:dyDescent="0.25">
      <c r="A18" t="b">
        <f>IF(A5="","",MIN(A20:A28)=MAX(A20:A28))</f>
        <v>1</v>
      </c>
      <c r="B18" t="b">
        <f t="shared" ref="B18:X18" si="1">IF(B5="","",MIN(B20:B28)=MAX(B20:B28))</f>
        <v>1</v>
      </c>
      <c r="C18" t="b">
        <f t="shared" si="1"/>
        <v>1</v>
      </c>
      <c r="D18" t="b">
        <f t="shared" si="1"/>
        <v>1</v>
      </c>
      <c r="E18" t="b">
        <f t="shared" si="1"/>
        <v>1</v>
      </c>
      <c r="F18" t="b">
        <f t="shared" si="1"/>
        <v>1</v>
      </c>
      <c r="G18" t="b">
        <f t="shared" si="1"/>
        <v>1</v>
      </c>
      <c r="H18" t="b">
        <f t="shared" si="1"/>
        <v>1</v>
      </c>
      <c r="I18" t="b">
        <f t="shared" si="1"/>
        <v>0</v>
      </c>
      <c r="J18" t="str">
        <f t="shared" si="1"/>
        <v/>
      </c>
      <c r="K18" t="str">
        <f t="shared" si="1"/>
        <v/>
      </c>
      <c r="L18" t="str">
        <f t="shared" si="1"/>
        <v/>
      </c>
      <c r="M18" t="str">
        <f t="shared" si="1"/>
        <v/>
      </c>
      <c r="N18" t="str">
        <f t="shared" si="1"/>
        <v/>
      </c>
      <c r="O18" t="str">
        <f t="shared" si="1"/>
        <v/>
      </c>
      <c r="P18" t="str">
        <f t="shared" si="1"/>
        <v/>
      </c>
      <c r="Q18" t="str">
        <f t="shared" si="1"/>
        <v/>
      </c>
      <c r="R18" t="str">
        <f t="shared" si="1"/>
        <v/>
      </c>
      <c r="S18" t="str">
        <f t="shared" si="1"/>
        <v/>
      </c>
      <c r="T18" t="str">
        <f t="shared" si="1"/>
        <v/>
      </c>
      <c r="U18" t="str">
        <f t="shared" si="1"/>
        <v/>
      </c>
      <c r="V18" t="str">
        <f t="shared" si="1"/>
        <v/>
      </c>
      <c r="W18" t="str">
        <f t="shared" si="1"/>
        <v/>
      </c>
      <c r="X18" t="str">
        <f t="shared" si="1"/>
        <v/>
      </c>
    </row>
    <row r="19" spans="1:24" x14ac:dyDescent="0.25">
      <c r="A19" t="str">
        <f>IF(A5="","",A6)</f>
        <v>A</v>
      </c>
      <c r="B19" t="str">
        <f t="shared" ref="B19:X19" si="2">IF(B5="","",B6)</f>
        <v>B</v>
      </c>
      <c r="C19" t="str">
        <f t="shared" si="2"/>
        <v>C</v>
      </c>
      <c r="D19" t="str">
        <f t="shared" si="2"/>
        <v>D</v>
      </c>
      <c r="E19" t="str">
        <f t="shared" si="2"/>
        <v>E</v>
      </c>
      <c r="F19" t="str">
        <f t="shared" si="2"/>
        <v>F</v>
      </c>
      <c r="G19" t="str">
        <f t="shared" si="2"/>
        <v>G</v>
      </c>
      <c r="H19" t="str">
        <f t="shared" si="2"/>
        <v>H</v>
      </c>
      <c r="I19" t="str">
        <f t="shared" si="2"/>
        <v>J</v>
      </c>
      <c r="J19" t="str">
        <f t="shared" si="2"/>
        <v/>
      </c>
      <c r="K19" t="str">
        <f t="shared" si="2"/>
        <v/>
      </c>
      <c r="L19" t="str">
        <f t="shared" si="2"/>
        <v/>
      </c>
      <c r="M19" t="str">
        <f t="shared" si="2"/>
        <v/>
      </c>
      <c r="N19" t="str">
        <f t="shared" si="2"/>
        <v/>
      </c>
      <c r="O19" t="str">
        <f t="shared" si="2"/>
        <v/>
      </c>
      <c r="P19" t="str">
        <f t="shared" si="2"/>
        <v/>
      </c>
      <c r="Q19" t="str">
        <f t="shared" si="2"/>
        <v/>
      </c>
      <c r="R19" t="str">
        <f t="shared" si="2"/>
        <v/>
      </c>
      <c r="S19" t="str">
        <f t="shared" si="2"/>
        <v/>
      </c>
      <c r="T19" t="str">
        <f t="shared" si="2"/>
        <v/>
      </c>
      <c r="U19" t="str">
        <f t="shared" si="2"/>
        <v/>
      </c>
      <c r="V19" t="str">
        <f t="shared" si="2"/>
        <v/>
      </c>
      <c r="W19" t="str">
        <f t="shared" si="2"/>
        <v/>
      </c>
      <c r="X19" t="str">
        <f t="shared" si="2"/>
        <v/>
      </c>
    </row>
    <row r="20" spans="1:24" x14ac:dyDescent="0.25">
      <c r="A20">
        <f>IF(A7="","",COUNTIF(EXP_MATRIX!C$2:C$71,A7))</f>
        <v>16</v>
      </c>
      <c r="B20">
        <f>IF(B7="","",COUNTIF(EXP_MATRIX!D$2:D$71,B7))</f>
        <v>16</v>
      </c>
      <c r="C20">
        <f>IF(C7="","",COUNTIF(EXP_MATRIX!E$2:E$71,C7))</f>
        <v>16</v>
      </c>
      <c r="D20">
        <f>IF(D7="","",COUNTIF(EXP_MATRIX!F$2:F$71,D7))</f>
        <v>16</v>
      </c>
      <c r="E20">
        <f>IF(E7="","",COUNTIF(EXP_MATRIX!G$2:G$71,E7))</f>
        <v>16</v>
      </c>
      <c r="F20">
        <f>IF(F7="","",COUNTIF(EXP_MATRIX!H$2:H$71,F7))</f>
        <v>16</v>
      </c>
      <c r="G20">
        <f>IF(G7="","",COUNTIF(EXP_MATRIX!I$2:I$71,G7))</f>
        <v>16</v>
      </c>
      <c r="H20">
        <f>IF(H7="","",COUNTIF(EXP_MATRIX!J$2:J$71,H7))</f>
        <v>16</v>
      </c>
      <c r="I20">
        <f>IF(I7="","",COUNTIF(EXP_MATRIX!K$2:K$71,I7))</f>
        <v>27</v>
      </c>
      <c r="J20" t="str">
        <f>IF(J7="","",COUNTIF(EXP_MATRIX!L$2:L$71,J7))</f>
        <v/>
      </c>
      <c r="K20" t="str">
        <f>IF(K7="","",COUNTIF(EXP_MATRIX!M$2:M$71,K7))</f>
        <v/>
      </c>
      <c r="L20" t="str">
        <f>IF(L7="","",COUNTIF(EXP_MATRIX!N$2:N$71,L7))</f>
        <v/>
      </c>
      <c r="M20" t="str">
        <f>IF(M7="","",COUNTIF(EXP_MATRIX!O$2:O$71,M7))</f>
        <v/>
      </c>
      <c r="N20" t="str">
        <f>IF(N7="","",COUNTIF(EXP_MATRIX!P$2:P$71,N7))</f>
        <v/>
      </c>
      <c r="O20" t="str">
        <f>IF(O7="","",COUNTIF(EXP_MATRIX!Q$2:Q$71,O7))</f>
        <v/>
      </c>
      <c r="P20" t="str">
        <f>IF(P7="","",COUNTIF(EXP_MATRIX!R$2:R$71,P7))</f>
        <v/>
      </c>
      <c r="Q20" t="str">
        <f>IF(Q7="","",COUNTIF(EXP_MATRIX!S$2:S$71,Q7))</f>
        <v/>
      </c>
      <c r="R20" t="str">
        <f>IF(R7="","",COUNTIF(EXP_MATRIX!T$2:T$71,R7))</f>
        <v/>
      </c>
      <c r="S20" t="str">
        <f>IF(S7="","",COUNTIF(EXP_MATRIX!U$2:U$71,S7))</f>
        <v/>
      </c>
      <c r="T20" t="str">
        <f>IF(T7="","",COUNTIF(EXP_MATRIX!V$2:V$71,T7))</f>
        <v/>
      </c>
      <c r="U20" t="str">
        <f>IF(U7="","",COUNTIF(EXP_MATRIX!W$2:W$71,U7))</f>
        <v/>
      </c>
      <c r="V20" t="str">
        <f>IF(V7="","",COUNTIF(EXP_MATRIX!X$2:X$71,V7))</f>
        <v/>
      </c>
      <c r="W20" t="str">
        <f>IF(W7="","",COUNTIF(EXP_MATRIX!Y$2:Y$71,W7))</f>
        <v/>
      </c>
      <c r="X20" t="str">
        <f>IF(X7="","",COUNTIF(EXP_MATRIX!Z$2:Z$71,X7))</f>
        <v/>
      </c>
    </row>
    <row r="21" spans="1:24" x14ac:dyDescent="0.25">
      <c r="A21">
        <f>IF(A8="","",COUNTIF(EXP_MATRIX!C$2:C$71,A8))</f>
        <v>16</v>
      </c>
      <c r="B21">
        <f>IF(B8="","",COUNTIF(EXP_MATRIX!D$2:D$71,B8))</f>
        <v>16</v>
      </c>
      <c r="C21">
        <f>IF(C8="","",COUNTIF(EXP_MATRIX!E$2:E$71,C8))</f>
        <v>16</v>
      </c>
      <c r="D21">
        <f>IF(D8="","",COUNTIF(EXP_MATRIX!F$2:F$71,D8))</f>
        <v>16</v>
      </c>
      <c r="E21">
        <f>IF(E8="","",COUNTIF(EXP_MATRIX!G$2:G$71,E8))</f>
        <v>16</v>
      </c>
      <c r="F21">
        <f>IF(F8="","",COUNTIF(EXP_MATRIX!H$2:H$71,F8))</f>
        <v>16</v>
      </c>
      <c r="G21">
        <f>IF(G8="","",COUNTIF(EXP_MATRIX!I$2:I$71,G8))</f>
        <v>16</v>
      </c>
      <c r="H21">
        <f>IF(H8="","",COUNTIF(EXP_MATRIX!J$2:J$71,H8))</f>
        <v>16</v>
      </c>
      <c r="I21">
        <f>IF(I8="","",COUNTIF(EXP_MATRIX!K$2:K$71,I8))</f>
        <v>5</v>
      </c>
      <c r="J21" t="str">
        <f>IF(J8="","",COUNTIF(EXP_MATRIX!L$2:L$71,J8))</f>
        <v/>
      </c>
      <c r="K21" t="str">
        <f>IF(K8="","",COUNTIF(EXP_MATRIX!M$2:M$71,K8))</f>
        <v/>
      </c>
      <c r="L21" t="str">
        <f>IF(L8="","",COUNTIF(EXP_MATRIX!N$2:N$71,L8))</f>
        <v/>
      </c>
      <c r="M21" t="str">
        <f>IF(M8="","",COUNTIF(EXP_MATRIX!O$2:O$71,M8))</f>
        <v/>
      </c>
      <c r="N21" t="str">
        <f>IF(N8="","",COUNTIF(EXP_MATRIX!P$2:P$71,N8))</f>
        <v/>
      </c>
      <c r="O21" t="str">
        <f>IF(O8="","",COUNTIF(EXP_MATRIX!Q$2:Q$71,O8))</f>
        <v/>
      </c>
      <c r="P21" t="str">
        <f>IF(P8="","",COUNTIF(EXP_MATRIX!R$2:R$71,P8))</f>
        <v/>
      </c>
      <c r="Q21" t="str">
        <f>IF(Q8="","",COUNTIF(EXP_MATRIX!S$2:S$71,Q8))</f>
        <v/>
      </c>
      <c r="R21" t="str">
        <f>IF(R8="","",COUNTIF(EXP_MATRIX!T$2:T$71,R8))</f>
        <v/>
      </c>
      <c r="S21" t="str">
        <f>IF(S8="","",COUNTIF(EXP_MATRIX!U$2:U$71,S8))</f>
        <v/>
      </c>
      <c r="T21" t="str">
        <f>IF(T8="","",COUNTIF(EXP_MATRIX!V$2:V$71,T8))</f>
        <v/>
      </c>
      <c r="U21" t="str">
        <f>IF(U8="","",COUNTIF(EXP_MATRIX!W$2:W$71,U8))</f>
        <v/>
      </c>
      <c r="V21" t="str">
        <f>IF(V8="","",COUNTIF(EXP_MATRIX!X$2:X$71,V8))</f>
        <v/>
      </c>
      <c r="W21" t="str">
        <f>IF(W8="","",COUNTIF(EXP_MATRIX!Y$2:Y$71,W8))</f>
        <v/>
      </c>
      <c r="X21" t="str">
        <f>IF(X8="","",COUNTIF(EXP_MATRIX!Z$2:Z$71,X8))</f>
        <v/>
      </c>
    </row>
    <row r="22" spans="1:24" x14ac:dyDescent="0.25">
      <c r="A22" t="str">
        <f>IF(A9="","",COUNTIF(EXP_MATRIX!C$2:C$71,A9))</f>
        <v/>
      </c>
      <c r="B22" t="str">
        <f>IF(B9="","",COUNTIF(EXP_MATRIX!D$2:D$71,B9))</f>
        <v/>
      </c>
      <c r="C22" t="str">
        <f>IF(C9="","",COUNTIF(EXP_MATRIX!E$2:E$71,C9))</f>
        <v/>
      </c>
      <c r="D22" t="str">
        <f>IF(D9="","",COUNTIF(EXP_MATRIX!F$2:F$71,D9))</f>
        <v/>
      </c>
      <c r="E22" t="str">
        <f>IF(E9="","",COUNTIF(EXP_MATRIX!G$2:G$71,E9))</f>
        <v/>
      </c>
      <c r="F22" t="str">
        <f>IF(F9="","",COUNTIF(EXP_MATRIX!H$2:H$71,F9))</f>
        <v/>
      </c>
      <c r="G22" t="str">
        <f>IF(G9="","",COUNTIF(EXP_MATRIX!I$2:I$71,G9))</f>
        <v/>
      </c>
      <c r="H22" t="str">
        <f>IF(H9="","",COUNTIF(EXP_MATRIX!J$2:J$71,H9))</f>
        <v/>
      </c>
      <c r="I22" t="str">
        <f>IF(I9="","",COUNTIF(EXP_MATRIX!K$2:K$71,I9))</f>
        <v/>
      </c>
      <c r="J22" t="str">
        <f>IF(J9="","",COUNTIF(EXP_MATRIX!L$2:L$71,J9))</f>
        <v/>
      </c>
      <c r="K22" t="str">
        <f>IF(K9="","",COUNTIF(EXP_MATRIX!M$2:M$71,K9))</f>
        <v/>
      </c>
      <c r="L22" t="str">
        <f>IF(L9="","",COUNTIF(EXP_MATRIX!N$2:N$71,L9))</f>
        <v/>
      </c>
      <c r="M22" t="str">
        <f>IF(M9="","",COUNTIF(EXP_MATRIX!O$2:O$71,M9))</f>
        <v/>
      </c>
      <c r="N22" t="str">
        <f>IF(N9="","",COUNTIF(EXP_MATRIX!P$2:P$71,N9))</f>
        <v/>
      </c>
      <c r="O22" t="str">
        <f>IF(O9="","",COUNTIF(EXP_MATRIX!Q$2:Q$71,O9))</f>
        <v/>
      </c>
      <c r="P22" t="str">
        <f>IF(P9="","",COUNTIF(EXP_MATRIX!R$2:R$71,P9))</f>
        <v/>
      </c>
      <c r="Q22" t="str">
        <f>IF(Q9="","",COUNTIF(EXP_MATRIX!S$2:S$71,Q9))</f>
        <v/>
      </c>
      <c r="R22" t="str">
        <f>IF(R9="","",COUNTIF(EXP_MATRIX!T$2:T$71,R9))</f>
        <v/>
      </c>
      <c r="S22" t="str">
        <f>IF(S9="","",COUNTIF(EXP_MATRIX!U$2:U$71,S9))</f>
        <v/>
      </c>
      <c r="T22" t="str">
        <f>IF(T9="","",COUNTIF(EXP_MATRIX!V$2:V$71,T9))</f>
        <v/>
      </c>
      <c r="U22" t="str">
        <f>IF(U9="","",COUNTIF(EXP_MATRIX!W$2:W$71,U9))</f>
        <v/>
      </c>
      <c r="V22" t="str">
        <f>IF(V9="","",COUNTIF(EXP_MATRIX!X$2:X$71,V9))</f>
        <v/>
      </c>
      <c r="W22" t="str">
        <f>IF(W9="","",COUNTIF(EXP_MATRIX!Y$2:Y$71,W9))</f>
        <v/>
      </c>
      <c r="X22" t="str">
        <f>IF(X9="","",COUNTIF(EXP_MATRIX!Z$2:Z$71,X9))</f>
        <v/>
      </c>
    </row>
    <row r="23" spans="1:24" x14ac:dyDescent="0.25">
      <c r="A23" t="str">
        <f>IF(A10="","",COUNTIF(EXP_MATRIX!C$2:C$71,A10))</f>
        <v/>
      </c>
      <c r="B23" t="str">
        <f>IF(B10="","",COUNTIF(EXP_MATRIX!D$2:D$71,B10))</f>
        <v/>
      </c>
      <c r="C23" t="str">
        <f>IF(C10="","",COUNTIF(EXP_MATRIX!E$2:E$71,C10))</f>
        <v/>
      </c>
      <c r="D23" t="str">
        <f>IF(D10="","",COUNTIF(EXP_MATRIX!F$2:F$71,D10))</f>
        <v/>
      </c>
      <c r="E23" t="str">
        <f>IF(E10="","",COUNTIF(EXP_MATRIX!G$2:G$71,E10))</f>
        <v/>
      </c>
      <c r="F23" t="str">
        <f>IF(F10="","",COUNTIF(EXP_MATRIX!H$2:H$71,F10))</f>
        <v/>
      </c>
      <c r="G23" t="str">
        <f>IF(G10="","",COUNTIF(EXP_MATRIX!I$2:I$71,G10))</f>
        <v/>
      </c>
      <c r="H23" t="str">
        <f>IF(H10="","",COUNTIF(EXP_MATRIX!J$2:J$71,H10))</f>
        <v/>
      </c>
      <c r="I23" t="str">
        <f>IF(I10="","",COUNTIF(EXP_MATRIX!K$2:K$71,I10))</f>
        <v/>
      </c>
      <c r="J23" t="str">
        <f>IF(J10="","",COUNTIF(EXP_MATRIX!L$2:L$71,J10))</f>
        <v/>
      </c>
      <c r="K23" t="str">
        <f>IF(K10="","",COUNTIF(EXP_MATRIX!M$2:M$71,K10))</f>
        <v/>
      </c>
      <c r="L23" t="str">
        <f>IF(L10="","",COUNTIF(EXP_MATRIX!N$2:N$71,L10))</f>
        <v/>
      </c>
      <c r="M23" t="str">
        <f>IF(M10="","",COUNTIF(EXP_MATRIX!O$2:O$71,M10))</f>
        <v/>
      </c>
      <c r="N23" t="str">
        <f>IF(N10="","",COUNTIF(EXP_MATRIX!P$2:P$71,N10))</f>
        <v/>
      </c>
      <c r="O23" t="str">
        <f>IF(O10="","",COUNTIF(EXP_MATRIX!Q$2:Q$71,O10))</f>
        <v/>
      </c>
      <c r="P23" t="str">
        <f>IF(P10="","",COUNTIF(EXP_MATRIX!R$2:R$71,P10))</f>
        <v/>
      </c>
      <c r="Q23" t="str">
        <f>IF(Q10="","",COUNTIF(EXP_MATRIX!S$2:S$71,Q10))</f>
        <v/>
      </c>
      <c r="R23" t="str">
        <f>IF(R10="","",COUNTIF(EXP_MATRIX!T$2:T$71,R10))</f>
        <v/>
      </c>
      <c r="S23" t="str">
        <f>IF(S10="","",COUNTIF(EXP_MATRIX!U$2:U$71,S10))</f>
        <v/>
      </c>
      <c r="T23" t="str">
        <f>IF(T10="","",COUNTIF(EXP_MATRIX!V$2:V$71,T10))</f>
        <v/>
      </c>
      <c r="U23" t="str">
        <f>IF(U10="","",COUNTIF(EXP_MATRIX!W$2:W$71,U10))</f>
        <v/>
      </c>
      <c r="V23" t="str">
        <f>IF(V10="","",COUNTIF(EXP_MATRIX!X$2:X$71,V10))</f>
        <v/>
      </c>
      <c r="W23" t="str">
        <f>IF(W10="","",COUNTIF(EXP_MATRIX!Y$2:Y$71,W10))</f>
        <v/>
      </c>
      <c r="X23" t="str">
        <f>IF(X10="","",COUNTIF(EXP_MATRIX!Z$2:Z$71,X10))</f>
        <v/>
      </c>
    </row>
    <row r="24" spans="1:24" x14ac:dyDescent="0.25">
      <c r="A24" t="str">
        <f>IF(A11="","",COUNTIF(EXP_MATRIX!C$2:C$71,A11))</f>
        <v/>
      </c>
      <c r="B24" t="str">
        <f>IF(B11="","",COUNTIF(EXP_MATRIX!D$2:D$71,B11))</f>
        <v/>
      </c>
      <c r="C24" t="str">
        <f>IF(C11="","",COUNTIF(EXP_MATRIX!E$2:E$71,C11))</f>
        <v/>
      </c>
      <c r="D24" t="str">
        <f>IF(D11="","",COUNTIF(EXP_MATRIX!F$2:F$71,D11))</f>
        <v/>
      </c>
      <c r="E24" t="str">
        <f>IF(E11="","",COUNTIF(EXP_MATRIX!G$2:G$71,E11))</f>
        <v/>
      </c>
      <c r="F24" t="str">
        <f>IF(F11="","",COUNTIF(EXP_MATRIX!H$2:H$71,F11))</f>
        <v/>
      </c>
      <c r="G24" t="str">
        <f>IF(G11="","",COUNTIF(EXP_MATRIX!I$2:I$71,G11))</f>
        <v/>
      </c>
      <c r="H24" t="str">
        <f>IF(H11="","",COUNTIF(EXP_MATRIX!J$2:J$71,H11))</f>
        <v/>
      </c>
      <c r="I24" t="str">
        <f>IF(I11="","",COUNTIF(EXP_MATRIX!K$2:K$71,I11))</f>
        <v/>
      </c>
      <c r="J24" t="str">
        <f>IF(J11="","",COUNTIF(EXP_MATRIX!L$2:L$71,J11))</f>
        <v/>
      </c>
      <c r="K24" t="str">
        <f>IF(K11="","",COUNTIF(EXP_MATRIX!M$2:M$71,K11))</f>
        <v/>
      </c>
      <c r="L24" t="str">
        <f>IF(L11="","",COUNTIF(EXP_MATRIX!N$2:N$71,L11))</f>
        <v/>
      </c>
      <c r="M24" t="str">
        <f>IF(M11="","",COUNTIF(EXP_MATRIX!O$2:O$71,M11))</f>
        <v/>
      </c>
      <c r="N24" t="str">
        <f>IF(N11="","",COUNTIF(EXP_MATRIX!P$2:P$71,N11))</f>
        <v/>
      </c>
      <c r="O24" t="str">
        <f>IF(O11="","",COUNTIF(EXP_MATRIX!Q$2:Q$71,O11))</f>
        <v/>
      </c>
      <c r="P24" t="str">
        <f>IF(P11="","",COUNTIF(EXP_MATRIX!R$2:R$71,P11))</f>
        <v/>
      </c>
      <c r="Q24" t="str">
        <f>IF(Q11="","",COUNTIF(EXP_MATRIX!S$2:S$71,Q11))</f>
        <v/>
      </c>
      <c r="R24" t="str">
        <f>IF(R11="","",COUNTIF(EXP_MATRIX!T$2:T$71,R11))</f>
        <v/>
      </c>
      <c r="S24" t="str">
        <f>IF(S11="","",COUNTIF(EXP_MATRIX!U$2:U$71,S11))</f>
        <v/>
      </c>
      <c r="T24" t="str">
        <f>IF(T11="","",COUNTIF(EXP_MATRIX!V$2:V$71,T11))</f>
        <v/>
      </c>
      <c r="U24" t="str">
        <f>IF(U11="","",COUNTIF(EXP_MATRIX!W$2:W$71,U11))</f>
        <v/>
      </c>
      <c r="V24" t="str">
        <f>IF(V11="","",COUNTIF(EXP_MATRIX!X$2:X$71,V11))</f>
        <v/>
      </c>
      <c r="W24" t="str">
        <f>IF(W11="","",COUNTIF(EXP_MATRIX!Y$2:Y$71,W11))</f>
        <v/>
      </c>
      <c r="X24" t="str">
        <f>IF(X11="","",COUNTIF(EXP_MATRIX!Z$2:Z$71,X11))</f>
        <v/>
      </c>
    </row>
    <row r="25" spans="1:24" x14ac:dyDescent="0.25">
      <c r="A25" t="str">
        <f>IF(A12="","",COUNTIF(EXP_MATRIX!C$2:C$71,A12))</f>
        <v/>
      </c>
      <c r="B25" t="str">
        <f>IF(B12="","",COUNTIF(EXP_MATRIX!D$2:D$71,B12))</f>
        <v/>
      </c>
      <c r="C25" t="str">
        <f>IF(C12="","",COUNTIF(EXP_MATRIX!E$2:E$71,C12))</f>
        <v/>
      </c>
      <c r="D25" t="str">
        <f>IF(D12="","",COUNTIF(EXP_MATRIX!F$2:F$71,D12))</f>
        <v/>
      </c>
      <c r="E25" t="str">
        <f>IF(E12="","",COUNTIF(EXP_MATRIX!G$2:G$71,E12))</f>
        <v/>
      </c>
      <c r="F25" t="str">
        <f>IF(F12="","",COUNTIF(EXP_MATRIX!H$2:H$71,F12))</f>
        <v/>
      </c>
      <c r="G25" t="str">
        <f>IF(G12="","",COUNTIF(EXP_MATRIX!I$2:I$71,G12))</f>
        <v/>
      </c>
      <c r="H25" t="str">
        <f>IF(H12="","",COUNTIF(EXP_MATRIX!J$2:J$71,H12))</f>
        <v/>
      </c>
      <c r="I25" t="str">
        <f>IF(I12="","",COUNTIF(EXP_MATRIX!K$2:K$71,I12))</f>
        <v/>
      </c>
      <c r="J25" t="str">
        <f>IF(J12="","",COUNTIF(EXP_MATRIX!L$2:L$71,J12))</f>
        <v/>
      </c>
      <c r="K25" t="str">
        <f>IF(K12="","",COUNTIF(EXP_MATRIX!M$2:M$71,K12))</f>
        <v/>
      </c>
      <c r="L25" t="str">
        <f>IF(L12="","",COUNTIF(EXP_MATRIX!N$2:N$71,L12))</f>
        <v/>
      </c>
      <c r="M25" t="str">
        <f>IF(M12="","",COUNTIF(EXP_MATRIX!O$2:O$71,M12))</f>
        <v/>
      </c>
      <c r="N25" t="str">
        <f>IF(N12="","",COUNTIF(EXP_MATRIX!P$2:P$71,N12))</f>
        <v/>
      </c>
      <c r="O25" t="str">
        <f>IF(O12="","",COUNTIF(EXP_MATRIX!Q$2:Q$71,O12))</f>
        <v/>
      </c>
      <c r="P25" t="str">
        <f>IF(P12="","",COUNTIF(EXP_MATRIX!R$2:R$71,P12))</f>
        <v/>
      </c>
      <c r="Q25" t="str">
        <f>IF(Q12="","",COUNTIF(EXP_MATRIX!S$2:S$71,Q12))</f>
        <v/>
      </c>
      <c r="R25" t="str">
        <f>IF(R12="","",COUNTIF(EXP_MATRIX!T$2:T$71,R12))</f>
        <v/>
      </c>
      <c r="S25" t="str">
        <f>IF(S12="","",COUNTIF(EXP_MATRIX!U$2:U$71,S12))</f>
        <v/>
      </c>
      <c r="T25" t="str">
        <f>IF(T12="","",COUNTIF(EXP_MATRIX!V$2:V$71,T12))</f>
        <v/>
      </c>
      <c r="U25" t="str">
        <f>IF(U12="","",COUNTIF(EXP_MATRIX!W$2:W$71,U12))</f>
        <v/>
      </c>
      <c r="V25" t="str">
        <f>IF(V12="","",COUNTIF(EXP_MATRIX!X$2:X$71,V12))</f>
        <v/>
      </c>
      <c r="W25" t="str">
        <f>IF(W12="","",COUNTIF(EXP_MATRIX!Y$2:Y$71,W12))</f>
        <v/>
      </c>
      <c r="X25" t="str">
        <f>IF(X12="","",COUNTIF(EXP_MATRIX!Z$2:Z$71,X12))</f>
        <v/>
      </c>
    </row>
    <row r="26" spans="1:24" x14ac:dyDescent="0.25">
      <c r="A26" t="str">
        <f>IF(A13="","",COUNTIF(EXP_MATRIX!C$2:C$71,A13))</f>
        <v/>
      </c>
      <c r="B26" t="str">
        <f>IF(B13="","",COUNTIF(EXP_MATRIX!D$2:D$71,B13))</f>
        <v/>
      </c>
      <c r="C26" t="str">
        <f>IF(C13="","",COUNTIF(EXP_MATRIX!E$2:E$71,C13))</f>
        <v/>
      </c>
      <c r="D26" t="str">
        <f>IF(D13="","",COUNTIF(EXP_MATRIX!F$2:F$71,D13))</f>
        <v/>
      </c>
      <c r="E26" t="str">
        <f>IF(E13="","",COUNTIF(EXP_MATRIX!G$2:G$71,E13))</f>
        <v/>
      </c>
      <c r="F26" t="str">
        <f>IF(F13="","",COUNTIF(EXP_MATRIX!H$2:H$71,F13))</f>
        <v/>
      </c>
      <c r="G26" t="str">
        <f>IF(G13="","",COUNTIF(EXP_MATRIX!I$2:I$71,G13))</f>
        <v/>
      </c>
      <c r="H26" t="str">
        <f>IF(H13="","",COUNTIF(EXP_MATRIX!J$2:J$71,H13))</f>
        <v/>
      </c>
      <c r="I26" t="str">
        <f>IF(I13="","",COUNTIF(EXP_MATRIX!K$2:K$71,I13))</f>
        <v/>
      </c>
      <c r="J26" t="str">
        <f>IF(J13="","",COUNTIF(EXP_MATRIX!L$2:L$71,J13))</f>
        <v/>
      </c>
      <c r="K26" t="str">
        <f>IF(K13="","",COUNTIF(EXP_MATRIX!M$2:M$71,K13))</f>
        <v/>
      </c>
      <c r="L26" t="str">
        <f>IF(L13="","",COUNTIF(EXP_MATRIX!N$2:N$71,L13))</f>
        <v/>
      </c>
      <c r="M26" t="str">
        <f>IF(M13="","",COUNTIF(EXP_MATRIX!O$2:O$71,M13))</f>
        <v/>
      </c>
      <c r="N26" t="str">
        <f>IF(N13="","",COUNTIF(EXP_MATRIX!P$2:P$71,N13))</f>
        <v/>
      </c>
      <c r="O26" t="str">
        <f>IF(O13="","",COUNTIF(EXP_MATRIX!Q$2:Q$71,O13))</f>
        <v/>
      </c>
      <c r="P26" t="str">
        <f>IF(P13="","",COUNTIF(EXP_MATRIX!R$2:R$71,P13))</f>
        <v/>
      </c>
      <c r="Q26" t="str">
        <f>IF(Q13="","",COUNTIF(EXP_MATRIX!S$2:S$71,Q13))</f>
        <v/>
      </c>
      <c r="R26" t="str">
        <f>IF(R13="","",COUNTIF(EXP_MATRIX!T$2:T$71,R13))</f>
        <v/>
      </c>
      <c r="S26" t="str">
        <f>IF(S13="","",COUNTIF(EXP_MATRIX!U$2:U$71,S13))</f>
        <v/>
      </c>
      <c r="T26" t="str">
        <f>IF(T13="","",COUNTIF(EXP_MATRIX!V$2:V$71,T13))</f>
        <v/>
      </c>
      <c r="U26" t="str">
        <f>IF(U13="","",COUNTIF(EXP_MATRIX!W$2:W$71,U13))</f>
        <v/>
      </c>
      <c r="V26" t="str">
        <f>IF(V13="","",COUNTIF(EXP_MATRIX!X$2:X$71,V13))</f>
        <v/>
      </c>
      <c r="W26" t="str">
        <f>IF(W13="","",COUNTIF(EXP_MATRIX!Y$2:Y$71,W13))</f>
        <v/>
      </c>
      <c r="X26" t="str">
        <f>IF(X13="","",COUNTIF(EXP_MATRIX!Z$2:Z$71,X13))</f>
        <v/>
      </c>
    </row>
    <row r="27" spans="1:24" x14ac:dyDescent="0.25">
      <c r="A27" t="str">
        <f>IF(A14="","",COUNTIF(EXP_MATRIX!C$2:C$71,A14))</f>
        <v/>
      </c>
      <c r="B27" t="str">
        <f>IF(B14="","",COUNTIF(EXP_MATRIX!D$2:D$71,B14))</f>
        <v/>
      </c>
      <c r="C27" t="str">
        <f>IF(C14="","",COUNTIF(EXP_MATRIX!E$2:E$71,C14))</f>
        <v/>
      </c>
      <c r="D27" t="str">
        <f>IF(D14="","",COUNTIF(EXP_MATRIX!F$2:F$71,D14))</f>
        <v/>
      </c>
      <c r="E27" t="str">
        <f>IF(E14="","",COUNTIF(EXP_MATRIX!G$2:G$71,E14))</f>
        <v/>
      </c>
      <c r="F27" t="str">
        <f>IF(F14="","",COUNTIF(EXP_MATRIX!H$2:H$71,F14))</f>
        <v/>
      </c>
      <c r="G27" t="str">
        <f>IF(G14="","",COUNTIF(EXP_MATRIX!I$2:I$71,G14))</f>
        <v/>
      </c>
      <c r="H27" t="str">
        <f>IF(H14="","",COUNTIF(EXP_MATRIX!J$2:J$71,H14))</f>
        <v/>
      </c>
      <c r="I27" t="str">
        <f>IF(I14="","",COUNTIF(EXP_MATRIX!K$2:K$71,I14))</f>
        <v/>
      </c>
      <c r="J27" t="str">
        <f>IF(J14="","",COUNTIF(EXP_MATRIX!L$2:L$71,J14))</f>
        <v/>
      </c>
      <c r="K27" t="str">
        <f>IF(K14="","",COUNTIF(EXP_MATRIX!M$2:M$71,K14))</f>
        <v/>
      </c>
      <c r="L27" t="str">
        <f>IF(L14="","",COUNTIF(EXP_MATRIX!N$2:N$71,L14))</f>
        <v/>
      </c>
      <c r="M27" t="str">
        <f>IF(M14="","",COUNTIF(EXP_MATRIX!O$2:O$71,M14))</f>
        <v/>
      </c>
      <c r="N27" t="str">
        <f>IF(N14="","",COUNTIF(EXP_MATRIX!P$2:P$71,N14))</f>
        <v/>
      </c>
      <c r="O27" t="str">
        <f>IF(O14="","",COUNTIF(EXP_MATRIX!Q$2:Q$71,O14))</f>
        <v/>
      </c>
      <c r="P27" t="str">
        <f>IF(P14="","",COUNTIF(EXP_MATRIX!R$2:R$71,P14))</f>
        <v/>
      </c>
      <c r="Q27" t="str">
        <f>IF(Q14="","",COUNTIF(EXP_MATRIX!S$2:S$71,Q14))</f>
        <v/>
      </c>
      <c r="R27" t="str">
        <f>IF(R14="","",COUNTIF(EXP_MATRIX!T$2:T$71,R14))</f>
        <v/>
      </c>
      <c r="S27" t="str">
        <f>IF(S14="","",COUNTIF(EXP_MATRIX!U$2:U$71,S14))</f>
        <v/>
      </c>
      <c r="T27" t="str">
        <f>IF(T14="","",COUNTIF(EXP_MATRIX!V$2:V$71,T14))</f>
        <v/>
      </c>
      <c r="U27" t="str">
        <f>IF(U14="","",COUNTIF(EXP_MATRIX!W$2:W$71,U14))</f>
        <v/>
      </c>
      <c r="V27" t="str">
        <f>IF(V14="","",COUNTIF(EXP_MATRIX!X$2:X$71,V14))</f>
        <v/>
      </c>
      <c r="W27" t="str">
        <f>IF(W14="","",COUNTIF(EXP_MATRIX!Y$2:Y$71,W14))</f>
        <v/>
      </c>
      <c r="X27" t="str">
        <f>IF(X14="","",COUNTIF(EXP_MATRIX!Z$2:Z$71,X14))</f>
        <v/>
      </c>
    </row>
    <row r="28" spans="1:24" x14ac:dyDescent="0.25">
      <c r="A28" t="str">
        <f>IF(A15="","",COUNTIF(EXP_MATRIX!C$2:C$71,A15))</f>
        <v/>
      </c>
      <c r="B28" t="str">
        <f>IF(B15="","",COUNTIF(EXP_MATRIX!D$2:D$71,B15))</f>
        <v/>
      </c>
      <c r="C28" t="str">
        <f>IF(C15="","",COUNTIF(EXP_MATRIX!E$2:E$71,C15))</f>
        <v/>
      </c>
      <c r="D28" t="str">
        <f>IF(D15="","",COUNTIF(EXP_MATRIX!F$2:F$71,D15))</f>
        <v/>
      </c>
      <c r="E28" t="str">
        <f>IF(E15="","",COUNTIF(EXP_MATRIX!G$2:G$71,E15))</f>
        <v/>
      </c>
      <c r="F28" t="str">
        <f>IF(F15="","",COUNTIF(EXP_MATRIX!H$2:H$71,F15))</f>
        <v/>
      </c>
      <c r="G28" t="str">
        <f>IF(G15="","",COUNTIF(EXP_MATRIX!I$2:I$71,G15))</f>
        <v/>
      </c>
      <c r="H28" t="str">
        <f>IF(H15="","",COUNTIF(EXP_MATRIX!J$2:J$71,H15))</f>
        <v/>
      </c>
      <c r="I28" t="str">
        <f>IF(I15="","",COUNTIF(EXP_MATRIX!K$2:K$71,I15))</f>
        <v/>
      </c>
      <c r="J28" t="str">
        <f>IF(J15="","",COUNTIF(EXP_MATRIX!L$2:L$71,J15))</f>
        <v/>
      </c>
      <c r="K28" t="str">
        <f>IF(K15="","",COUNTIF(EXP_MATRIX!M$2:M$71,K15))</f>
        <v/>
      </c>
      <c r="L28" t="str">
        <f>IF(L15="","",COUNTIF(EXP_MATRIX!N$2:N$71,L15))</f>
        <v/>
      </c>
      <c r="M28" t="str">
        <f>IF(M15="","",COUNTIF(EXP_MATRIX!O$2:O$71,M15))</f>
        <v/>
      </c>
      <c r="N28" t="str">
        <f>IF(N15="","",COUNTIF(EXP_MATRIX!P$2:P$71,N15))</f>
        <v/>
      </c>
      <c r="O28" t="str">
        <f>IF(O15="","",COUNTIF(EXP_MATRIX!Q$2:Q$71,O15))</f>
        <v/>
      </c>
      <c r="P28" t="str">
        <f>IF(P15="","",COUNTIF(EXP_MATRIX!R$2:R$71,P15))</f>
        <v/>
      </c>
      <c r="Q28" t="str">
        <f>IF(Q15="","",COUNTIF(EXP_MATRIX!S$2:S$71,Q15))</f>
        <v/>
      </c>
      <c r="R28" t="str">
        <f>IF(R15="","",COUNTIF(EXP_MATRIX!T$2:T$71,R15))</f>
        <v/>
      </c>
      <c r="S28" t="str">
        <f>IF(S15="","",COUNTIF(EXP_MATRIX!U$2:U$71,S15))</f>
        <v/>
      </c>
      <c r="T28" t="str">
        <f>IF(T15="","",COUNTIF(EXP_MATRIX!V$2:V$71,T15))</f>
        <v/>
      </c>
      <c r="U28" t="str">
        <f>IF(U15="","",COUNTIF(EXP_MATRIX!W$2:W$71,U15))</f>
        <v/>
      </c>
      <c r="V28" t="str">
        <f>IF(V15="","",COUNTIF(EXP_MATRIX!X$2:X$71,V15))</f>
        <v/>
      </c>
      <c r="W28" t="str">
        <f>IF(W15="","",COUNTIF(EXP_MATRIX!Y$2:Y$71,W15))</f>
        <v/>
      </c>
      <c r="X28" t="str">
        <f>IF(X15="","",COUNTIF(EXP_MATRIX!Z$2:Z$71,X15))</f>
        <v/>
      </c>
    </row>
  </sheetData>
  <mergeCells count="2">
    <mergeCell ref="G17:L17"/>
    <mergeCell ref="Q17:V17"/>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CCBE8-1672-4C14-8E9D-C9A470818C96}">
  <dimension ref="A1:M71"/>
  <sheetViews>
    <sheetView zoomScaleNormal="100" workbookViewId="0"/>
  </sheetViews>
  <sheetFormatPr baseColWidth="10" defaultRowHeight="15" x14ac:dyDescent="0.25"/>
  <cols>
    <col min="1" max="1" width="3" bestFit="1" customWidth="1"/>
    <col min="3" max="3" width="55.5703125" customWidth="1"/>
    <col min="7" max="7" width="12.7109375" bestFit="1" customWidth="1"/>
    <col min="10" max="10" width="15.85546875" customWidth="1"/>
  </cols>
  <sheetData>
    <row r="1" spans="1:13" x14ac:dyDescent="0.25">
      <c r="A1" t="str">
        <f>IF(MODEL_MATRIX!A1="","",MODEL_MATRIX!A1)</f>
        <v/>
      </c>
      <c r="B1" s="10" t="str">
        <f>IF(MODEL_MATRIX!B1="","",MODEL_MATRIX!B1)</f>
        <v>Y</v>
      </c>
      <c r="C1" t="s">
        <v>58</v>
      </c>
      <c r="D1" t="s">
        <v>60</v>
      </c>
      <c r="E1" t="s">
        <v>63</v>
      </c>
      <c r="G1" t="s">
        <v>64</v>
      </c>
      <c r="J1" t="s">
        <v>59</v>
      </c>
      <c r="K1" t="s">
        <v>60</v>
      </c>
      <c r="L1" t="s">
        <v>61</v>
      </c>
      <c r="M1" t="s">
        <v>65</v>
      </c>
    </row>
    <row r="2" spans="1:13" x14ac:dyDescent="0.25">
      <c r="A2">
        <f>IF(MODEL_MATRIX!A2="","",MODEL_MATRIX!A2)</f>
        <v>1</v>
      </c>
      <c r="B2" s="9">
        <f>IF(MODEL_MATRIX!B2="","",MODEL_MATRIX!B2)</f>
        <v>4.2919815187500001</v>
      </c>
      <c r="C2" s="1" t="str">
        <f>_xlfn.CONCAT(EXP_MATRIX!C2:Z2)</f>
        <v>-1-1-1-1-1-1-1-1-1</v>
      </c>
      <c r="D2">
        <f>VLOOKUP(C2,$J$2:$K$71,2,0)</f>
        <v>4.2919815187500001</v>
      </c>
      <c r="E2">
        <f>IF(B2="","",(B2-D2)^2)</f>
        <v>0</v>
      </c>
      <c r="G2">
        <f>SUM(E2:E71)</f>
        <v>0</v>
      </c>
      <c r="J2" s="1" t="str" cm="1">
        <f t="array" ref="J2:J34">_xlfn.UNIQUE(C2:C71)</f>
        <v>-1-1-1-1-1-1-1-1-1</v>
      </c>
      <c r="K2">
        <f t="array" ref="K2">IF(J2="","",AVERAGE(IF($C$2:$C$71=J2,$B$2:$B$71,"")))</f>
        <v>4.2919815187500001</v>
      </c>
      <c r="L2">
        <f t="array" ref="L2">IF(J2="","",COUNT(IF($C$2:$C$71=J2,$B$2:$B$71,"")))</f>
        <v>1</v>
      </c>
      <c r="M2">
        <f>IF(L2="","",L2-1)</f>
        <v>0</v>
      </c>
    </row>
    <row r="3" spans="1:13" x14ac:dyDescent="0.25">
      <c r="A3">
        <f>IF(MODEL_MATRIX!A3="","",MODEL_MATRIX!A3)</f>
        <v>2</v>
      </c>
      <c r="B3" s="1">
        <f>IF(MODEL_MATRIX!B3="","",MODEL_MATRIX!B3)</f>
        <v>4.00793976875</v>
      </c>
      <c r="C3" s="1" t="str">
        <f>_xlfn.CONCAT(EXP_MATRIX!C3:Z3)</f>
        <v>1-1-1-1-111-1-1</v>
      </c>
      <c r="D3">
        <f t="shared" ref="D3:D66" si="0">VLOOKUP(C3,$J$2:$K$71,2,0)</f>
        <v>4.00793976875</v>
      </c>
      <c r="E3">
        <f t="shared" ref="E3:E66" si="1">IF(B3="","",(B3-D3)^2)</f>
        <v>0</v>
      </c>
      <c r="J3" s="1" t="str">
        <v>1-1-1-1-111-1-1</v>
      </c>
      <c r="K3">
        <f t="array" ref="K3">IF(J3="","",AVERAGE(IF($C$2:$C$71=J3,$B$2:$B$71,"")))</f>
        <v>4.00793976875</v>
      </c>
      <c r="L3">
        <f t="array" ref="L3">IF(J3="","",COUNT(IF($C$2:$C$71=J3,$B$2:$B$71,"")))</f>
        <v>1</v>
      </c>
      <c r="M3">
        <f t="shared" ref="M3:M66" si="2">IF(L3="","",L3-1)</f>
        <v>0</v>
      </c>
    </row>
    <row r="4" spans="1:13" x14ac:dyDescent="0.25">
      <c r="A4">
        <f>IF(MODEL_MATRIX!A4="","",MODEL_MATRIX!A4)</f>
        <v>3</v>
      </c>
      <c r="B4" s="1">
        <f>IF(MODEL_MATRIX!B4="","",MODEL_MATRIX!B4)</f>
        <v>5.1804760187500003</v>
      </c>
      <c r="C4" s="1" t="str">
        <f>_xlfn.CONCAT(EXP_MATRIX!C4:Z4)</f>
        <v>-11-1-1-1111-1</v>
      </c>
      <c r="D4">
        <f t="shared" si="0"/>
        <v>5.1804760187500003</v>
      </c>
      <c r="E4">
        <f t="shared" si="1"/>
        <v>0</v>
      </c>
      <c r="G4" t="s">
        <v>68</v>
      </c>
      <c r="J4" s="1" t="str">
        <v>-11-1-1-1111-1</v>
      </c>
      <c r="K4">
        <f t="array" ref="K4">IF(J4="","",AVERAGE(IF($C$2:$C$71=J4,$B$2:$B$71,"")))</f>
        <v>5.1804760187500003</v>
      </c>
      <c r="L4">
        <f t="array" ref="L4">IF(J4="","",COUNT(IF($C$2:$C$71=J4,$B$2:$B$71,"")))</f>
        <v>1</v>
      </c>
      <c r="M4">
        <f t="shared" si="2"/>
        <v>0</v>
      </c>
    </row>
    <row r="5" spans="1:13" x14ac:dyDescent="0.25">
      <c r="A5">
        <f>IF(MODEL_MATRIX!A5="","",MODEL_MATRIX!A5)</f>
        <v>4</v>
      </c>
      <c r="B5" s="1">
        <f>IF(MODEL_MATRIX!B5="","",MODEL_MATRIX!B5)</f>
        <v>4.6917005187500003</v>
      </c>
      <c r="C5" s="1" t="str">
        <f>_xlfn.CONCAT(EXP_MATRIX!C5:Z5)</f>
        <v>11-1-1-1-1-11-1</v>
      </c>
      <c r="D5">
        <f t="shared" si="0"/>
        <v>4.6917005187500003</v>
      </c>
      <c r="E5">
        <f t="shared" si="1"/>
        <v>0</v>
      </c>
      <c r="G5">
        <f>SUM(M2:M71)</f>
        <v>0</v>
      </c>
      <c r="J5" s="1" t="str">
        <v>11-1-1-1-1-11-1</v>
      </c>
      <c r="K5">
        <f t="array" ref="K5">IF(J5="","",AVERAGE(IF($C$2:$C$71=J5,$B$2:$B$71,"")))</f>
        <v>4.6917005187500003</v>
      </c>
      <c r="L5">
        <f t="array" ref="L5">IF(J5="","",COUNT(IF($C$2:$C$71=J5,$B$2:$B$71,"")))</f>
        <v>1</v>
      </c>
      <c r="M5">
        <f t="shared" si="2"/>
        <v>0</v>
      </c>
    </row>
    <row r="6" spans="1:13" x14ac:dyDescent="0.25">
      <c r="A6">
        <f>IF(MODEL_MATRIX!A6="","",MODEL_MATRIX!A6)</f>
        <v>5</v>
      </c>
      <c r="B6" s="1">
        <f>IF(MODEL_MATRIX!B6="","",MODEL_MATRIX!B6)</f>
        <v>8.5331880187499998</v>
      </c>
      <c r="C6" s="1" t="str">
        <f>_xlfn.CONCAT(EXP_MATRIX!C6:Z6)</f>
        <v>-1-11-1-11-11-1</v>
      </c>
      <c r="D6">
        <f t="shared" si="0"/>
        <v>8.5331880187499998</v>
      </c>
      <c r="E6">
        <f t="shared" si="1"/>
        <v>0</v>
      </c>
      <c r="J6" s="1" t="str">
        <v>-1-11-1-11-11-1</v>
      </c>
      <c r="K6">
        <f t="array" ref="K6">IF(J6="","",AVERAGE(IF($C$2:$C$71=J6,$B$2:$B$71,"")))</f>
        <v>8.5331880187499998</v>
      </c>
      <c r="L6">
        <f t="array" ref="L6">IF(J6="","",COUNT(IF($C$2:$C$71=J6,$B$2:$B$71,"")))</f>
        <v>1</v>
      </c>
      <c r="M6">
        <f t="shared" si="2"/>
        <v>0</v>
      </c>
    </row>
    <row r="7" spans="1:13" x14ac:dyDescent="0.25">
      <c r="A7">
        <f>IF(MODEL_MATRIX!A7="","",MODEL_MATRIX!A7)</f>
        <v>6</v>
      </c>
      <c r="B7" s="1">
        <f>IF(MODEL_MATRIX!B7="","",MODEL_MATRIX!B7)</f>
        <v>4.3121690187499997</v>
      </c>
      <c r="C7" s="1" t="str">
        <f>_xlfn.CONCAT(EXP_MATRIX!C7:Z7)</f>
        <v>1-11-1-1-111-1</v>
      </c>
      <c r="D7">
        <f t="shared" si="0"/>
        <v>4.3121690187499997</v>
      </c>
      <c r="E7">
        <f t="shared" si="1"/>
        <v>0</v>
      </c>
      <c r="G7" t="s">
        <v>87</v>
      </c>
      <c r="J7" s="1" t="str">
        <v>1-11-1-1-111-1</v>
      </c>
      <c r="K7">
        <f t="array" ref="K7">IF(J7="","",AVERAGE(IF($C$2:$C$71=J7,$B$2:$B$71,"")))</f>
        <v>4.3121690187499997</v>
      </c>
      <c r="L7">
        <f t="array" ref="L7">IF(J7="","",COUNT(IF($C$2:$C$71=J7,$B$2:$B$71,"")))</f>
        <v>1</v>
      </c>
      <c r="M7">
        <f t="shared" si="2"/>
        <v>0</v>
      </c>
    </row>
    <row r="8" spans="1:13" x14ac:dyDescent="0.25">
      <c r="A8">
        <f>IF(MODEL_MATRIX!A8="","",MODEL_MATRIX!A8)</f>
        <v>7</v>
      </c>
      <c r="B8" s="1">
        <f>IF(MODEL_MATRIX!B8="","",MODEL_MATRIX!B8)</f>
        <v>8.3170460187500002</v>
      </c>
      <c r="C8" s="1" t="str">
        <f>_xlfn.CONCAT(EXP_MATRIX!C8:Z8)</f>
        <v>-111-1-1-11-1-1</v>
      </c>
      <c r="D8">
        <f t="shared" si="0"/>
        <v>8.3170460187500002</v>
      </c>
      <c r="E8">
        <f t="shared" si="1"/>
        <v>0</v>
      </c>
      <c r="G8" t="b">
        <f>COUNT(L2:L71)=COUNTIF(L2:L71,L2)</f>
        <v>1</v>
      </c>
      <c r="J8" s="1" t="str">
        <v>-111-1-1-11-1-1</v>
      </c>
      <c r="K8">
        <f t="array" ref="K8">IF(J8="","",AVERAGE(IF($C$2:$C$71=J8,$B$2:$B$71,"")))</f>
        <v>8.3170460187500002</v>
      </c>
      <c r="L8">
        <f t="array" ref="L8">IF(J8="","",COUNT(IF($C$2:$C$71=J8,$B$2:$B$71,"")))</f>
        <v>1</v>
      </c>
      <c r="M8">
        <f t="shared" si="2"/>
        <v>0</v>
      </c>
    </row>
    <row r="9" spans="1:13" x14ac:dyDescent="0.25">
      <c r="A9">
        <f>IF(MODEL_MATRIX!A9="","",MODEL_MATRIX!A9)</f>
        <v>8</v>
      </c>
      <c r="B9" s="1">
        <f>IF(MODEL_MATRIX!B9="","",MODEL_MATRIX!B9)</f>
        <v>4.2429670187499999</v>
      </c>
      <c r="C9" s="1" t="str">
        <f>_xlfn.CONCAT(EXP_MATRIX!C9:Z9)</f>
        <v>111-1-11-1-1-1</v>
      </c>
      <c r="D9">
        <f t="shared" si="0"/>
        <v>4.2429670187499999</v>
      </c>
      <c r="E9">
        <f t="shared" si="1"/>
        <v>0</v>
      </c>
      <c r="J9" s="1" t="str">
        <v>111-1-11-1-1-1</v>
      </c>
      <c r="K9">
        <f t="array" ref="K9">IF(J9="","",AVERAGE(IF($C$2:$C$71=J9,$B$2:$B$71,"")))</f>
        <v>4.2429670187499999</v>
      </c>
      <c r="L9">
        <f t="array" ref="L9">IF(J9="","",COUNT(IF($C$2:$C$71=J9,$B$2:$B$71,"")))</f>
        <v>1</v>
      </c>
      <c r="M9">
        <f t="shared" si="2"/>
        <v>0</v>
      </c>
    </row>
    <row r="10" spans="1:13" x14ac:dyDescent="0.25">
      <c r="A10">
        <f>IF(MODEL_MATRIX!A10="","",MODEL_MATRIX!A10)</f>
        <v>9</v>
      </c>
      <c r="B10" s="1">
        <f>IF(MODEL_MATRIX!B10="","",MODEL_MATRIX!B10)</f>
        <v>4.7379400187499998</v>
      </c>
      <c r="C10" s="1" t="str">
        <f>_xlfn.CONCAT(EXP_MATRIX!C10:Z10)</f>
        <v>-1-1-11-1-1111</v>
      </c>
      <c r="D10">
        <f t="shared" si="0"/>
        <v>4.7379400187499998</v>
      </c>
      <c r="E10">
        <f t="shared" si="1"/>
        <v>0</v>
      </c>
      <c r="J10" s="1" t="str">
        <v>-1-1-11-1-1111</v>
      </c>
      <c r="K10">
        <f t="array" ref="K10">IF(J10="","",AVERAGE(IF($C$2:$C$71=J10,$B$2:$B$71,"")))</f>
        <v>4.7379400187499998</v>
      </c>
      <c r="L10">
        <f t="array" ref="L10">IF(J10="","",COUNT(IF($C$2:$C$71=J10,$B$2:$B$71,"")))</f>
        <v>1</v>
      </c>
      <c r="M10">
        <f t="shared" si="2"/>
        <v>0</v>
      </c>
    </row>
    <row r="11" spans="1:13" x14ac:dyDescent="0.25">
      <c r="A11">
        <f>IF(MODEL_MATRIX!A11="","",MODEL_MATRIX!A11)</f>
        <v>10</v>
      </c>
      <c r="B11" s="1">
        <f>IF(MODEL_MATRIX!B11="","",MODEL_MATRIX!B11)</f>
        <v>3.8313652687499999</v>
      </c>
      <c r="C11" s="1" t="str">
        <f>_xlfn.CONCAT(EXP_MATRIX!C11:Z11)</f>
        <v>1-1-11-11-111</v>
      </c>
      <c r="D11">
        <f t="shared" si="0"/>
        <v>3.8313652687499999</v>
      </c>
      <c r="E11">
        <f t="shared" si="1"/>
        <v>0</v>
      </c>
      <c r="J11" s="1" t="str">
        <v>1-1-11-11-111</v>
      </c>
      <c r="K11">
        <f t="array" ref="K11">IF(J11="","",AVERAGE(IF($C$2:$C$71=J11,$B$2:$B$71,"")))</f>
        <v>3.8313652687499999</v>
      </c>
      <c r="L11">
        <f t="array" ref="L11">IF(J11="","",COUNT(IF($C$2:$C$71=J11,$B$2:$B$71,"")))</f>
        <v>1</v>
      </c>
      <c r="M11">
        <f t="shared" si="2"/>
        <v>0</v>
      </c>
    </row>
    <row r="12" spans="1:13" x14ac:dyDescent="0.25">
      <c r="A12">
        <f>IF(MODEL_MATRIX!A12="","",MODEL_MATRIX!A12)</f>
        <v>11</v>
      </c>
      <c r="B12" s="1">
        <f>IF(MODEL_MATRIX!B12="","",MODEL_MATRIX!B12)</f>
        <v>5.4280640187499998</v>
      </c>
      <c r="C12" s="1" t="str">
        <f>_xlfn.CONCAT(EXP_MATRIX!C12:Z12)</f>
        <v>-11-11-11-1-11</v>
      </c>
      <c r="D12">
        <f t="shared" si="0"/>
        <v>5.4280640187499998</v>
      </c>
      <c r="E12">
        <f t="shared" si="1"/>
        <v>0</v>
      </c>
      <c r="J12" s="1" t="str">
        <v>-11-11-11-1-11</v>
      </c>
      <c r="K12">
        <f t="array" ref="K12">IF(J12="","",AVERAGE(IF($C$2:$C$71=J12,$B$2:$B$71,"")))</f>
        <v>5.4280640187499998</v>
      </c>
      <c r="L12">
        <f t="array" ref="L12">IF(J12="","",COUNT(IF($C$2:$C$71=J12,$B$2:$B$71,"")))</f>
        <v>1</v>
      </c>
      <c r="M12">
        <f t="shared" si="2"/>
        <v>0</v>
      </c>
    </row>
    <row r="13" spans="1:13" x14ac:dyDescent="0.25">
      <c r="A13">
        <f>IF(MODEL_MATRIX!A13="","",MODEL_MATRIX!A13)</f>
        <v>12</v>
      </c>
      <c r="B13" s="1">
        <f>IF(MODEL_MATRIX!B13="","",MODEL_MATRIX!B13)</f>
        <v>4.8226030187499997</v>
      </c>
      <c r="C13" s="1" t="str">
        <f>_xlfn.CONCAT(EXP_MATRIX!C13:Z13)</f>
        <v>11-11-1-11-1-1</v>
      </c>
      <c r="D13">
        <f t="shared" si="0"/>
        <v>4.8226030187499997</v>
      </c>
      <c r="E13">
        <f t="shared" si="1"/>
        <v>0</v>
      </c>
      <c r="J13" s="1" t="str">
        <v>11-11-1-11-1-1</v>
      </c>
      <c r="K13">
        <f t="array" ref="K13">IF(J13="","",AVERAGE(IF($C$2:$C$71=J13,$B$2:$B$71,"")))</f>
        <v>4.8226030187499997</v>
      </c>
      <c r="L13">
        <f t="array" ref="L13">IF(J13="","",COUNT(IF($C$2:$C$71=J13,$B$2:$B$71,"")))</f>
        <v>1</v>
      </c>
      <c r="M13">
        <f t="shared" si="2"/>
        <v>0</v>
      </c>
    </row>
    <row r="14" spans="1:13" x14ac:dyDescent="0.25">
      <c r="A14">
        <f>IF(MODEL_MATRIX!A14="","",MODEL_MATRIX!A14)</f>
        <v>13</v>
      </c>
      <c r="B14" s="1">
        <f>IF(MODEL_MATRIX!B14="","",MODEL_MATRIX!B14)</f>
        <v>7.74115001875</v>
      </c>
      <c r="C14" s="1" t="str">
        <f>_xlfn.CONCAT(EXP_MATRIX!C14:Z14)</f>
        <v>-1-111-111-1-1</v>
      </c>
      <c r="D14">
        <f t="shared" si="0"/>
        <v>7.74115001875</v>
      </c>
      <c r="E14">
        <f t="shared" si="1"/>
        <v>0</v>
      </c>
      <c r="J14" s="1" t="str">
        <v>-1-111-111-1-1</v>
      </c>
      <c r="K14">
        <f t="array" ref="K14">IF(J14="","",AVERAGE(IF($C$2:$C$71=J14,$B$2:$B$71,"")))</f>
        <v>7.74115001875</v>
      </c>
      <c r="L14">
        <f t="array" ref="L14">IF(J14="","",COUNT(IF($C$2:$C$71=J14,$B$2:$B$71,"")))</f>
        <v>1</v>
      </c>
      <c r="M14">
        <f t="shared" si="2"/>
        <v>0</v>
      </c>
    </row>
    <row r="15" spans="1:13" x14ac:dyDescent="0.25">
      <c r="A15">
        <f>IF(MODEL_MATRIX!A15="","",MODEL_MATRIX!A15)</f>
        <v>14</v>
      </c>
      <c r="B15" s="1">
        <f>IF(MODEL_MATRIX!B15="","",MODEL_MATRIX!B15)</f>
        <v>5.2487835187499998</v>
      </c>
      <c r="C15" s="1" t="str">
        <f>_xlfn.CONCAT(EXP_MATRIX!C15:Z15)</f>
        <v>1-111-1-1-1-1-1</v>
      </c>
      <c r="D15">
        <f t="shared" si="0"/>
        <v>5.2487835187499998</v>
      </c>
      <c r="E15">
        <f t="shared" si="1"/>
        <v>0</v>
      </c>
      <c r="J15" s="1" t="str">
        <v>1-111-1-1-1-1-1</v>
      </c>
      <c r="K15">
        <f t="array" ref="K15">IF(J15="","",AVERAGE(IF($C$2:$C$71=J15,$B$2:$B$71,"")))</f>
        <v>5.2487835187499998</v>
      </c>
      <c r="L15">
        <f t="array" ref="L15">IF(J15="","",COUNT(IF($C$2:$C$71=J15,$B$2:$B$71,"")))</f>
        <v>1</v>
      </c>
      <c r="M15">
        <f t="shared" si="2"/>
        <v>0</v>
      </c>
    </row>
    <row r="16" spans="1:13" x14ac:dyDescent="0.25">
      <c r="A16">
        <f>IF(MODEL_MATRIX!A16="","",MODEL_MATRIX!A16)</f>
        <v>15</v>
      </c>
      <c r="B16" s="1">
        <f>IF(MODEL_MATRIX!B16="","",MODEL_MATRIX!B16)</f>
        <v>7.0982790187499996</v>
      </c>
      <c r="C16" s="1" t="str">
        <f>_xlfn.CONCAT(EXP_MATRIX!C16:Z16)</f>
        <v>-1111-1-1-11-1</v>
      </c>
      <c r="D16">
        <f t="shared" si="0"/>
        <v>7.0982790187499996</v>
      </c>
      <c r="E16">
        <f t="shared" si="1"/>
        <v>0</v>
      </c>
      <c r="J16" s="1" t="str">
        <v>-1111-1-1-11-1</v>
      </c>
      <c r="K16">
        <f t="array" ref="K16">IF(J16="","",AVERAGE(IF($C$2:$C$71=J16,$B$2:$B$71,"")))</f>
        <v>7.0982790187499996</v>
      </c>
      <c r="L16">
        <f t="array" ref="L16">IF(J16="","",COUNT(IF($C$2:$C$71=J16,$B$2:$B$71,"")))</f>
        <v>1</v>
      </c>
      <c r="M16">
        <f t="shared" si="2"/>
        <v>0</v>
      </c>
    </row>
    <row r="17" spans="1:13" x14ac:dyDescent="0.25">
      <c r="A17">
        <f>IF(MODEL_MATRIX!A17="","",MODEL_MATRIX!A17)</f>
        <v>16</v>
      </c>
      <c r="B17" s="1">
        <f>IF(MODEL_MATRIX!B17="","",MODEL_MATRIX!B17)</f>
        <v>5.84936901875</v>
      </c>
      <c r="C17" s="1" t="str">
        <f>_xlfn.CONCAT(EXP_MATRIX!C17:Z17)</f>
        <v>1111-1111-1</v>
      </c>
      <c r="D17">
        <f t="shared" si="0"/>
        <v>5.84936901875</v>
      </c>
      <c r="E17">
        <f t="shared" si="1"/>
        <v>0</v>
      </c>
      <c r="J17" s="1" t="str">
        <v>1111-1111-1</v>
      </c>
      <c r="K17">
        <f t="array" ref="K17">IF(J17="","",AVERAGE(IF($C$2:$C$71=J17,$B$2:$B$71,"")))</f>
        <v>5.84936901875</v>
      </c>
      <c r="L17">
        <f t="array" ref="L17">IF(J17="","",COUNT(IF($C$2:$C$71=J17,$B$2:$B$71,"")))</f>
        <v>1</v>
      </c>
      <c r="M17">
        <f t="shared" si="2"/>
        <v>0</v>
      </c>
    </row>
    <row r="18" spans="1:13" x14ac:dyDescent="0.25">
      <c r="A18">
        <f>IF(MODEL_MATRIX!A18="","",MODEL_MATRIX!A18)</f>
        <v>17</v>
      </c>
      <c r="B18" s="1">
        <f>IF(MODEL_MATRIX!B18="","",MODEL_MATRIX!B18)</f>
        <v>4.5330400187500004</v>
      </c>
      <c r="C18" s="1" t="str">
        <f>_xlfn.CONCAT(EXP_MATRIX!C18:Z18)</f>
        <v>-1-1-1-11-1-11-1</v>
      </c>
      <c r="D18">
        <f t="shared" si="0"/>
        <v>4.5330400187500004</v>
      </c>
      <c r="E18">
        <f t="shared" si="1"/>
        <v>0</v>
      </c>
      <c r="J18" s="1" t="str">
        <v>-1-1-1-11-1-11-1</v>
      </c>
      <c r="K18">
        <f t="array" ref="K18">IF(J18="","",AVERAGE(IF($C$2:$C$71=J18,$B$2:$B$71,"")))</f>
        <v>4.5330400187500004</v>
      </c>
      <c r="L18">
        <f t="array" ref="L18">IF(J18="","",COUNT(IF($C$2:$C$71=J18,$B$2:$B$71,"")))</f>
        <v>1</v>
      </c>
      <c r="M18">
        <f t="shared" si="2"/>
        <v>0</v>
      </c>
    </row>
    <row r="19" spans="1:13" x14ac:dyDescent="0.25">
      <c r="A19">
        <f>IF(MODEL_MATRIX!A19="","",MODEL_MATRIX!A19)</f>
        <v>18</v>
      </c>
      <c r="B19" s="1">
        <f>IF(MODEL_MATRIX!B19="","",MODEL_MATRIX!B19)</f>
        <v>5.7342475187500002</v>
      </c>
      <c r="C19" s="1" t="str">
        <f>_xlfn.CONCAT(EXP_MATRIX!C19:Z19)</f>
        <v>1-1-1-11111-1</v>
      </c>
      <c r="D19">
        <f t="shared" si="0"/>
        <v>5.7342475187500002</v>
      </c>
      <c r="E19">
        <f t="shared" si="1"/>
        <v>0</v>
      </c>
      <c r="J19" s="1" t="str">
        <v>1-1-1-11111-1</v>
      </c>
      <c r="K19">
        <f t="array" ref="K19">IF(J19="","",AVERAGE(IF($C$2:$C$71=J19,$B$2:$B$71,"")))</f>
        <v>5.7342475187500002</v>
      </c>
      <c r="L19">
        <f t="array" ref="L19">IF(J19="","",COUNT(IF($C$2:$C$71=J19,$B$2:$B$71,"")))</f>
        <v>1</v>
      </c>
      <c r="M19">
        <f t="shared" si="2"/>
        <v>0</v>
      </c>
    </row>
    <row r="20" spans="1:13" x14ac:dyDescent="0.25">
      <c r="A20">
        <f>IF(MODEL_MATRIX!A20="","",MODEL_MATRIX!A20)</f>
        <v>19</v>
      </c>
      <c r="B20" s="1">
        <f>IF(MODEL_MATRIX!B20="","",MODEL_MATRIX!B20)</f>
        <v>5.8781730187500001</v>
      </c>
      <c r="C20" s="1" t="str">
        <f>_xlfn.CONCAT(EXP_MATRIX!C20:Z20)</f>
        <v>-11-1-1111-1-1</v>
      </c>
      <c r="D20">
        <f t="shared" si="0"/>
        <v>5.8781730187500001</v>
      </c>
      <c r="E20">
        <f t="shared" si="1"/>
        <v>0</v>
      </c>
      <c r="J20" s="1" t="str">
        <v>-11-1-1111-1-1</v>
      </c>
      <c r="K20">
        <f t="array" ref="K20">IF(J20="","",AVERAGE(IF($C$2:$C$71=J20,$B$2:$B$71,"")))</f>
        <v>5.8781730187500001</v>
      </c>
      <c r="L20">
        <f t="array" ref="L20">IF(J20="","",COUNT(IF($C$2:$C$71=J20,$B$2:$B$71,"")))</f>
        <v>1</v>
      </c>
      <c r="M20">
        <f t="shared" si="2"/>
        <v>0</v>
      </c>
    </row>
    <row r="21" spans="1:13" x14ac:dyDescent="0.25">
      <c r="A21">
        <f>IF(MODEL_MATRIX!A21="","",MODEL_MATRIX!A21)</f>
        <v>20</v>
      </c>
      <c r="B21" s="1">
        <f>IF(MODEL_MATRIX!B21="","",MODEL_MATRIX!B21)</f>
        <v>5.2625435187500003</v>
      </c>
      <c r="C21" s="1" t="str">
        <f>_xlfn.CONCAT(EXP_MATRIX!C21:Z21)</f>
        <v>11-1-11-1-1-1-1</v>
      </c>
      <c r="D21">
        <f t="shared" si="0"/>
        <v>5.2625435187500003</v>
      </c>
      <c r="E21">
        <f t="shared" si="1"/>
        <v>0</v>
      </c>
      <c r="J21" s="1" t="str">
        <v>11-1-11-1-1-1-1</v>
      </c>
      <c r="K21">
        <f t="array" ref="K21">IF(J21="","",AVERAGE(IF($C$2:$C$71=J21,$B$2:$B$71,"")))</f>
        <v>5.2625435187500003</v>
      </c>
      <c r="L21">
        <f t="array" ref="L21">IF(J21="","",COUNT(IF($C$2:$C$71=J21,$B$2:$B$71,"")))</f>
        <v>1</v>
      </c>
      <c r="M21">
        <f t="shared" si="2"/>
        <v>0</v>
      </c>
    </row>
    <row r="22" spans="1:13" x14ac:dyDescent="0.25">
      <c r="A22">
        <f>IF(MODEL_MATRIX!A22="","",MODEL_MATRIX!A22)</f>
        <v>21</v>
      </c>
      <c r="B22" s="1">
        <f>IF(MODEL_MATRIX!B22="","",MODEL_MATRIX!B22)</f>
        <v>6.6597015187500004</v>
      </c>
      <c r="C22" s="1" t="str">
        <f>_xlfn.CONCAT(EXP_MATRIX!C22:Z22)</f>
        <v>-1-11-111-1-1-1</v>
      </c>
      <c r="D22">
        <f t="shared" si="0"/>
        <v>6.6597015187500004</v>
      </c>
      <c r="E22">
        <f t="shared" si="1"/>
        <v>0</v>
      </c>
      <c r="J22" s="1" t="str">
        <v>-1-11-111-1-1-1</v>
      </c>
      <c r="K22">
        <f t="array" ref="K22">IF(J22="","",AVERAGE(IF($C$2:$C$71=J22,$B$2:$B$71,"")))</f>
        <v>6.6597015187500004</v>
      </c>
      <c r="L22">
        <f t="array" ref="L22">IF(J22="","",COUNT(IF($C$2:$C$71=J22,$B$2:$B$71,"")))</f>
        <v>1</v>
      </c>
      <c r="M22">
        <f t="shared" si="2"/>
        <v>0</v>
      </c>
    </row>
    <row r="23" spans="1:13" x14ac:dyDescent="0.25">
      <c r="A23">
        <f>IF(MODEL_MATRIX!A23="","",MODEL_MATRIX!A23)</f>
        <v>22</v>
      </c>
      <c r="B23" s="1">
        <f>IF(MODEL_MATRIX!B23="","",MODEL_MATRIX!B23)</f>
        <v>8.10153251875</v>
      </c>
      <c r="C23" s="1" t="str">
        <f>_xlfn.CONCAT(EXP_MATRIX!C23:Z23)</f>
        <v>1-11-11-11-1-1</v>
      </c>
      <c r="D23">
        <f t="shared" si="0"/>
        <v>8.10153251875</v>
      </c>
      <c r="E23">
        <f t="shared" si="1"/>
        <v>0</v>
      </c>
      <c r="J23" s="1" t="str">
        <v>1-11-11-11-1-1</v>
      </c>
      <c r="K23">
        <f t="array" ref="K23">IF(J23="","",AVERAGE(IF($C$2:$C$71=J23,$B$2:$B$71,"")))</f>
        <v>8.10153251875</v>
      </c>
      <c r="L23">
        <f t="array" ref="L23">IF(J23="","",COUNT(IF($C$2:$C$71=J23,$B$2:$B$71,"")))</f>
        <v>1</v>
      </c>
      <c r="M23">
        <f t="shared" si="2"/>
        <v>0</v>
      </c>
    </row>
    <row r="24" spans="1:13" x14ac:dyDescent="0.25">
      <c r="A24">
        <f>IF(MODEL_MATRIX!A24="","",MODEL_MATRIX!A24)</f>
        <v>23</v>
      </c>
      <c r="B24" s="1">
        <f>IF(MODEL_MATRIX!B24="","",MODEL_MATRIX!B24)</f>
        <v>8.9268260187500008</v>
      </c>
      <c r="C24" s="1" t="str">
        <f>_xlfn.CONCAT(EXP_MATRIX!C24:Z24)</f>
        <v>-111-11-1111</v>
      </c>
      <c r="D24">
        <f t="shared" si="0"/>
        <v>8.9268260187500008</v>
      </c>
      <c r="E24">
        <f t="shared" si="1"/>
        <v>0</v>
      </c>
      <c r="J24" s="1" t="str">
        <v>-111-11-1111</v>
      </c>
      <c r="K24">
        <f t="array" ref="K24">IF(J24="","",AVERAGE(IF($C$2:$C$71=J24,$B$2:$B$71,"")))</f>
        <v>8.9268260187500008</v>
      </c>
      <c r="L24">
        <f t="array" ref="L24">IF(J24="","",COUNT(IF($C$2:$C$71=J24,$B$2:$B$71,"")))</f>
        <v>1</v>
      </c>
      <c r="M24">
        <f t="shared" si="2"/>
        <v>0</v>
      </c>
    </row>
    <row r="25" spans="1:13" x14ac:dyDescent="0.25">
      <c r="A25">
        <f>IF(MODEL_MATRIX!A25="","",MODEL_MATRIX!A25)</f>
        <v>24</v>
      </c>
      <c r="B25" s="1">
        <f>IF(MODEL_MATRIX!B25="","",MODEL_MATRIX!B25)</f>
        <v>7.0592920187499999</v>
      </c>
      <c r="C25" s="1" t="str">
        <f>_xlfn.CONCAT(EXP_MATRIX!C25:Z25)</f>
        <v>111-111-11-1</v>
      </c>
      <c r="D25">
        <f t="shared" si="0"/>
        <v>7.0592920187499999</v>
      </c>
      <c r="E25">
        <f t="shared" si="1"/>
        <v>0</v>
      </c>
      <c r="J25" s="1" t="str">
        <v>111-111-11-1</v>
      </c>
      <c r="K25">
        <f t="array" ref="K25">IF(J25="","",AVERAGE(IF($C$2:$C$71=J25,$B$2:$B$71,"")))</f>
        <v>7.0592920187499999</v>
      </c>
      <c r="L25">
        <f t="array" ref="L25">IF(J25="","",COUNT(IF($C$2:$C$71=J25,$B$2:$B$71,"")))</f>
        <v>1</v>
      </c>
      <c r="M25">
        <f t="shared" si="2"/>
        <v>0</v>
      </c>
    </row>
    <row r="26" spans="1:13" x14ac:dyDescent="0.25">
      <c r="A26">
        <f>IF(MODEL_MATRIX!A26="","",MODEL_MATRIX!A26)</f>
        <v>25</v>
      </c>
      <c r="B26" s="1">
        <f>IF(MODEL_MATRIX!B26="","",MODEL_MATRIX!B26)</f>
        <v>4.4412020187500003</v>
      </c>
      <c r="C26" s="1" t="str">
        <f>_xlfn.CONCAT(EXP_MATRIX!C26:Z26)</f>
        <v>-1-1-111-11-1-1</v>
      </c>
      <c r="D26">
        <f t="shared" si="0"/>
        <v>4.4412020187500003</v>
      </c>
      <c r="E26">
        <f t="shared" si="1"/>
        <v>0</v>
      </c>
      <c r="J26" s="1" t="str">
        <v>-1-1-111-11-1-1</v>
      </c>
      <c r="K26">
        <f t="array" ref="K26">IF(J26="","",AVERAGE(IF($C$2:$C$71=J26,$B$2:$B$71,"")))</f>
        <v>4.4412020187500003</v>
      </c>
      <c r="L26">
        <f t="array" ref="L26">IF(J26="","",COUNT(IF($C$2:$C$71=J26,$B$2:$B$71,"")))</f>
        <v>1</v>
      </c>
      <c r="M26">
        <f t="shared" si="2"/>
        <v>0</v>
      </c>
    </row>
    <row r="27" spans="1:13" x14ac:dyDescent="0.25">
      <c r="A27">
        <f>IF(MODEL_MATRIX!A27="","",MODEL_MATRIX!A27)</f>
        <v>26</v>
      </c>
      <c r="B27" s="1">
        <f>IF(MODEL_MATRIX!B27="","",MODEL_MATRIX!B27)</f>
        <v>4.1802867687500003</v>
      </c>
      <c r="C27" s="1" t="str">
        <f>_xlfn.CONCAT(EXP_MATRIX!C27:Z27)</f>
        <v>1-1-1111-1-1-1</v>
      </c>
      <c r="D27">
        <f t="shared" si="0"/>
        <v>4.1802867687500003</v>
      </c>
      <c r="E27">
        <f t="shared" si="1"/>
        <v>0</v>
      </c>
      <c r="J27" s="1" t="str">
        <v>1-1-1111-1-1-1</v>
      </c>
      <c r="K27">
        <f t="array" ref="K27">IF(J27="","",AVERAGE(IF($C$2:$C$71=J27,$B$2:$B$71,"")))</f>
        <v>4.1802867687500003</v>
      </c>
      <c r="L27">
        <f t="array" ref="L27">IF(J27="","",COUNT(IF($C$2:$C$71=J27,$B$2:$B$71,"")))</f>
        <v>1</v>
      </c>
      <c r="M27">
        <f t="shared" si="2"/>
        <v>0</v>
      </c>
    </row>
    <row r="28" spans="1:13" x14ac:dyDescent="0.25">
      <c r="A28">
        <f>IF(MODEL_MATRIX!A28="","",MODEL_MATRIX!A28)</f>
        <v>27</v>
      </c>
      <c r="B28" s="1">
        <f>IF(MODEL_MATRIX!B28="","",MODEL_MATRIX!B28)</f>
        <v>5.6820480187499998</v>
      </c>
      <c r="C28" s="1" t="str">
        <f>_xlfn.CONCAT(EXP_MATRIX!C28:Z28)</f>
        <v>-11-1111-11-1</v>
      </c>
      <c r="D28">
        <f t="shared" si="0"/>
        <v>5.6820480187499998</v>
      </c>
      <c r="E28">
        <f t="shared" si="1"/>
        <v>0</v>
      </c>
      <c r="J28" s="1" t="str">
        <v>-11-1111-11-1</v>
      </c>
      <c r="K28">
        <f t="array" ref="K28">IF(J28="","",AVERAGE(IF($C$2:$C$71=J28,$B$2:$B$71,"")))</f>
        <v>5.6820480187499998</v>
      </c>
      <c r="L28">
        <f t="array" ref="L28">IF(J28="","",COUNT(IF($C$2:$C$71=J28,$B$2:$B$71,"")))</f>
        <v>1</v>
      </c>
      <c r="M28">
        <f t="shared" si="2"/>
        <v>0</v>
      </c>
    </row>
    <row r="29" spans="1:13" x14ac:dyDescent="0.25">
      <c r="A29">
        <f>IF(MODEL_MATRIX!A29="","",MODEL_MATRIX!A29)</f>
        <v>28</v>
      </c>
      <c r="B29" s="1">
        <f>IF(MODEL_MATRIX!B29="","",MODEL_MATRIX!B29)</f>
        <v>5.7801725187499997</v>
      </c>
      <c r="C29" s="1" t="str">
        <f>_xlfn.CONCAT(EXP_MATRIX!C29:Z29)</f>
        <v>11-111-111-1</v>
      </c>
      <c r="D29">
        <f t="shared" si="0"/>
        <v>5.7801725187499997</v>
      </c>
      <c r="E29">
        <f t="shared" si="1"/>
        <v>0</v>
      </c>
      <c r="J29" s="1" t="str">
        <v>11-111-111-1</v>
      </c>
      <c r="K29">
        <f t="array" ref="K29">IF(J29="","",AVERAGE(IF($C$2:$C$71=J29,$B$2:$B$71,"")))</f>
        <v>5.7801725187499997</v>
      </c>
      <c r="L29">
        <f t="array" ref="L29">IF(J29="","",COUNT(IF($C$2:$C$71=J29,$B$2:$B$71,"")))</f>
        <v>1</v>
      </c>
      <c r="M29">
        <f t="shared" si="2"/>
        <v>0</v>
      </c>
    </row>
    <row r="30" spans="1:13" x14ac:dyDescent="0.25">
      <c r="A30">
        <f>IF(MODEL_MATRIX!A30="","",MODEL_MATRIX!A30)</f>
        <v>29</v>
      </c>
      <c r="B30" s="1">
        <f>IF(MODEL_MATRIX!B30="","",MODEL_MATRIX!B30)</f>
        <v>8.7397320187500007</v>
      </c>
      <c r="C30" s="1" t="str">
        <f>_xlfn.CONCAT(EXP_MATRIX!C30:Z30)</f>
        <v>-1-1111111-1</v>
      </c>
      <c r="D30">
        <f t="shared" si="0"/>
        <v>8.7397320187500007</v>
      </c>
      <c r="E30">
        <f t="shared" si="1"/>
        <v>0</v>
      </c>
      <c r="J30" s="1" t="str">
        <v>-1-1111111-1</v>
      </c>
      <c r="K30">
        <f t="array" ref="K30">IF(J30="","",AVERAGE(IF($C$2:$C$71=J30,$B$2:$B$71,"")))</f>
        <v>8.7397320187500007</v>
      </c>
      <c r="L30">
        <f t="array" ref="L30">IF(J30="","",COUNT(IF($C$2:$C$71=J30,$B$2:$B$71,"")))</f>
        <v>1</v>
      </c>
      <c r="M30">
        <f t="shared" si="2"/>
        <v>0</v>
      </c>
    </row>
    <row r="31" spans="1:13" x14ac:dyDescent="0.25">
      <c r="A31">
        <f>IF(MODEL_MATRIX!A31="","",MODEL_MATRIX!A31)</f>
        <v>30</v>
      </c>
      <c r="B31" s="1">
        <f>IF(MODEL_MATRIX!B31="","",MODEL_MATRIX!B31)</f>
        <v>7.8388045187499999</v>
      </c>
      <c r="C31" s="1" t="str">
        <f>_xlfn.CONCAT(EXP_MATRIX!C31:Z31)</f>
        <v>1-1111-1-11-1</v>
      </c>
      <c r="D31">
        <f t="shared" si="0"/>
        <v>7.8388045187499999</v>
      </c>
      <c r="E31">
        <f t="shared" si="1"/>
        <v>0</v>
      </c>
      <c r="J31" s="1" t="str">
        <v>1-1111-1-11-1</v>
      </c>
      <c r="K31">
        <f t="array" ref="K31">IF(J31="","",AVERAGE(IF($C$2:$C$71=J31,$B$2:$B$71,"")))</f>
        <v>7.8388045187499999</v>
      </c>
      <c r="L31">
        <f t="array" ref="L31">IF(J31="","",COUNT(IF($C$2:$C$71=J31,$B$2:$B$71,"")))</f>
        <v>1</v>
      </c>
      <c r="M31">
        <f t="shared" si="2"/>
        <v>0</v>
      </c>
    </row>
    <row r="32" spans="1:13" x14ac:dyDescent="0.25">
      <c r="A32">
        <f>IF(MODEL_MATRIX!A32="","",MODEL_MATRIX!A32)</f>
        <v>31</v>
      </c>
      <c r="B32" s="1">
        <f>IF(MODEL_MATRIX!B32="","",MODEL_MATRIX!B32)</f>
        <v>7.2539075187500002</v>
      </c>
      <c r="C32" s="1" t="str">
        <f>_xlfn.CONCAT(EXP_MATRIX!C32:Z32)</f>
        <v>-11111-1-1-1-1</v>
      </c>
      <c r="D32">
        <f t="shared" si="0"/>
        <v>7.2539075187500002</v>
      </c>
      <c r="E32">
        <f t="shared" si="1"/>
        <v>0</v>
      </c>
      <c r="J32" s="1" t="str">
        <v>-11111-1-1-1-1</v>
      </c>
      <c r="K32">
        <f t="array" ref="K32">IF(J32="","",AVERAGE(IF($C$2:$C$71=J32,$B$2:$B$71,"")))</f>
        <v>7.2539075187500002</v>
      </c>
      <c r="L32">
        <f t="array" ref="L32">IF(J32="","",COUNT(IF($C$2:$C$71=J32,$B$2:$B$71,"")))</f>
        <v>1</v>
      </c>
      <c r="M32">
        <f t="shared" si="2"/>
        <v>0</v>
      </c>
    </row>
    <row r="33" spans="1:13" x14ac:dyDescent="0.25">
      <c r="A33">
        <f>IF(MODEL_MATRIX!A33="","",MODEL_MATRIX!A33)</f>
        <v>32</v>
      </c>
      <c r="B33" s="1">
        <f>IF(MODEL_MATRIX!B33="","",MODEL_MATRIX!B33)</f>
        <v>7.2391970187499997</v>
      </c>
      <c r="C33" s="1" t="str">
        <f>_xlfn.CONCAT(EXP_MATRIX!C33:Z33)</f>
        <v>1111111-11</v>
      </c>
      <c r="D33">
        <f t="shared" si="0"/>
        <v>7.2391970187499997</v>
      </c>
      <c r="E33">
        <f t="shared" si="1"/>
        <v>0</v>
      </c>
      <c r="J33" s="1" t="str">
        <v>1111111-11</v>
      </c>
      <c r="K33">
        <f t="array" ref="K33">IF(J33="","",AVERAGE(IF($C$2:$C$71=J33,$B$2:$B$71,"")))</f>
        <v>7.2391970187499997</v>
      </c>
      <c r="L33">
        <f t="array" ref="L33">IF(J33="","",COUNT(IF($C$2:$C$71=J33,$B$2:$B$71,"")))</f>
        <v>1</v>
      </c>
      <c r="M33">
        <f t="shared" si="2"/>
        <v>0</v>
      </c>
    </row>
    <row r="34" spans="1:13" x14ac:dyDescent="0.25">
      <c r="A34">
        <f>IF(MODEL_MATRIX!A34="","",MODEL_MATRIX!A34)</f>
        <v>33</v>
      </c>
      <c r="B34" s="1" t="str">
        <f>IF(MODEL_MATRIX!B34="","",MODEL_MATRIX!B34)</f>
        <v/>
      </c>
      <c r="C34" s="1" t="str">
        <f>_xlfn.CONCAT(EXP_MATRIX!C34:Z34)</f>
        <v/>
      </c>
      <c r="D34" t="str">
        <f t="shared" si="0"/>
        <v/>
      </c>
      <c r="E34" t="str">
        <f t="shared" si="1"/>
        <v/>
      </c>
      <c r="J34" s="1" t="str">
        <v/>
      </c>
      <c r="K34" t="str">
        <f t="array" ref="K34">IF(J34="","",AVERAGE(IF($C$2:$C$71=J34,$B$2:$B$71,"")))</f>
        <v/>
      </c>
      <c r="L34" t="str">
        <f t="array" ref="L34">IF(J34="","",COUNT(IF($C$2:$C$71=J34,$B$2:$B$71,"")))</f>
        <v/>
      </c>
      <c r="M34" t="str">
        <f t="shared" si="2"/>
        <v/>
      </c>
    </row>
    <row r="35" spans="1:13" x14ac:dyDescent="0.25">
      <c r="A35">
        <f>IF(MODEL_MATRIX!A35="","",MODEL_MATRIX!A35)</f>
        <v>34</v>
      </c>
      <c r="B35" s="1" t="str">
        <f>IF(MODEL_MATRIX!B35="","",MODEL_MATRIX!B35)</f>
        <v/>
      </c>
      <c r="C35" s="1" t="str">
        <f>_xlfn.CONCAT(EXP_MATRIX!C35:Z35)</f>
        <v/>
      </c>
      <c r="D35" t="str">
        <f t="shared" si="0"/>
        <v/>
      </c>
      <c r="E35" t="str">
        <f t="shared" si="1"/>
        <v/>
      </c>
      <c r="J35" s="1"/>
      <c r="K35" t="str">
        <f t="array" ref="K35">IF(J35="","",AVERAGE(IF($C$2:$C$71=J35,$B$2:$B$71,"")))</f>
        <v/>
      </c>
      <c r="L35" t="str">
        <f t="array" ref="L35">IF(J35="","",COUNT(IF($C$2:$C$71=J35,$B$2:$B$71,"")))</f>
        <v/>
      </c>
      <c r="M35" t="str">
        <f t="shared" si="2"/>
        <v/>
      </c>
    </row>
    <row r="36" spans="1:13" x14ac:dyDescent="0.25">
      <c r="A36">
        <f>IF(MODEL_MATRIX!A36="","",MODEL_MATRIX!A36)</f>
        <v>35</v>
      </c>
      <c r="B36" s="1" t="str">
        <f>IF(MODEL_MATRIX!B36="","",MODEL_MATRIX!B36)</f>
        <v/>
      </c>
      <c r="C36" s="1" t="str">
        <f>_xlfn.CONCAT(EXP_MATRIX!C36:Z36)</f>
        <v/>
      </c>
      <c r="D36" t="str">
        <f t="shared" si="0"/>
        <v/>
      </c>
      <c r="E36" t="str">
        <f t="shared" si="1"/>
        <v/>
      </c>
      <c r="J36" s="1"/>
      <c r="K36" t="str">
        <f t="array" ref="K36">IF(J36="","",AVERAGE(IF($C$2:$C$71=J36,$B$2:$B$71,"")))</f>
        <v/>
      </c>
      <c r="L36" t="str">
        <f t="array" ref="L36">IF(J36="","",COUNT(IF($C$2:$C$71=J36,$B$2:$B$71,"")))</f>
        <v/>
      </c>
      <c r="M36" t="str">
        <f t="shared" si="2"/>
        <v/>
      </c>
    </row>
    <row r="37" spans="1:13" x14ac:dyDescent="0.25">
      <c r="A37">
        <f>IF(MODEL_MATRIX!A37="","",MODEL_MATRIX!A37)</f>
        <v>36</v>
      </c>
      <c r="B37" s="1" t="str">
        <f>IF(MODEL_MATRIX!B37="","",MODEL_MATRIX!B37)</f>
        <v/>
      </c>
      <c r="C37" s="1" t="str">
        <f>_xlfn.CONCAT(EXP_MATRIX!C37:Z37)</f>
        <v/>
      </c>
      <c r="D37" t="str">
        <f t="shared" si="0"/>
        <v/>
      </c>
      <c r="E37" t="str">
        <f t="shared" si="1"/>
        <v/>
      </c>
      <c r="J37" s="1"/>
      <c r="K37" t="str">
        <f t="array" ref="K37">IF(J37="","",AVERAGE(IF($C$2:$C$71=J37,$B$2:$B$71,"")))</f>
        <v/>
      </c>
      <c r="L37" t="str">
        <f t="array" ref="L37">IF(J37="","",COUNT(IF($C$2:$C$71=J37,$B$2:$B$71,"")))</f>
        <v/>
      </c>
      <c r="M37" t="str">
        <f t="shared" si="2"/>
        <v/>
      </c>
    </row>
    <row r="38" spans="1:13" x14ac:dyDescent="0.25">
      <c r="A38">
        <f>IF(MODEL_MATRIX!A38="","",MODEL_MATRIX!A38)</f>
        <v>37</v>
      </c>
      <c r="B38" s="1" t="str">
        <f>IF(MODEL_MATRIX!B38="","",MODEL_MATRIX!B38)</f>
        <v/>
      </c>
      <c r="C38" s="1" t="str">
        <f>_xlfn.CONCAT(EXP_MATRIX!C38:Z38)</f>
        <v/>
      </c>
      <c r="D38" t="str">
        <f t="shared" si="0"/>
        <v/>
      </c>
      <c r="E38" t="str">
        <f t="shared" si="1"/>
        <v/>
      </c>
      <c r="J38" s="1"/>
      <c r="K38" t="str">
        <f t="array" ref="K38">IF(J38="","",AVERAGE(IF($C$2:$C$71=J38,$B$2:$B$71,"")))</f>
        <v/>
      </c>
      <c r="L38" t="str">
        <f t="array" ref="L38">IF(J38="","",COUNT(IF($C$2:$C$71=J38,$B$2:$B$71,"")))</f>
        <v/>
      </c>
      <c r="M38" t="str">
        <f t="shared" si="2"/>
        <v/>
      </c>
    </row>
    <row r="39" spans="1:13" x14ac:dyDescent="0.25">
      <c r="A39">
        <f>IF(MODEL_MATRIX!A39="","",MODEL_MATRIX!A39)</f>
        <v>38</v>
      </c>
      <c r="B39" s="1" t="str">
        <f>IF(MODEL_MATRIX!B39="","",MODEL_MATRIX!B39)</f>
        <v/>
      </c>
      <c r="C39" s="1" t="str">
        <f>_xlfn.CONCAT(EXP_MATRIX!C39:Z39)</f>
        <v/>
      </c>
      <c r="D39" t="str">
        <f t="shared" si="0"/>
        <v/>
      </c>
      <c r="E39" t="str">
        <f t="shared" si="1"/>
        <v/>
      </c>
      <c r="J39" s="1"/>
      <c r="K39" t="str">
        <f t="array" ref="K39">IF(J39="","",AVERAGE(IF($C$2:$C$71=J39,$B$2:$B$71,"")))</f>
        <v/>
      </c>
      <c r="L39" t="str">
        <f t="array" ref="L39">IF(J39="","",COUNT(IF($C$2:$C$71=J39,$B$2:$B$71,"")))</f>
        <v/>
      </c>
      <c r="M39" t="str">
        <f t="shared" si="2"/>
        <v/>
      </c>
    </row>
    <row r="40" spans="1:13" x14ac:dyDescent="0.25">
      <c r="A40">
        <f>IF(MODEL_MATRIX!A40="","",MODEL_MATRIX!A40)</f>
        <v>39</v>
      </c>
      <c r="B40" s="1" t="str">
        <f>IF(MODEL_MATRIX!B40="","",MODEL_MATRIX!B40)</f>
        <v/>
      </c>
      <c r="C40" s="1" t="str">
        <f>_xlfn.CONCAT(EXP_MATRIX!C40:Z40)</f>
        <v/>
      </c>
      <c r="D40" t="str">
        <f t="shared" si="0"/>
        <v/>
      </c>
      <c r="E40" t="str">
        <f t="shared" si="1"/>
        <v/>
      </c>
      <c r="J40" s="1"/>
      <c r="K40" t="str">
        <f t="array" ref="K40">IF(J40="","",AVERAGE(IF($C$2:$C$71=J40,$B$2:$B$71,"")))</f>
        <v/>
      </c>
      <c r="L40" t="str">
        <f t="array" ref="L40">IF(J40="","",COUNT(IF($C$2:$C$71=J40,$B$2:$B$71,"")))</f>
        <v/>
      </c>
      <c r="M40" t="str">
        <f t="shared" si="2"/>
        <v/>
      </c>
    </row>
    <row r="41" spans="1:13" x14ac:dyDescent="0.25">
      <c r="A41">
        <f>IF(MODEL_MATRIX!A41="","",MODEL_MATRIX!A41)</f>
        <v>40</v>
      </c>
      <c r="B41" s="1" t="str">
        <f>IF(MODEL_MATRIX!B41="","",MODEL_MATRIX!B41)</f>
        <v/>
      </c>
      <c r="C41" s="1" t="str">
        <f>_xlfn.CONCAT(EXP_MATRIX!C41:Z41)</f>
        <v/>
      </c>
      <c r="D41" t="str">
        <f t="shared" si="0"/>
        <v/>
      </c>
      <c r="E41" t="str">
        <f t="shared" si="1"/>
        <v/>
      </c>
      <c r="J41" s="1"/>
      <c r="K41" t="str">
        <f t="array" ref="K41">IF(J41="","",AVERAGE(IF($C$2:$C$71=J41,$B$2:$B$71,"")))</f>
        <v/>
      </c>
      <c r="L41" t="str">
        <f t="array" ref="L41">IF(J41="","",COUNT(IF($C$2:$C$71=J41,$B$2:$B$71,"")))</f>
        <v/>
      </c>
      <c r="M41" t="str">
        <f t="shared" si="2"/>
        <v/>
      </c>
    </row>
    <row r="42" spans="1:13" x14ac:dyDescent="0.25">
      <c r="A42">
        <f>IF(MODEL_MATRIX!A42="","",MODEL_MATRIX!A42)</f>
        <v>41</v>
      </c>
      <c r="B42" s="1" t="str">
        <f>IF(MODEL_MATRIX!B42="","",MODEL_MATRIX!B42)</f>
        <v/>
      </c>
      <c r="C42" s="1" t="str">
        <f>_xlfn.CONCAT(EXP_MATRIX!C42:Z42)</f>
        <v/>
      </c>
      <c r="D42" t="str">
        <f t="shared" si="0"/>
        <v/>
      </c>
      <c r="E42" t="str">
        <f t="shared" si="1"/>
        <v/>
      </c>
      <c r="J42" s="1"/>
      <c r="K42" t="str">
        <f t="array" ref="K42">IF(J42="","",AVERAGE(IF($C$2:$C$71=J42,$B$2:$B$71,"")))</f>
        <v/>
      </c>
      <c r="L42" t="str">
        <f t="array" ref="L42">IF(J42="","",COUNT(IF($C$2:$C$71=J42,$B$2:$B$71,"")))</f>
        <v/>
      </c>
      <c r="M42" t="str">
        <f t="shared" si="2"/>
        <v/>
      </c>
    </row>
    <row r="43" spans="1:13" x14ac:dyDescent="0.25">
      <c r="A43">
        <f>IF(MODEL_MATRIX!A43="","",MODEL_MATRIX!A43)</f>
        <v>42</v>
      </c>
      <c r="B43" s="1" t="str">
        <f>IF(MODEL_MATRIX!B43="","",MODEL_MATRIX!B43)</f>
        <v/>
      </c>
      <c r="C43" s="1" t="str">
        <f>_xlfn.CONCAT(EXP_MATRIX!C43:Z43)</f>
        <v/>
      </c>
      <c r="D43" t="str">
        <f t="shared" si="0"/>
        <v/>
      </c>
      <c r="E43" t="str">
        <f t="shared" si="1"/>
        <v/>
      </c>
      <c r="J43" s="1"/>
      <c r="K43" t="str">
        <f t="array" ref="K43">IF(J43="","",AVERAGE(IF($C$2:$C$71=J43,$B$2:$B$71,"")))</f>
        <v/>
      </c>
      <c r="L43" t="str">
        <f t="array" ref="L43">IF(J43="","",COUNT(IF($C$2:$C$71=J43,$B$2:$B$71,"")))</f>
        <v/>
      </c>
      <c r="M43" t="str">
        <f t="shared" si="2"/>
        <v/>
      </c>
    </row>
    <row r="44" spans="1:13" x14ac:dyDescent="0.25">
      <c r="A44">
        <f>IF(MODEL_MATRIX!A44="","",MODEL_MATRIX!A44)</f>
        <v>43</v>
      </c>
      <c r="B44" s="1" t="str">
        <f>IF(MODEL_MATRIX!B44="","",MODEL_MATRIX!B44)</f>
        <v/>
      </c>
      <c r="C44" s="1" t="str">
        <f>_xlfn.CONCAT(EXP_MATRIX!C44:Z44)</f>
        <v/>
      </c>
      <c r="D44" t="str">
        <f t="shared" si="0"/>
        <v/>
      </c>
      <c r="E44" t="str">
        <f t="shared" si="1"/>
        <v/>
      </c>
      <c r="J44" s="1"/>
      <c r="K44" t="str">
        <f t="array" ref="K44">IF(J44="","",AVERAGE(IF($C$2:$C$71=J44,$B$2:$B$71,"")))</f>
        <v/>
      </c>
      <c r="L44" t="str">
        <f t="array" ref="L44">IF(J44="","",COUNT(IF($C$2:$C$71=J44,$B$2:$B$71,"")))</f>
        <v/>
      </c>
      <c r="M44" t="str">
        <f t="shared" si="2"/>
        <v/>
      </c>
    </row>
    <row r="45" spans="1:13" x14ac:dyDescent="0.25">
      <c r="A45">
        <f>IF(MODEL_MATRIX!A45="","",MODEL_MATRIX!A45)</f>
        <v>44</v>
      </c>
      <c r="B45" s="1" t="str">
        <f>IF(MODEL_MATRIX!B45="","",MODEL_MATRIX!B45)</f>
        <v/>
      </c>
      <c r="C45" s="1" t="str">
        <f>_xlfn.CONCAT(EXP_MATRIX!C45:Z45)</f>
        <v/>
      </c>
      <c r="D45" t="str">
        <f t="shared" si="0"/>
        <v/>
      </c>
      <c r="E45" t="str">
        <f t="shared" si="1"/>
        <v/>
      </c>
      <c r="J45" s="1"/>
      <c r="K45" t="str">
        <f t="array" ref="K45">IF(J45="","",AVERAGE(IF($C$2:$C$71=J45,$B$2:$B$71,"")))</f>
        <v/>
      </c>
      <c r="L45" t="str">
        <f t="array" ref="L45">IF(J45="","",COUNT(IF($C$2:$C$71=J45,$B$2:$B$71,"")))</f>
        <v/>
      </c>
      <c r="M45" t="str">
        <f t="shared" si="2"/>
        <v/>
      </c>
    </row>
    <row r="46" spans="1:13" x14ac:dyDescent="0.25">
      <c r="A46">
        <f>IF(MODEL_MATRIX!A46="","",MODEL_MATRIX!A46)</f>
        <v>45</v>
      </c>
      <c r="B46" s="1" t="str">
        <f>IF(MODEL_MATRIX!B46="","",MODEL_MATRIX!B46)</f>
        <v/>
      </c>
      <c r="C46" s="1" t="str">
        <f>_xlfn.CONCAT(EXP_MATRIX!C46:Z46)</f>
        <v/>
      </c>
      <c r="D46" t="str">
        <f t="shared" si="0"/>
        <v/>
      </c>
      <c r="E46" t="str">
        <f t="shared" si="1"/>
        <v/>
      </c>
      <c r="J46" s="1"/>
      <c r="K46" t="str">
        <f t="array" ref="K46">IF(J46="","",AVERAGE(IF($C$2:$C$71=J46,$B$2:$B$71,"")))</f>
        <v/>
      </c>
      <c r="L46" t="str">
        <f t="array" ref="L46">IF(J46="","",COUNT(IF($C$2:$C$71=J46,$B$2:$B$71,"")))</f>
        <v/>
      </c>
      <c r="M46" t="str">
        <f t="shared" si="2"/>
        <v/>
      </c>
    </row>
    <row r="47" spans="1:13" x14ac:dyDescent="0.25">
      <c r="A47">
        <f>IF(MODEL_MATRIX!A47="","",MODEL_MATRIX!A47)</f>
        <v>46</v>
      </c>
      <c r="B47" s="1" t="str">
        <f>IF(MODEL_MATRIX!B47="","",MODEL_MATRIX!B47)</f>
        <v/>
      </c>
      <c r="C47" s="1" t="str">
        <f>_xlfn.CONCAT(EXP_MATRIX!C47:Z47)</f>
        <v/>
      </c>
      <c r="D47" t="str">
        <f t="shared" si="0"/>
        <v/>
      </c>
      <c r="E47" t="str">
        <f t="shared" si="1"/>
        <v/>
      </c>
      <c r="J47" s="1"/>
      <c r="K47" t="str">
        <f t="array" ref="K47">IF(J47="","",AVERAGE(IF($C$2:$C$71=J47,$B$2:$B$71,"")))</f>
        <v/>
      </c>
      <c r="L47" t="str">
        <f t="array" ref="L47">IF(J47="","",COUNT(IF($C$2:$C$71=J47,$B$2:$B$71,"")))</f>
        <v/>
      </c>
      <c r="M47" t="str">
        <f t="shared" si="2"/>
        <v/>
      </c>
    </row>
    <row r="48" spans="1:13" x14ac:dyDescent="0.25">
      <c r="A48">
        <f>IF(MODEL_MATRIX!A48="","",MODEL_MATRIX!A48)</f>
        <v>47</v>
      </c>
      <c r="B48" s="1" t="str">
        <f>IF(MODEL_MATRIX!B48="","",MODEL_MATRIX!B48)</f>
        <v/>
      </c>
      <c r="C48" s="1" t="str">
        <f>_xlfn.CONCAT(EXP_MATRIX!C48:Z48)</f>
        <v/>
      </c>
      <c r="D48" t="str">
        <f t="shared" si="0"/>
        <v/>
      </c>
      <c r="E48" t="str">
        <f t="shared" si="1"/>
        <v/>
      </c>
      <c r="J48" s="1"/>
      <c r="K48" t="str">
        <f t="array" ref="K48">IF(J48="","",AVERAGE(IF($C$2:$C$71=J48,$B$2:$B$71,"")))</f>
        <v/>
      </c>
      <c r="L48" t="str">
        <f t="array" ref="L48">IF(J48="","",COUNT(IF($C$2:$C$71=J48,$B$2:$B$71,"")))</f>
        <v/>
      </c>
      <c r="M48" t="str">
        <f t="shared" si="2"/>
        <v/>
      </c>
    </row>
    <row r="49" spans="1:13" x14ac:dyDescent="0.25">
      <c r="A49">
        <f>IF(MODEL_MATRIX!A49="","",MODEL_MATRIX!A49)</f>
        <v>48</v>
      </c>
      <c r="B49" s="1" t="str">
        <f>IF(MODEL_MATRIX!B49="","",MODEL_MATRIX!B49)</f>
        <v/>
      </c>
      <c r="C49" s="1" t="str">
        <f>_xlfn.CONCAT(EXP_MATRIX!C49:Z49)</f>
        <v/>
      </c>
      <c r="D49" t="str">
        <f t="shared" si="0"/>
        <v/>
      </c>
      <c r="E49" t="str">
        <f t="shared" si="1"/>
        <v/>
      </c>
      <c r="J49" s="1"/>
      <c r="K49" t="str">
        <f t="array" ref="K49">IF(J49="","",AVERAGE(IF($C$2:$C$71=J49,$B$2:$B$71,"")))</f>
        <v/>
      </c>
      <c r="L49" t="str">
        <f t="array" ref="L49">IF(J49="","",COUNT(IF($C$2:$C$71=J49,$B$2:$B$71,"")))</f>
        <v/>
      </c>
      <c r="M49" t="str">
        <f t="shared" si="2"/>
        <v/>
      </c>
    </row>
    <row r="50" spans="1:13" x14ac:dyDescent="0.25">
      <c r="A50">
        <f>IF(MODEL_MATRIX!A50="","",MODEL_MATRIX!A50)</f>
        <v>49</v>
      </c>
      <c r="B50" s="1" t="str">
        <f>IF(MODEL_MATRIX!B50="","",MODEL_MATRIX!B50)</f>
        <v/>
      </c>
      <c r="C50" s="1" t="str">
        <f>_xlfn.CONCAT(EXP_MATRIX!C50:Z50)</f>
        <v/>
      </c>
      <c r="D50" t="str">
        <f t="shared" si="0"/>
        <v/>
      </c>
      <c r="E50" t="str">
        <f t="shared" si="1"/>
        <v/>
      </c>
      <c r="J50" s="1"/>
      <c r="K50" t="str">
        <f t="array" ref="K50">IF(J50="","",AVERAGE(IF($C$2:$C$71=J50,$B$2:$B$71,"")))</f>
        <v/>
      </c>
      <c r="L50" t="str">
        <f t="array" ref="L50">IF(J50="","",COUNT(IF($C$2:$C$71=J50,$B$2:$B$71,"")))</f>
        <v/>
      </c>
      <c r="M50" t="str">
        <f t="shared" si="2"/>
        <v/>
      </c>
    </row>
    <row r="51" spans="1:13" x14ac:dyDescent="0.25">
      <c r="A51">
        <f>IF(MODEL_MATRIX!A51="","",MODEL_MATRIX!A51)</f>
        <v>50</v>
      </c>
      <c r="B51" s="1" t="str">
        <f>IF(MODEL_MATRIX!B51="","",MODEL_MATRIX!B51)</f>
        <v/>
      </c>
      <c r="C51" s="1" t="str">
        <f>_xlfn.CONCAT(EXP_MATRIX!C51:Z51)</f>
        <v/>
      </c>
      <c r="D51" t="str">
        <f t="shared" si="0"/>
        <v/>
      </c>
      <c r="E51" t="str">
        <f t="shared" si="1"/>
        <v/>
      </c>
      <c r="J51" s="1"/>
      <c r="K51" t="str">
        <f t="array" ref="K51">IF(J51="","",AVERAGE(IF($C$2:$C$71=J51,$B$2:$B$71,"")))</f>
        <v/>
      </c>
      <c r="L51" t="str">
        <f t="array" ref="L51">IF(J51="","",COUNT(IF($C$2:$C$71=J51,$B$2:$B$71,"")))</f>
        <v/>
      </c>
      <c r="M51" t="str">
        <f t="shared" si="2"/>
        <v/>
      </c>
    </row>
    <row r="52" spans="1:13" x14ac:dyDescent="0.25">
      <c r="A52">
        <f>IF(MODEL_MATRIX!A52="","",MODEL_MATRIX!A52)</f>
        <v>51</v>
      </c>
      <c r="B52" s="1" t="str">
        <f>IF(MODEL_MATRIX!B52="","",MODEL_MATRIX!B52)</f>
        <v/>
      </c>
      <c r="C52" s="1" t="str">
        <f>_xlfn.CONCAT(EXP_MATRIX!C52:Z52)</f>
        <v/>
      </c>
      <c r="D52" t="str">
        <f t="shared" si="0"/>
        <v/>
      </c>
      <c r="E52" t="str">
        <f t="shared" si="1"/>
        <v/>
      </c>
      <c r="J52" s="1"/>
      <c r="K52" t="str">
        <f t="array" ref="K52">IF(J52="","",AVERAGE(IF($C$2:$C$71=J52,$B$2:$B$71,"")))</f>
        <v/>
      </c>
      <c r="L52" t="str">
        <f t="array" ref="L52">IF(J52="","",COUNT(IF($C$2:$C$71=J52,$B$2:$B$71,"")))</f>
        <v/>
      </c>
      <c r="M52" t="str">
        <f t="shared" si="2"/>
        <v/>
      </c>
    </row>
    <row r="53" spans="1:13" x14ac:dyDescent="0.25">
      <c r="A53">
        <f>IF(MODEL_MATRIX!A53="","",MODEL_MATRIX!A53)</f>
        <v>52</v>
      </c>
      <c r="B53" s="1" t="str">
        <f>IF(MODEL_MATRIX!B53="","",MODEL_MATRIX!B53)</f>
        <v/>
      </c>
      <c r="C53" s="1" t="str">
        <f>_xlfn.CONCAT(EXP_MATRIX!C53:Z53)</f>
        <v/>
      </c>
      <c r="D53" t="str">
        <f t="shared" si="0"/>
        <v/>
      </c>
      <c r="E53" t="str">
        <f t="shared" si="1"/>
        <v/>
      </c>
      <c r="J53" s="1"/>
      <c r="K53" t="str">
        <f t="array" ref="K53">IF(J53="","",AVERAGE(IF($C$2:$C$71=J53,$B$2:$B$71,"")))</f>
        <v/>
      </c>
      <c r="L53" t="str">
        <f t="array" ref="L53">IF(J53="","",COUNT(IF($C$2:$C$71=J53,$B$2:$B$71,"")))</f>
        <v/>
      </c>
      <c r="M53" t="str">
        <f t="shared" si="2"/>
        <v/>
      </c>
    </row>
    <row r="54" spans="1:13" x14ac:dyDescent="0.25">
      <c r="A54">
        <f>IF(MODEL_MATRIX!A54="","",MODEL_MATRIX!A54)</f>
        <v>53</v>
      </c>
      <c r="B54" s="1" t="str">
        <f>IF(MODEL_MATRIX!B54="","",MODEL_MATRIX!B54)</f>
        <v/>
      </c>
      <c r="C54" s="1" t="str">
        <f>_xlfn.CONCAT(EXP_MATRIX!C54:Z54)</f>
        <v/>
      </c>
      <c r="D54" t="str">
        <f t="shared" si="0"/>
        <v/>
      </c>
      <c r="E54" t="str">
        <f t="shared" si="1"/>
        <v/>
      </c>
      <c r="J54" s="1"/>
      <c r="K54" t="str">
        <f t="array" ref="K54">IF(J54="","",AVERAGE(IF($C$2:$C$71=J54,$B$2:$B$71,"")))</f>
        <v/>
      </c>
      <c r="L54" t="str">
        <f t="array" ref="L54">IF(J54="","",COUNT(IF($C$2:$C$71=J54,$B$2:$B$71,"")))</f>
        <v/>
      </c>
      <c r="M54" t="str">
        <f t="shared" si="2"/>
        <v/>
      </c>
    </row>
    <row r="55" spans="1:13" x14ac:dyDescent="0.25">
      <c r="A55">
        <f>IF(MODEL_MATRIX!A55="","",MODEL_MATRIX!A55)</f>
        <v>54</v>
      </c>
      <c r="B55" s="1" t="str">
        <f>IF(MODEL_MATRIX!B55="","",MODEL_MATRIX!B55)</f>
        <v/>
      </c>
      <c r="C55" s="1" t="str">
        <f>_xlfn.CONCAT(EXP_MATRIX!C55:Z55)</f>
        <v/>
      </c>
      <c r="D55" t="str">
        <f t="shared" si="0"/>
        <v/>
      </c>
      <c r="E55" t="str">
        <f t="shared" si="1"/>
        <v/>
      </c>
      <c r="J55" s="1"/>
      <c r="K55" t="str">
        <f t="array" ref="K55">IF(J55="","",AVERAGE(IF($C$2:$C$71=J55,$B$2:$B$71,"")))</f>
        <v/>
      </c>
      <c r="L55" t="str">
        <f t="array" ref="L55">IF(J55="","",COUNT(IF($C$2:$C$71=J55,$B$2:$B$71,"")))</f>
        <v/>
      </c>
      <c r="M55" t="str">
        <f t="shared" si="2"/>
        <v/>
      </c>
    </row>
    <row r="56" spans="1:13" x14ac:dyDescent="0.25">
      <c r="A56">
        <f>IF(MODEL_MATRIX!A56="","",MODEL_MATRIX!A56)</f>
        <v>55</v>
      </c>
      <c r="B56" s="1" t="str">
        <f>IF(MODEL_MATRIX!B56="","",MODEL_MATRIX!B56)</f>
        <v/>
      </c>
      <c r="C56" s="1" t="str">
        <f>_xlfn.CONCAT(EXP_MATRIX!C56:Z56)</f>
        <v/>
      </c>
      <c r="D56" t="str">
        <f t="shared" si="0"/>
        <v/>
      </c>
      <c r="E56" t="str">
        <f t="shared" si="1"/>
        <v/>
      </c>
      <c r="J56" s="1"/>
      <c r="K56" t="str">
        <f t="array" ref="K56">IF(J56="","",AVERAGE(IF($C$2:$C$71=J56,$B$2:$B$71,"")))</f>
        <v/>
      </c>
      <c r="L56" t="str">
        <f t="array" ref="L56">IF(J56="","",COUNT(IF($C$2:$C$71=J56,$B$2:$B$71,"")))</f>
        <v/>
      </c>
      <c r="M56" t="str">
        <f t="shared" si="2"/>
        <v/>
      </c>
    </row>
    <row r="57" spans="1:13" x14ac:dyDescent="0.25">
      <c r="A57">
        <f>IF(MODEL_MATRIX!A57="","",MODEL_MATRIX!A57)</f>
        <v>56</v>
      </c>
      <c r="B57" s="1" t="str">
        <f>IF(MODEL_MATRIX!B57="","",MODEL_MATRIX!B57)</f>
        <v/>
      </c>
      <c r="C57" s="1" t="str">
        <f>_xlfn.CONCAT(EXP_MATRIX!C57:Z57)</f>
        <v/>
      </c>
      <c r="D57" t="str">
        <f t="shared" si="0"/>
        <v/>
      </c>
      <c r="E57" t="str">
        <f t="shared" si="1"/>
        <v/>
      </c>
      <c r="J57" s="1"/>
      <c r="K57" t="str">
        <f t="array" ref="K57">IF(J57="","",AVERAGE(IF($C$2:$C$71=J57,$B$2:$B$71,"")))</f>
        <v/>
      </c>
      <c r="L57" t="str">
        <f t="array" ref="L57">IF(J57="","",COUNT(IF($C$2:$C$71=J57,$B$2:$B$71,"")))</f>
        <v/>
      </c>
      <c r="M57" t="str">
        <f t="shared" si="2"/>
        <v/>
      </c>
    </row>
    <row r="58" spans="1:13" x14ac:dyDescent="0.25">
      <c r="A58">
        <f>IF(MODEL_MATRIX!A58="","",MODEL_MATRIX!A58)</f>
        <v>57</v>
      </c>
      <c r="B58" s="1" t="str">
        <f>IF(MODEL_MATRIX!B58="","",MODEL_MATRIX!B58)</f>
        <v/>
      </c>
      <c r="C58" s="1" t="str">
        <f>_xlfn.CONCAT(EXP_MATRIX!C58:Z58)</f>
        <v/>
      </c>
      <c r="D58" t="str">
        <f t="shared" si="0"/>
        <v/>
      </c>
      <c r="E58" t="str">
        <f t="shared" si="1"/>
        <v/>
      </c>
      <c r="J58" s="1"/>
      <c r="K58" t="str">
        <f t="array" ref="K58">IF(J58="","",AVERAGE(IF($C$2:$C$71=J58,$B$2:$B$71,"")))</f>
        <v/>
      </c>
      <c r="L58" t="str">
        <f t="array" ref="L58">IF(J58="","",COUNT(IF($C$2:$C$71=J58,$B$2:$B$71,"")))</f>
        <v/>
      </c>
      <c r="M58" t="str">
        <f t="shared" si="2"/>
        <v/>
      </c>
    </row>
    <row r="59" spans="1:13" x14ac:dyDescent="0.25">
      <c r="A59">
        <f>IF(MODEL_MATRIX!A59="","",MODEL_MATRIX!A59)</f>
        <v>58</v>
      </c>
      <c r="B59" s="1" t="str">
        <f>IF(MODEL_MATRIX!B59="","",MODEL_MATRIX!B59)</f>
        <v/>
      </c>
      <c r="C59" s="1" t="str">
        <f>_xlfn.CONCAT(EXP_MATRIX!C59:Z59)</f>
        <v/>
      </c>
      <c r="D59" t="str">
        <f t="shared" si="0"/>
        <v/>
      </c>
      <c r="E59" t="str">
        <f t="shared" si="1"/>
        <v/>
      </c>
      <c r="J59" s="1"/>
      <c r="K59" t="str">
        <f t="array" ref="K59">IF(J59="","",AVERAGE(IF($C$2:$C$71=J59,$B$2:$B$71,"")))</f>
        <v/>
      </c>
      <c r="L59" t="str">
        <f t="array" ref="L59">IF(J59="","",COUNT(IF($C$2:$C$71=J59,$B$2:$B$71,"")))</f>
        <v/>
      </c>
      <c r="M59" t="str">
        <f t="shared" si="2"/>
        <v/>
      </c>
    </row>
    <row r="60" spans="1:13" x14ac:dyDescent="0.25">
      <c r="A60">
        <f>IF(MODEL_MATRIX!A60="","",MODEL_MATRIX!A60)</f>
        <v>59</v>
      </c>
      <c r="B60" s="1" t="str">
        <f>IF(MODEL_MATRIX!B60="","",MODEL_MATRIX!B60)</f>
        <v/>
      </c>
      <c r="C60" s="1" t="str">
        <f>_xlfn.CONCAT(EXP_MATRIX!C60:Z60)</f>
        <v/>
      </c>
      <c r="D60" t="str">
        <f t="shared" si="0"/>
        <v/>
      </c>
      <c r="E60" t="str">
        <f t="shared" si="1"/>
        <v/>
      </c>
      <c r="J60" s="1"/>
      <c r="K60" t="str">
        <f t="array" ref="K60">IF(J60="","",AVERAGE(IF($C$2:$C$71=J60,$B$2:$B$71,"")))</f>
        <v/>
      </c>
      <c r="L60" t="str">
        <f t="array" ref="L60">IF(J60="","",COUNT(IF($C$2:$C$71=J60,$B$2:$B$71,"")))</f>
        <v/>
      </c>
      <c r="M60" t="str">
        <f t="shared" si="2"/>
        <v/>
      </c>
    </row>
    <row r="61" spans="1:13" x14ac:dyDescent="0.25">
      <c r="A61">
        <f>IF(MODEL_MATRIX!A61="","",MODEL_MATRIX!A61)</f>
        <v>60</v>
      </c>
      <c r="B61" s="1" t="str">
        <f>IF(MODEL_MATRIX!B61="","",MODEL_MATRIX!B61)</f>
        <v/>
      </c>
      <c r="C61" s="1" t="str">
        <f>_xlfn.CONCAT(EXP_MATRIX!C61:Z61)</f>
        <v/>
      </c>
      <c r="D61" t="str">
        <f t="shared" si="0"/>
        <v/>
      </c>
      <c r="E61" t="str">
        <f t="shared" si="1"/>
        <v/>
      </c>
      <c r="J61" s="1"/>
      <c r="K61" t="str">
        <f t="array" ref="K61">IF(J61="","",AVERAGE(IF($C$2:$C$71=J61,$B$2:$B$71,"")))</f>
        <v/>
      </c>
      <c r="L61" t="str">
        <f t="array" ref="L61">IF(J61="","",COUNT(IF($C$2:$C$71=J61,$B$2:$B$71,"")))</f>
        <v/>
      </c>
      <c r="M61" t="str">
        <f t="shared" si="2"/>
        <v/>
      </c>
    </row>
    <row r="62" spans="1:13" x14ac:dyDescent="0.25">
      <c r="A62">
        <f>IF(MODEL_MATRIX!A62="","",MODEL_MATRIX!A62)</f>
        <v>61</v>
      </c>
      <c r="B62" s="1" t="str">
        <f>IF(MODEL_MATRIX!B62="","",MODEL_MATRIX!B62)</f>
        <v/>
      </c>
      <c r="C62" s="1" t="str">
        <f>_xlfn.CONCAT(EXP_MATRIX!C62:Z62)</f>
        <v/>
      </c>
      <c r="D62" t="str">
        <f t="shared" si="0"/>
        <v/>
      </c>
      <c r="E62" t="str">
        <f t="shared" si="1"/>
        <v/>
      </c>
      <c r="J62" s="1"/>
      <c r="K62" t="str">
        <f t="array" ref="K62">IF(J62="","",AVERAGE(IF($C$2:$C$71=J62,$B$2:$B$71,"")))</f>
        <v/>
      </c>
      <c r="L62" t="str">
        <f t="array" ref="L62">IF(J62="","",COUNT(IF($C$2:$C$71=J62,$B$2:$B$71,"")))</f>
        <v/>
      </c>
      <c r="M62" t="str">
        <f t="shared" si="2"/>
        <v/>
      </c>
    </row>
    <row r="63" spans="1:13" x14ac:dyDescent="0.25">
      <c r="A63">
        <f>IF(MODEL_MATRIX!A63="","",MODEL_MATRIX!A63)</f>
        <v>62</v>
      </c>
      <c r="B63" s="1" t="str">
        <f>IF(MODEL_MATRIX!B63="","",MODEL_MATRIX!B63)</f>
        <v/>
      </c>
      <c r="C63" s="1" t="str">
        <f>_xlfn.CONCAT(EXP_MATRIX!C63:Z63)</f>
        <v/>
      </c>
      <c r="D63" t="str">
        <f t="shared" si="0"/>
        <v/>
      </c>
      <c r="E63" t="str">
        <f t="shared" si="1"/>
        <v/>
      </c>
      <c r="J63" s="1"/>
      <c r="K63" t="str">
        <f t="array" ref="K63">IF(J63="","",AVERAGE(IF($C$2:$C$71=J63,$B$2:$B$71,"")))</f>
        <v/>
      </c>
      <c r="L63" t="str">
        <f t="array" ref="L63">IF(J63="","",COUNT(IF($C$2:$C$71=J63,$B$2:$B$71,"")))</f>
        <v/>
      </c>
      <c r="M63" t="str">
        <f t="shared" si="2"/>
        <v/>
      </c>
    </row>
    <row r="64" spans="1:13" x14ac:dyDescent="0.25">
      <c r="A64">
        <f>IF(MODEL_MATRIX!A64="","",MODEL_MATRIX!A64)</f>
        <v>63</v>
      </c>
      <c r="B64" s="1" t="str">
        <f>IF(MODEL_MATRIX!B64="","",MODEL_MATRIX!B64)</f>
        <v/>
      </c>
      <c r="C64" s="1" t="str">
        <f>_xlfn.CONCAT(EXP_MATRIX!C64:Z64)</f>
        <v/>
      </c>
      <c r="D64" t="str">
        <f t="shared" si="0"/>
        <v/>
      </c>
      <c r="E64" t="str">
        <f t="shared" si="1"/>
        <v/>
      </c>
      <c r="J64" s="1"/>
      <c r="K64" t="str">
        <f t="array" ref="K64">IF(J64="","",AVERAGE(IF($C$2:$C$71=J64,$B$2:$B$71,"")))</f>
        <v/>
      </c>
      <c r="L64" t="str">
        <f t="array" ref="L64">IF(J64="","",COUNT(IF($C$2:$C$71=J64,$B$2:$B$71,"")))</f>
        <v/>
      </c>
      <c r="M64" t="str">
        <f t="shared" si="2"/>
        <v/>
      </c>
    </row>
    <row r="65" spans="1:13" x14ac:dyDescent="0.25">
      <c r="A65">
        <f>IF(MODEL_MATRIX!A65="","",MODEL_MATRIX!A65)</f>
        <v>64</v>
      </c>
      <c r="B65" s="1" t="str">
        <f>IF(MODEL_MATRIX!B65="","",MODEL_MATRIX!B65)</f>
        <v/>
      </c>
      <c r="C65" s="1" t="str">
        <f>_xlfn.CONCAT(EXP_MATRIX!C65:Z65)</f>
        <v/>
      </c>
      <c r="D65" t="str">
        <f t="shared" si="0"/>
        <v/>
      </c>
      <c r="E65" t="str">
        <f t="shared" si="1"/>
        <v/>
      </c>
      <c r="J65" s="1"/>
      <c r="K65" t="str">
        <f t="array" ref="K65">IF(J65="","",AVERAGE(IF($C$2:$C$71=J65,$B$2:$B$71,"")))</f>
        <v/>
      </c>
      <c r="L65" t="str">
        <f t="array" ref="L65">IF(J65="","",COUNT(IF($C$2:$C$71=J65,$B$2:$B$71,"")))</f>
        <v/>
      </c>
      <c r="M65" t="str">
        <f t="shared" si="2"/>
        <v/>
      </c>
    </row>
    <row r="66" spans="1:13" x14ac:dyDescent="0.25">
      <c r="A66">
        <f>IF(MODEL_MATRIX!A66="","",MODEL_MATRIX!A66)</f>
        <v>65</v>
      </c>
      <c r="B66" s="1" t="str">
        <f>IF(MODEL_MATRIX!B66="","",MODEL_MATRIX!B66)</f>
        <v/>
      </c>
      <c r="C66" s="1" t="str">
        <f>_xlfn.CONCAT(EXP_MATRIX!C66:Z66)</f>
        <v/>
      </c>
      <c r="D66" t="str">
        <f t="shared" si="0"/>
        <v/>
      </c>
      <c r="E66" t="str">
        <f t="shared" si="1"/>
        <v/>
      </c>
      <c r="J66" s="1"/>
      <c r="K66" t="str">
        <f t="array" ref="K66">IF(J66="","",AVERAGE(IF($C$2:$C$71=J66,$B$2:$B$71,"")))</f>
        <v/>
      </c>
      <c r="L66" t="str">
        <f t="array" ref="L66">IF(J66="","",COUNT(IF($C$2:$C$71=J66,$B$2:$B$71,"")))</f>
        <v/>
      </c>
      <c r="M66" t="str">
        <f t="shared" si="2"/>
        <v/>
      </c>
    </row>
    <row r="67" spans="1:13" x14ac:dyDescent="0.25">
      <c r="A67">
        <f>IF(MODEL_MATRIX!A67="","",MODEL_MATRIX!A67)</f>
        <v>66</v>
      </c>
      <c r="B67" s="1" t="str">
        <f>IF(MODEL_MATRIX!B67="","",MODEL_MATRIX!B67)</f>
        <v/>
      </c>
      <c r="C67" s="1" t="str">
        <f>_xlfn.CONCAT(EXP_MATRIX!C67:Z67)</f>
        <v/>
      </c>
      <c r="D67" t="str">
        <f t="shared" ref="D67:D71" si="3">VLOOKUP(C67,$J$2:$K$71,2,0)</f>
        <v/>
      </c>
      <c r="E67" t="str">
        <f t="shared" ref="E67:E71" si="4">IF(B67="","",(B67-D67)^2)</f>
        <v/>
      </c>
      <c r="J67" s="1"/>
      <c r="K67" t="str">
        <f t="array" ref="K67">IF(J67="","",AVERAGE(IF($C$2:$C$71=J67,$B$2:$B$71,"")))</f>
        <v/>
      </c>
      <c r="L67" t="str">
        <f t="array" ref="L67">IF(J67="","",COUNT(IF($C$2:$C$71=J67,$B$2:$B$71,"")))</f>
        <v/>
      </c>
      <c r="M67" t="str">
        <f t="shared" ref="M67:M71" si="5">IF(L67="","",L67-1)</f>
        <v/>
      </c>
    </row>
    <row r="68" spans="1:13" x14ac:dyDescent="0.25">
      <c r="A68">
        <f>IF(MODEL_MATRIX!A68="","",MODEL_MATRIX!A68)</f>
        <v>67</v>
      </c>
      <c r="B68" s="1" t="str">
        <f>IF(MODEL_MATRIX!B68="","",MODEL_MATRIX!B68)</f>
        <v/>
      </c>
      <c r="C68" s="1" t="str">
        <f>_xlfn.CONCAT(EXP_MATRIX!C68:Z68)</f>
        <v/>
      </c>
      <c r="D68" t="str">
        <f t="shared" si="3"/>
        <v/>
      </c>
      <c r="E68" t="str">
        <f t="shared" si="4"/>
        <v/>
      </c>
      <c r="J68" s="1"/>
      <c r="K68" t="str">
        <f t="array" ref="K68">IF(J68="","",AVERAGE(IF($C$2:$C$71=J68,$B$2:$B$71,"")))</f>
        <v/>
      </c>
      <c r="L68" t="str">
        <f t="array" ref="L68">IF(J68="","",COUNT(IF($C$2:$C$71=J68,$B$2:$B$71,"")))</f>
        <v/>
      </c>
      <c r="M68" t="str">
        <f t="shared" si="5"/>
        <v/>
      </c>
    </row>
    <row r="69" spans="1:13" x14ac:dyDescent="0.25">
      <c r="A69">
        <f>IF(MODEL_MATRIX!A69="","",MODEL_MATRIX!A69)</f>
        <v>68</v>
      </c>
      <c r="B69" s="1" t="str">
        <f>IF(MODEL_MATRIX!B69="","",MODEL_MATRIX!B69)</f>
        <v/>
      </c>
      <c r="C69" s="1" t="str">
        <f>_xlfn.CONCAT(EXP_MATRIX!C69:Z69)</f>
        <v/>
      </c>
      <c r="D69" t="str">
        <f t="shared" si="3"/>
        <v/>
      </c>
      <c r="E69" t="str">
        <f t="shared" si="4"/>
        <v/>
      </c>
      <c r="J69" s="1"/>
      <c r="K69" t="str">
        <f t="array" ref="K69">IF(J69="","",AVERAGE(IF($C$2:$C$71=J69,$B$2:$B$71,"")))</f>
        <v/>
      </c>
      <c r="L69" t="str">
        <f t="array" ref="L69">IF(J69="","",COUNT(IF($C$2:$C$71=J69,$B$2:$B$71,"")))</f>
        <v/>
      </c>
      <c r="M69" t="str">
        <f t="shared" si="5"/>
        <v/>
      </c>
    </row>
    <row r="70" spans="1:13" x14ac:dyDescent="0.25">
      <c r="A70">
        <f>IF(MODEL_MATRIX!A70="","",MODEL_MATRIX!A70)</f>
        <v>69</v>
      </c>
      <c r="B70" s="1" t="str">
        <f>IF(MODEL_MATRIX!B70="","",MODEL_MATRIX!B70)</f>
        <v/>
      </c>
      <c r="C70" s="1" t="str">
        <f>_xlfn.CONCAT(EXP_MATRIX!C70:Z70)</f>
        <v/>
      </c>
      <c r="D70" t="str">
        <f t="shared" si="3"/>
        <v/>
      </c>
      <c r="E70" t="str">
        <f t="shared" si="4"/>
        <v/>
      </c>
      <c r="J70" s="1"/>
      <c r="K70" t="str">
        <f t="array" ref="K70">IF(J70="","",AVERAGE(IF($C$2:$C$71=J70,$B$2:$B$71,"")))</f>
        <v/>
      </c>
      <c r="L70" t="str">
        <f t="array" ref="L70">IF(J70="","",COUNT(IF($C$2:$C$71=J70,$B$2:$B$71,"")))</f>
        <v/>
      </c>
      <c r="M70" t="str">
        <f t="shared" si="5"/>
        <v/>
      </c>
    </row>
    <row r="71" spans="1:13" x14ac:dyDescent="0.25">
      <c r="A71">
        <f>IF(MODEL_MATRIX!A71="","",MODEL_MATRIX!A71)</f>
        <v>70</v>
      </c>
      <c r="B71" s="1" t="str">
        <f>IF(MODEL_MATRIX!B71="","",MODEL_MATRIX!B71)</f>
        <v/>
      </c>
      <c r="C71" s="1" t="str">
        <f>_xlfn.CONCAT(EXP_MATRIX!C71:Z71)</f>
        <v/>
      </c>
      <c r="D71" t="str">
        <f t="shared" si="3"/>
        <v/>
      </c>
      <c r="E71" t="str">
        <f t="shared" si="4"/>
        <v/>
      </c>
      <c r="J71" s="1"/>
      <c r="K71" t="str">
        <f t="array" ref="K71">IF(J71="","",AVERAGE(IF($C$2:$C$71=J71,$B$2:$B$71,"")))</f>
        <v/>
      </c>
      <c r="L71" t="str">
        <f t="array" ref="L71">IF(J71="","",COUNT(IF($C$2:$C$71=J71,$B$2:$B$71,"")))</f>
        <v/>
      </c>
      <c r="M71" t="str">
        <f t="shared" si="5"/>
        <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12802-DA55-470B-BAFF-3EBC4728A706}">
  <sheetPr codeName="Hoja10"/>
  <dimension ref="A1:AA71"/>
  <sheetViews>
    <sheetView zoomScaleNormal="100" workbookViewId="0"/>
  </sheetViews>
  <sheetFormatPr baseColWidth="10" defaultColWidth="0" defaultRowHeight="15" x14ac:dyDescent="0.25"/>
  <cols>
    <col min="1" max="1" width="4.85546875" customWidth="1"/>
    <col min="2" max="2" width="6.7109375" customWidth="1"/>
    <col min="3" max="27" width="6" customWidth="1"/>
    <col min="28" max="16384" width="11.42578125" hidden="1"/>
  </cols>
  <sheetData>
    <row r="1" spans="1:27" x14ac:dyDescent="0.25">
      <c r="B1" t="s">
        <v>15</v>
      </c>
      <c r="C1" t="str">
        <f>IF(MODEL!A2="","",MODEL!A2)</f>
        <v>A</v>
      </c>
      <c r="D1" t="str">
        <f>IF(MODEL!B2="","",MODEL!B2)</f>
        <v>C</v>
      </c>
      <c r="E1" t="str">
        <f>IF(MODEL!C2="","",MODEL!C2)</f>
        <v>E</v>
      </c>
      <c r="F1" t="str">
        <f>IF(MODEL!D2="","",MODEL!D2)</f>
        <v>AC</v>
      </c>
      <c r="G1" t="str">
        <f>IF(MODEL!E2="","",MODEL!E2)</f>
        <v>AE</v>
      </c>
      <c r="H1" t="str">
        <f>IF(MODEL!F2="","",MODEL!F2)</f>
        <v/>
      </c>
      <c r="I1" t="str">
        <f>IF(MODEL!G2="","",MODEL!G2)</f>
        <v/>
      </c>
      <c r="J1" t="str">
        <f>IF(MODEL!H2="","",MODEL!H2)</f>
        <v/>
      </c>
      <c r="K1" t="str">
        <f>IF(MODEL!I2="","",MODEL!I2)</f>
        <v/>
      </c>
      <c r="L1" t="str">
        <f>IF(MODEL!J2="","",MODEL!J2)</f>
        <v/>
      </c>
      <c r="M1" t="str">
        <f>IF(MODEL!K2="","",MODEL!K2)</f>
        <v/>
      </c>
      <c r="N1" t="str">
        <f>IF(MODEL!L2="","",MODEL!L2)</f>
        <v/>
      </c>
      <c r="O1" t="str">
        <f>IF(MODEL!M2="","",MODEL!M2)</f>
        <v/>
      </c>
      <c r="P1" t="str">
        <f>IF(MODEL!N2="","",MODEL!N2)</f>
        <v/>
      </c>
      <c r="Q1" t="str">
        <f>IF(MODEL!O2="","",MODEL!O2)</f>
        <v/>
      </c>
      <c r="R1" t="str">
        <f>IF(MODEL!P2="","",MODEL!P2)</f>
        <v/>
      </c>
      <c r="S1" t="str">
        <f>IF(MODEL!Q2="","",MODEL!Q2)</f>
        <v/>
      </c>
      <c r="T1" t="str">
        <f>IF(MODEL!R2="","",MODEL!R2)</f>
        <v/>
      </c>
      <c r="U1" t="str">
        <f>IF(MODEL!S2="","",MODEL!S2)</f>
        <v/>
      </c>
      <c r="V1" t="str">
        <f>IF(MODEL!T2="","",MODEL!T2)</f>
        <v/>
      </c>
      <c r="W1" t="str">
        <f>IF(MODEL!U2="","",MODEL!U2)</f>
        <v/>
      </c>
      <c r="X1" t="str">
        <f>IF(MODEL!V2="","",MODEL!V2)</f>
        <v/>
      </c>
      <c r="Y1" t="str">
        <f>IF(MODEL!W2="","",MODEL!W2)</f>
        <v/>
      </c>
      <c r="Z1" t="str">
        <f>IF(MODEL!X2="","",MODEL!X2)</f>
        <v/>
      </c>
      <c r="AA1" t="str">
        <f>IF(MODEL!Y2="","",MODEL!Y2)</f>
        <v/>
      </c>
    </row>
    <row r="2" spans="1:27" x14ac:dyDescent="0.25">
      <c r="A2">
        <v>1</v>
      </c>
      <c r="B2" s="1" cm="1">
        <f t="array" ref="B2">IF(OR(B$1="",EXP_MATRIX!$C2=""),"",PRODUCT(IF(NOT(ISERROR(FIND(EXP_MATRIX!$B$1:$Z$1,B$1))),EXP_MATRIX!$B2:$Z2,1))^IF(ISERROR(FIND("2",B$1)),1,2))</f>
        <v>4.2919815187500001</v>
      </c>
      <c r="C2" s="1" cm="1">
        <f t="array" ref="C2">IF(OR(C$1="",EXP_MATRIX!$C2=""),"",PRODUCT(IF(NOT(ISERROR(FIND(EXP_MATRIX!$B$1:$Z$1,C$1))),EXP_MATRIX!$B2:$Z2,1))^IF(ISERROR(FIND("2",C$1)),1,2))</f>
        <v>-1</v>
      </c>
      <c r="D2" s="1" cm="1">
        <f t="array" ref="D2">IF(OR(D$1="",EXP_MATRIX!$C2=""),"",PRODUCT(IF(NOT(ISERROR(FIND(EXP_MATRIX!$B$1:$Z$1,D$1))),EXP_MATRIX!$B2:$Z2,1))^IF(ISERROR(FIND("2",D$1)),1,2))</f>
        <v>-1</v>
      </c>
      <c r="E2" s="1" cm="1">
        <f t="array" ref="E2">IF(OR(E$1="",EXP_MATRIX!$C2=""),"",PRODUCT(IF(NOT(ISERROR(FIND(EXP_MATRIX!$B$1:$Z$1,E$1))),EXP_MATRIX!$B2:$Z2,1))^IF(ISERROR(FIND("2",E$1)),1,2))</f>
        <v>-1</v>
      </c>
      <c r="F2" s="1" cm="1">
        <f t="array" ref="F2">IF(OR(F$1="",EXP_MATRIX!$C2=""),"",PRODUCT(IF(NOT(ISERROR(FIND(EXP_MATRIX!$B$1:$Z$1,F$1))),EXP_MATRIX!$B2:$Z2,1))^IF(ISERROR(FIND("2",F$1)),1,2))</f>
        <v>1</v>
      </c>
      <c r="G2" s="1" cm="1">
        <f t="array" ref="G2">IF(OR(G$1="",EXP_MATRIX!$C2=""),"",PRODUCT(IF(NOT(ISERROR(FIND(EXP_MATRIX!$B$1:$Z$1,G$1))),EXP_MATRIX!$B2:$Z2,1))^IF(ISERROR(FIND("2",G$1)),1,2))</f>
        <v>1</v>
      </c>
      <c r="H2" s="1" t="str" cm="1">
        <f t="array" ref="H2">IF(OR(H$1="",EXP_MATRIX!$C2=""),"",PRODUCT(IF(NOT(ISERROR(FIND(EXP_MATRIX!$B$1:$Z$1,H$1))),EXP_MATRIX!$B2:$Z2,1))^IF(ISERROR(FIND("2",H$1)),1,2))</f>
        <v/>
      </c>
      <c r="I2" s="1" t="str" cm="1">
        <f t="array" ref="I2">IF(OR(I$1="",EXP_MATRIX!$C2=""),"",PRODUCT(IF(NOT(ISERROR(FIND(EXP_MATRIX!$B$1:$Z$1,I$1))),EXP_MATRIX!$B2:$Z2,1))^IF(ISERROR(FIND("2",I$1)),1,2))</f>
        <v/>
      </c>
      <c r="J2" s="1" t="str" cm="1">
        <f t="array" ref="J2">IF(OR(J$1="",EXP_MATRIX!$C2=""),"",PRODUCT(IF(NOT(ISERROR(FIND(EXP_MATRIX!$B$1:$Z$1,J$1))),EXP_MATRIX!$B2:$Z2,1))^IF(ISERROR(FIND("2",J$1)),1,2))</f>
        <v/>
      </c>
      <c r="K2" s="1" t="str" cm="1">
        <f t="array" ref="K2">IF(OR(K$1="",EXP_MATRIX!$C2=""),"",PRODUCT(IF(NOT(ISERROR(FIND(EXP_MATRIX!$B$1:$Z$1,K$1))),EXP_MATRIX!$B2:$Z2,1))^IF(ISERROR(FIND("2",K$1)),1,2))</f>
        <v/>
      </c>
      <c r="L2" s="1" t="str" cm="1">
        <f t="array" ref="L2">IF(OR(L$1="",EXP_MATRIX!$C2=""),"",PRODUCT(IF(NOT(ISERROR(FIND(EXP_MATRIX!$B$1:$Z$1,L$1))),EXP_MATRIX!$B2:$Z2,1))^IF(ISERROR(FIND("2",L$1)),1,2))</f>
        <v/>
      </c>
      <c r="M2" s="1" t="str" cm="1">
        <f t="array" ref="M2">IF(OR(M$1="",EXP_MATRIX!$C2=""),"",PRODUCT(IF(NOT(ISERROR(FIND(EXP_MATRIX!$B$1:$Z$1,M$1))),EXP_MATRIX!$B2:$Z2,1))^IF(ISERROR(FIND("2",M$1)),1,2))</f>
        <v/>
      </c>
      <c r="N2" s="1" t="str" cm="1">
        <f t="array" ref="N2">IF(OR(N$1="",EXP_MATRIX!$C2=""),"",PRODUCT(IF(NOT(ISERROR(FIND(EXP_MATRIX!$B$1:$Z$1,N$1))),EXP_MATRIX!$B2:$Z2,1))^IF(ISERROR(FIND("2",N$1)),1,2))</f>
        <v/>
      </c>
      <c r="O2" s="1" t="str" cm="1">
        <f t="array" ref="O2">IF(OR(O$1="",EXP_MATRIX!$C2=""),"",PRODUCT(IF(NOT(ISERROR(FIND(EXP_MATRIX!$B$1:$Z$1,O$1))),EXP_MATRIX!$B2:$Z2,1))^IF(ISERROR(FIND("2",O$1)),1,2))</f>
        <v/>
      </c>
      <c r="P2" s="1" t="str" cm="1">
        <f t="array" ref="P2">IF(OR(P$1="",EXP_MATRIX!$C2=""),"",PRODUCT(IF(NOT(ISERROR(FIND(EXP_MATRIX!$B$1:$Z$1,P$1))),EXP_MATRIX!$B2:$Z2,1))^IF(ISERROR(FIND("2",P$1)),1,2))</f>
        <v/>
      </c>
      <c r="Q2" s="1" t="str" cm="1">
        <f t="array" ref="Q2">IF(OR(Q$1="",EXP_MATRIX!$C2=""),"",PRODUCT(IF(NOT(ISERROR(FIND(EXP_MATRIX!$B$1:$Z$1,Q$1))),EXP_MATRIX!$B2:$Z2,1))^IF(ISERROR(FIND("2",Q$1)),1,2))</f>
        <v/>
      </c>
      <c r="R2" s="1" t="str" cm="1">
        <f t="array" ref="R2">IF(OR(R$1="",EXP_MATRIX!$C2=""),"",PRODUCT(IF(NOT(ISERROR(FIND(EXP_MATRIX!$B$1:$Z$1,R$1))),EXP_MATRIX!$B2:$Z2,1))^IF(ISERROR(FIND("2",R$1)),1,2))</f>
        <v/>
      </c>
      <c r="S2" s="1" t="str" cm="1">
        <f t="array" ref="S2">IF(OR(S$1="",EXP_MATRIX!$C2=""),"",PRODUCT(IF(NOT(ISERROR(FIND(EXP_MATRIX!$B$1:$Z$1,S$1))),EXP_MATRIX!$B2:$Z2,1))^IF(ISERROR(FIND("2",S$1)),1,2))</f>
        <v/>
      </c>
      <c r="T2" s="1" t="str" cm="1">
        <f t="array" ref="T2">IF(OR(T$1="",EXP_MATRIX!$C2=""),"",PRODUCT(IF(NOT(ISERROR(FIND(EXP_MATRIX!$B$1:$Z$1,T$1))),EXP_MATRIX!$B2:$Z2,1))^IF(ISERROR(FIND("2",T$1)),1,2))</f>
        <v/>
      </c>
      <c r="U2" s="1" t="str" cm="1">
        <f t="array" ref="U2">IF(OR(U$1="",EXP_MATRIX!$C2=""),"",PRODUCT(IF(NOT(ISERROR(FIND(EXP_MATRIX!$B$1:$Z$1,U$1))),EXP_MATRIX!$B2:$Z2,1))^IF(ISERROR(FIND("2",U$1)),1,2))</f>
        <v/>
      </c>
      <c r="V2" s="1" t="str" cm="1">
        <f t="array" ref="V2">IF(OR(V$1="",EXP_MATRIX!$C2=""),"",PRODUCT(IF(NOT(ISERROR(FIND(EXP_MATRIX!$B$1:$Z$1,V$1))),EXP_MATRIX!$B2:$Z2,1))^IF(ISERROR(FIND("2",V$1)),1,2))</f>
        <v/>
      </c>
      <c r="W2" s="1" t="str" cm="1">
        <f t="array" ref="W2">IF(OR(W$1="",EXP_MATRIX!$C2=""),"",PRODUCT(IF(NOT(ISERROR(FIND(EXP_MATRIX!$B$1:$Z$1,W$1))),EXP_MATRIX!$B2:$Z2,1))^IF(ISERROR(FIND("2",W$1)),1,2))</f>
        <v/>
      </c>
      <c r="X2" s="1" t="str" cm="1">
        <f t="array" ref="X2">IF(OR(X$1="",EXP_MATRIX!$C2=""),"",PRODUCT(IF(NOT(ISERROR(FIND(EXP_MATRIX!$B$1:$Z$1,X$1))),EXP_MATRIX!$B2:$Z2,1))^IF(ISERROR(FIND("2",X$1)),1,2))</f>
        <v/>
      </c>
      <c r="Y2" s="1" t="str" cm="1">
        <f t="array" ref="Y2">IF(OR(Y$1="",EXP_MATRIX!$C2=""),"",PRODUCT(IF(NOT(ISERROR(FIND(EXP_MATRIX!$B$1:$Z$1,Y$1))),EXP_MATRIX!$B2:$Z2,1))^IF(ISERROR(FIND("2",Y$1)),1,2))</f>
        <v/>
      </c>
      <c r="Z2" s="1" t="str" cm="1">
        <f t="array" ref="Z2">IF(OR(Z$1="",EXP_MATRIX!$C2=""),"",PRODUCT(IF(NOT(ISERROR(FIND(EXP_MATRIX!$B$1:$Z$1,Z$1))),EXP_MATRIX!$B2:$Z2,1))^IF(ISERROR(FIND("2",Z$1)),1,2))</f>
        <v/>
      </c>
      <c r="AA2" s="1" t="str" cm="1">
        <f t="array" ref="AA2">IF(OR(AA$1="",EXP_MATRIX!$C2=""),"",PRODUCT(IF(NOT(ISERROR(FIND(EXP_MATRIX!$B$1:$Z$1,AA$1))),EXP_MATRIX!$B2:$Z2,1))^IF(ISERROR(FIND("2",AA$1)),1,2))</f>
        <v/>
      </c>
    </row>
    <row r="3" spans="1:27" x14ac:dyDescent="0.25">
      <c r="A3">
        <v>2</v>
      </c>
      <c r="B3" s="1" cm="1">
        <f t="array" ref="B3">IF(OR(B$1="",EXP_MATRIX!$C3=""),"",PRODUCT(IF(NOT(ISERROR(FIND(EXP_MATRIX!$B$1:$Z$1,B$1))),EXP_MATRIX!$B3:$Z3,1))^IF(ISERROR(FIND("2",B$1)),1,2))</f>
        <v>4.00793976875</v>
      </c>
      <c r="C3" s="1" cm="1">
        <f t="array" ref="C3">IF(OR(C$1="",EXP_MATRIX!$C3=""),"",PRODUCT(IF(NOT(ISERROR(FIND(EXP_MATRIX!$B$1:$Z$1,C$1))),EXP_MATRIX!$B3:$Z3,1))^IF(ISERROR(FIND("2",C$1)),1,2))</f>
        <v>1</v>
      </c>
      <c r="D3" s="1" cm="1">
        <f t="array" ref="D3">IF(OR(D$1="",EXP_MATRIX!$C3=""),"",PRODUCT(IF(NOT(ISERROR(FIND(EXP_MATRIX!$B$1:$Z$1,D$1))),EXP_MATRIX!$B3:$Z3,1))^IF(ISERROR(FIND("2",D$1)),1,2))</f>
        <v>-1</v>
      </c>
      <c r="E3" s="1" cm="1">
        <f t="array" ref="E3">IF(OR(E$1="",EXP_MATRIX!$C3=""),"",PRODUCT(IF(NOT(ISERROR(FIND(EXP_MATRIX!$B$1:$Z$1,E$1))),EXP_MATRIX!$B3:$Z3,1))^IF(ISERROR(FIND("2",E$1)),1,2))</f>
        <v>-1</v>
      </c>
      <c r="F3" s="1" cm="1">
        <f t="array" ref="F3">IF(OR(F$1="",EXP_MATRIX!$C3=""),"",PRODUCT(IF(NOT(ISERROR(FIND(EXP_MATRIX!$B$1:$Z$1,F$1))),EXP_MATRIX!$B3:$Z3,1))^IF(ISERROR(FIND("2",F$1)),1,2))</f>
        <v>-1</v>
      </c>
      <c r="G3" s="1" cm="1">
        <f t="array" ref="G3">IF(OR(G$1="",EXP_MATRIX!$C3=""),"",PRODUCT(IF(NOT(ISERROR(FIND(EXP_MATRIX!$B$1:$Z$1,G$1))),EXP_MATRIX!$B3:$Z3,1))^IF(ISERROR(FIND("2",G$1)),1,2))</f>
        <v>-1</v>
      </c>
      <c r="H3" s="1" t="str" cm="1">
        <f t="array" ref="H3">IF(OR(H$1="",EXP_MATRIX!$C3=""),"",PRODUCT(IF(NOT(ISERROR(FIND(EXP_MATRIX!$B$1:$Z$1,H$1))),EXP_MATRIX!$B3:$Z3,1))^IF(ISERROR(FIND("2",H$1)),1,2))</f>
        <v/>
      </c>
      <c r="I3" s="1" t="str" cm="1">
        <f t="array" ref="I3">IF(OR(I$1="",EXP_MATRIX!$C3=""),"",PRODUCT(IF(NOT(ISERROR(FIND(EXP_MATRIX!$B$1:$Z$1,I$1))),EXP_MATRIX!$B3:$Z3,1))^IF(ISERROR(FIND("2",I$1)),1,2))</f>
        <v/>
      </c>
      <c r="J3" s="1" t="str" cm="1">
        <f t="array" ref="J3">IF(OR(J$1="",EXP_MATRIX!$C3=""),"",PRODUCT(IF(NOT(ISERROR(FIND(EXP_MATRIX!$B$1:$Z$1,J$1))),EXP_MATRIX!$B3:$Z3,1))^IF(ISERROR(FIND("2",J$1)),1,2))</f>
        <v/>
      </c>
      <c r="K3" s="1" t="str" cm="1">
        <f t="array" ref="K3">IF(OR(K$1="",EXP_MATRIX!$C3=""),"",PRODUCT(IF(NOT(ISERROR(FIND(EXP_MATRIX!$B$1:$Z$1,K$1))),EXP_MATRIX!$B3:$Z3,1))^IF(ISERROR(FIND("2",K$1)),1,2))</f>
        <v/>
      </c>
      <c r="L3" s="1" t="str" cm="1">
        <f t="array" ref="L3">IF(OR(L$1="",EXP_MATRIX!$C3=""),"",PRODUCT(IF(NOT(ISERROR(FIND(EXP_MATRIX!$B$1:$Z$1,L$1))),EXP_MATRIX!$B3:$Z3,1))^IF(ISERROR(FIND("2",L$1)),1,2))</f>
        <v/>
      </c>
      <c r="M3" s="1" t="str" cm="1">
        <f t="array" ref="M3">IF(OR(M$1="",EXP_MATRIX!$C3=""),"",PRODUCT(IF(NOT(ISERROR(FIND(EXP_MATRIX!$B$1:$Z$1,M$1))),EXP_MATRIX!$B3:$Z3,1))^IF(ISERROR(FIND("2",M$1)),1,2))</f>
        <v/>
      </c>
      <c r="N3" s="1" t="str" cm="1">
        <f t="array" ref="N3">IF(OR(N$1="",EXP_MATRIX!$C3=""),"",PRODUCT(IF(NOT(ISERROR(FIND(EXP_MATRIX!$B$1:$Z$1,N$1))),EXP_MATRIX!$B3:$Z3,1))^IF(ISERROR(FIND("2",N$1)),1,2))</f>
        <v/>
      </c>
      <c r="O3" s="1" t="str" cm="1">
        <f t="array" ref="O3">IF(OR(O$1="",EXP_MATRIX!$C3=""),"",PRODUCT(IF(NOT(ISERROR(FIND(EXP_MATRIX!$B$1:$Z$1,O$1))),EXP_MATRIX!$B3:$Z3,1))^IF(ISERROR(FIND("2",O$1)),1,2))</f>
        <v/>
      </c>
      <c r="P3" s="1" t="str" cm="1">
        <f t="array" ref="P3">IF(OR(P$1="",EXP_MATRIX!$C3=""),"",PRODUCT(IF(NOT(ISERROR(FIND(EXP_MATRIX!$B$1:$Z$1,P$1))),EXP_MATRIX!$B3:$Z3,1))^IF(ISERROR(FIND("2",P$1)),1,2))</f>
        <v/>
      </c>
      <c r="Q3" s="1" t="str" cm="1">
        <f t="array" ref="Q3">IF(OR(Q$1="",EXP_MATRIX!$C3=""),"",PRODUCT(IF(NOT(ISERROR(FIND(EXP_MATRIX!$B$1:$Z$1,Q$1))),EXP_MATRIX!$B3:$Z3,1))^IF(ISERROR(FIND("2",Q$1)),1,2))</f>
        <v/>
      </c>
      <c r="R3" s="1" t="str" cm="1">
        <f t="array" ref="R3">IF(OR(R$1="",EXP_MATRIX!$C3=""),"",PRODUCT(IF(NOT(ISERROR(FIND(EXP_MATRIX!$B$1:$Z$1,R$1))),EXP_MATRIX!$B3:$Z3,1))^IF(ISERROR(FIND("2",R$1)),1,2))</f>
        <v/>
      </c>
      <c r="S3" s="1" t="str" cm="1">
        <f t="array" ref="S3">IF(OR(S$1="",EXP_MATRIX!$C3=""),"",PRODUCT(IF(NOT(ISERROR(FIND(EXP_MATRIX!$B$1:$Z$1,S$1))),EXP_MATRIX!$B3:$Z3,1))^IF(ISERROR(FIND("2",S$1)),1,2))</f>
        <v/>
      </c>
      <c r="T3" s="1" t="str" cm="1">
        <f t="array" ref="T3">IF(OR(T$1="",EXP_MATRIX!$C3=""),"",PRODUCT(IF(NOT(ISERROR(FIND(EXP_MATRIX!$B$1:$Z$1,T$1))),EXP_MATRIX!$B3:$Z3,1))^IF(ISERROR(FIND("2",T$1)),1,2))</f>
        <v/>
      </c>
      <c r="U3" s="1" t="str" cm="1">
        <f t="array" ref="U3">IF(OR(U$1="",EXP_MATRIX!$C3=""),"",PRODUCT(IF(NOT(ISERROR(FIND(EXP_MATRIX!$B$1:$Z$1,U$1))),EXP_MATRIX!$B3:$Z3,1))^IF(ISERROR(FIND("2",U$1)),1,2))</f>
        <v/>
      </c>
      <c r="V3" s="1" t="str" cm="1">
        <f t="array" ref="V3">IF(OR(V$1="",EXP_MATRIX!$C3=""),"",PRODUCT(IF(NOT(ISERROR(FIND(EXP_MATRIX!$B$1:$Z$1,V$1))),EXP_MATRIX!$B3:$Z3,1))^IF(ISERROR(FIND("2",V$1)),1,2))</f>
        <v/>
      </c>
      <c r="W3" s="1" t="str" cm="1">
        <f t="array" ref="W3">IF(OR(W$1="",EXP_MATRIX!$C3=""),"",PRODUCT(IF(NOT(ISERROR(FIND(EXP_MATRIX!$B$1:$Z$1,W$1))),EXP_MATRIX!$B3:$Z3,1))^IF(ISERROR(FIND("2",W$1)),1,2))</f>
        <v/>
      </c>
      <c r="X3" s="1" t="str" cm="1">
        <f t="array" ref="X3">IF(OR(X$1="",EXP_MATRIX!$C3=""),"",PRODUCT(IF(NOT(ISERROR(FIND(EXP_MATRIX!$B$1:$Z$1,X$1))),EXP_MATRIX!$B3:$Z3,1))^IF(ISERROR(FIND("2",X$1)),1,2))</f>
        <v/>
      </c>
      <c r="Y3" s="1" t="str" cm="1">
        <f t="array" ref="Y3">IF(OR(Y$1="",EXP_MATRIX!$C3=""),"",PRODUCT(IF(NOT(ISERROR(FIND(EXP_MATRIX!$B$1:$Z$1,Y$1))),EXP_MATRIX!$B3:$Z3,1))^IF(ISERROR(FIND("2",Y$1)),1,2))</f>
        <v/>
      </c>
      <c r="Z3" s="1" t="str" cm="1">
        <f t="array" ref="Z3">IF(OR(Z$1="",EXP_MATRIX!$C3=""),"",PRODUCT(IF(NOT(ISERROR(FIND(EXP_MATRIX!$B$1:$Z$1,Z$1))),EXP_MATRIX!$B3:$Z3,1))^IF(ISERROR(FIND("2",Z$1)),1,2))</f>
        <v/>
      </c>
      <c r="AA3" s="1" t="str" cm="1">
        <f t="array" ref="AA3">IF(OR(AA$1="",EXP_MATRIX!$C3=""),"",PRODUCT(IF(NOT(ISERROR(FIND(EXP_MATRIX!$B$1:$Z$1,AA$1))),EXP_MATRIX!$B3:$Z3,1))^IF(ISERROR(FIND("2",AA$1)),1,2))</f>
        <v/>
      </c>
    </row>
    <row r="4" spans="1:27" x14ac:dyDescent="0.25">
      <c r="A4">
        <v>3</v>
      </c>
      <c r="B4" s="1" cm="1">
        <f t="array" ref="B4">IF(OR(B$1="",EXP_MATRIX!$C4=""),"",PRODUCT(IF(NOT(ISERROR(FIND(EXP_MATRIX!$B$1:$Z$1,B$1))),EXP_MATRIX!$B4:$Z4,1))^IF(ISERROR(FIND("2",B$1)),1,2))</f>
        <v>5.1804760187500003</v>
      </c>
      <c r="C4" s="1" cm="1">
        <f t="array" ref="C4">IF(OR(C$1="",EXP_MATRIX!$C4=""),"",PRODUCT(IF(NOT(ISERROR(FIND(EXP_MATRIX!$B$1:$Z$1,C$1))),EXP_MATRIX!$B4:$Z4,1))^IF(ISERROR(FIND("2",C$1)),1,2))</f>
        <v>-1</v>
      </c>
      <c r="D4" s="1" cm="1">
        <f t="array" ref="D4">IF(OR(D$1="",EXP_MATRIX!$C4=""),"",PRODUCT(IF(NOT(ISERROR(FIND(EXP_MATRIX!$B$1:$Z$1,D$1))),EXP_MATRIX!$B4:$Z4,1))^IF(ISERROR(FIND("2",D$1)),1,2))</f>
        <v>-1</v>
      </c>
      <c r="E4" s="1" cm="1">
        <f t="array" ref="E4">IF(OR(E$1="",EXP_MATRIX!$C4=""),"",PRODUCT(IF(NOT(ISERROR(FIND(EXP_MATRIX!$B$1:$Z$1,E$1))),EXP_MATRIX!$B4:$Z4,1))^IF(ISERROR(FIND("2",E$1)),1,2))</f>
        <v>-1</v>
      </c>
      <c r="F4" s="1" cm="1">
        <f t="array" ref="F4">IF(OR(F$1="",EXP_MATRIX!$C4=""),"",PRODUCT(IF(NOT(ISERROR(FIND(EXP_MATRIX!$B$1:$Z$1,F$1))),EXP_MATRIX!$B4:$Z4,1))^IF(ISERROR(FIND("2",F$1)),1,2))</f>
        <v>1</v>
      </c>
      <c r="G4" s="1" cm="1">
        <f t="array" ref="G4">IF(OR(G$1="",EXP_MATRIX!$C4=""),"",PRODUCT(IF(NOT(ISERROR(FIND(EXP_MATRIX!$B$1:$Z$1,G$1))),EXP_MATRIX!$B4:$Z4,1))^IF(ISERROR(FIND("2",G$1)),1,2))</f>
        <v>1</v>
      </c>
      <c r="H4" s="1" t="str" cm="1">
        <f t="array" ref="H4">IF(OR(H$1="",EXP_MATRIX!$C4=""),"",PRODUCT(IF(NOT(ISERROR(FIND(EXP_MATRIX!$B$1:$Z$1,H$1))),EXP_MATRIX!$B4:$Z4,1))^IF(ISERROR(FIND("2",H$1)),1,2))</f>
        <v/>
      </c>
      <c r="I4" s="1" t="str" cm="1">
        <f t="array" ref="I4">IF(OR(I$1="",EXP_MATRIX!$C4=""),"",PRODUCT(IF(NOT(ISERROR(FIND(EXP_MATRIX!$B$1:$Z$1,I$1))),EXP_MATRIX!$B4:$Z4,1))^IF(ISERROR(FIND("2",I$1)),1,2))</f>
        <v/>
      </c>
      <c r="J4" s="1" t="str" cm="1">
        <f t="array" ref="J4">IF(OR(J$1="",EXP_MATRIX!$C4=""),"",PRODUCT(IF(NOT(ISERROR(FIND(EXP_MATRIX!$B$1:$Z$1,J$1))),EXP_MATRIX!$B4:$Z4,1))^IF(ISERROR(FIND("2",J$1)),1,2))</f>
        <v/>
      </c>
      <c r="K4" s="1" t="str" cm="1">
        <f t="array" ref="K4">IF(OR(K$1="",EXP_MATRIX!$C4=""),"",PRODUCT(IF(NOT(ISERROR(FIND(EXP_MATRIX!$B$1:$Z$1,K$1))),EXP_MATRIX!$B4:$Z4,1))^IF(ISERROR(FIND("2",K$1)),1,2))</f>
        <v/>
      </c>
      <c r="L4" s="1" t="str" cm="1">
        <f t="array" ref="L4">IF(OR(L$1="",EXP_MATRIX!$C4=""),"",PRODUCT(IF(NOT(ISERROR(FIND(EXP_MATRIX!$B$1:$Z$1,L$1))),EXP_MATRIX!$B4:$Z4,1))^IF(ISERROR(FIND("2",L$1)),1,2))</f>
        <v/>
      </c>
      <c r="M4" s="1" t="str" cm="1">
        <f t="array" ref="M4">IF(OR(M$1="",EXP_MATRIX!$C4=""),"",PRODUCT(IF(NOT(ISERROR(FIND(EXP_MATRIX!$B$1:$Z$1,M$1))),EXP_MATRIX!$B4:$Z4,1))^IF(ISERROR(FIND("2",M$1)),1,2))</f>
        <v/>
      </c>
      <c r="N4" s="1" t="str" cm="1">
        <f t="array" ref="N4">IF(OR(N$1="",EXP_MATRIX!$C4=""),"",PRODUCT(IF(NOT(ISERROR(FIND(EXP_MATRIX!$B$1:$Z$1,N$1))),EXP_MATRIX!$B4:$Z4,1))^IF(ISERROR(FIND("2",N$1)),1,2))</f>
        <v/>
      </c>
      <c r="O4" s="1" t="str" cm="1">
        <f t="array" ref="O4">IF(OR(O$1="",EXP_MATRIX!$C4=""),"",PRODUCT(IF(NOT(ISERROR(FIND(EXP_MATRIX!$B$1:$Z$1,O$1))),EXP_MATRIX!$B4:$Z4,1))^IF(ISERROR(FIND("2",O$1)),1,2))</f>
        <v/>
      </c>
      <c r="P4" s="1" t="str" cm="1">
        <f t="array" ref="P4">IF(OR(P$1="",EXP_MATRIX!$C4=""),"",PRODUCT(IF(NOT(ISERROR(FIND(EXP_MATRIX!$B$1:$Z$1,P$1))),EXP_MATRIX!$B4:$Z4,1))^IF(ISERROR(FIND("2",P$1)),1,2))</f>
        <v/>
      </c>
      <c r="Q4" s="1" t="str" cm="1">
        <f t="array" ref="Q4">IF(OR(Q$1="",EXP_MATRIX!$C4=""),"",PRODUCT(IF(NOT(ISERROR(FIND(EXP_MATRIX!$B$1:$Z$1,Q$1))),EXP_MATRIX!$B4:$Z4,1))^IF(ISERROR(FIND("2",Q$1)),1,2))</f>
        <v/>
      </c>
      <c r="R4" s="1" t="str" cm="1">
        <f t="array" ref="R4">IF(OR(R$1="",EXP_MATRIX!$C4=""),"",PRODUCT(IF(NOT(ISERROR(FIND(EXP_MATRIX!$B$1:$Z$1,R$1))),EXP_MATRIX!$B4:$Z4,1))^IF(ISERROR(FIND("2",R$1)),1,2))</f>
        <v/>
      </c>
      <c r="S4" s="1" t="str" cm="1">
        <f t="array" ref="S4">IF(OR(S$1="",EXP_MATRIX!$C4=""),"",PRODUCT(IF(NOT(ISERROR(FIND(EXP_MATRIX!$B$1:$Z$1,S$1))),EXP_MATRIX!$B4:$Z4,1))^IF(ISERROR(FIND("2",S$1)),1,2))</f>
        <v/>
      </c>
      <c r="T4" s="1" t="str" cm="1">
        <f t="array" ref="T4">IF(OR(T$1="",EXP_MATRIX!$C4=""),"",PRODUCT(IF(NOT(ISERROR(FIND(EXP_MATRIX!$B$1:$Z$1,T$1))),EXP_MATRIX!$B4:$Z4,1))^IF(ISERROR(FIND("2",T$1)),1,2))</f>
        <v/>
      </c>
      <c r="U4" s="1" t="str" cm="1">
        <f t="array" ref="U4">IF(OR(U$1="",EXP_MATRIX!$C4=""),"",PRODUCT(IF(NOT(ISERROR(FIND(EXP_MATRIX!$B$1:$Z$1,U$1))),EXP_MATRIX!$B4:$Z4,1))^IF(ISERROR(FIND("2",U$1)),1,2))</f>
        <v/>
      </c>
      <c r="V4" s="1" t="str" cm="1">
        <f t="array" ref="V4">IF(OR(V$1="",EXP_MATRIX!$C4=""),"",PRODUCT(IF(NOT(ISERROR(FIND(EXP_MATRIX!$B$1:$Z$1,V$1))),EXP_MATRIX!$B4:$Z4,1))^IF(ISERROR(FIND("2",V$1)),1,2))</f>
        <v/>
      </c>
      <c r="W4" s="1" t="str" cm="1">
        <f t="array" ref="W4">IF(OR(W$1="",EXP_MATRIX!$C4=""),"",PRODUCT(IF(NOT(ISERROR(FIND(EXP_MATRIX!$B$1:$Z$1,W$1))),EXP_MATRIX!$B4:$Z4,1))^IF(ISERROR(FIND("2",W$1)),1,2))</f>
        <v/>
      </c>
      <c r="X4" s="1" t="str" cm="1">
        <f t="array" ref="X4">IF(OR(X$1="",EXP_MATRIX!$C4=""),"",PRODUCT(IF(NOT(ISERROR(FIND(EXP_MATRIX!$B$1:$Z$1,X$1))),EXP_MATRIX!$B4:$Z4,1))^IF(ISERROR(FIND("2",X$1)),1,2))</f>
        <v/>
      </c>
      <c r="Y4" s="1" t="str" cm="1">
        <f t="array" ref="Y4">IF(OR(Y$1="",EXP_MATRIX!$C4=""),"",PRODUCT(IF(NOT(ISERROR(FIND(EXP_MATRIX!$B$1:$Z$1,Y$1))),EXP_MATRIX!$B4:$Z4,1))^IF(ISERROR(FIND("2",Y$1)),1,2))</f>
        <v/>
      </c>
      <c r="Z4" s="1" t="str" cm="1">
        <f t="array" ref="Z4">IF(OR(Z$1="",EXP_MATRIX!$C4=""),"",PRODUCT(IF(NOT(ISERROR(FIND(EXP_MATRIX!$B$1:$Z$1,Z$1))),EXP_MATRIX!$B4:$Z4,1))^IF(ISERROR(FIND("2",Z$1)),1,2))</f>
        <v/>
      </c>
      <c r="AA4" s="1" t="str" cm="1">
        <f t="array" ref="AA4">IF(OR(AA$1="",EXP_MATRIX!$C4=""),"",PRODUCT(IF(NOT(ISERROR(FIND(EXP_MATRIX!$B$1:$Z$1,AA$1))),EXP_MATRIX!$B4:$Z4,1))^IF(ISERROR(FIND("2",AA$1)),1,2))</f>
        <v/>
      </c>
    </row>
    <row r="5" spans="1:27" x14ac:dyDescent="0.25">
      <c r="A5">
        <v>4</v>
      </c>
      <c r="B5" s="1" cm="1">
        <f t="array" ref="B5">IF(OR(B$1="",EXP_MATRIX!$C5=""),"",PRODUCT(IF(NOT(ISERROR(FIND(EXP_MATRIX!$B$1:$Z$1,B$1))),EXP_MATRIX!$B5:$Z5,1))^IF(ISERROR(FIND("2",B$1)),1,2))</f>
        <v>4.6917005187500003</v>
      </c>
      <c r="C5" s="1" cm="1">
        <f t="array" ref="C5">IF(OR(C$1="",EXP_MATRIX!$C5=""),"",PRODUCT(IF(NOT(ISERROR(FIND(EXP_MATRIX!$B$1:$Z$1,C$1))),EXP_MATRIX!$B5:$Z5,1))^IF(ISERROR(FIND("2",C$1)),1,2))</f>
        <v>1</v>
      </c>
      <c r="D5" s="1" cm="1">
        <f t="array" ref="D5">IF(OR(D$1="",EXP_MATRIX!$C5=""),"",PRODUCT(IF(NOT(ISERROR(FIND(EXP_MATRIX!$B$1:$Z$1,D$1))),EXP_MATRIX!$B5:$Z5,1))^IF(ISERROR(FIND("2",D$1)),1,2))</f>
        <v>-1</v>
      </c>
      <c r="E5" s="1" cm="1">
        <f t="array" ref="E5">IF(OR(E$1="",EXP_MATRIX!$C5=""),"",PRODUCT(IF(NOT(ISERROR(FIND(EXP_MATRIX!$B$1:$Z$1,E$1))),EXP_MATRIX!$B5:$Z5,1))^IF(ISERROR(FIND("2",E$1)),1,2))</f>
        <v>-1</v>
      </c>
      <c r="F5" s="1" cm="1">
        <f t="array" ref="F5">IF(OR(F$1="",EXP_MATRIX!$C5=""),"",PRODUCT(IF(NOT(ISERROR(FIND(EXP_MATRIX!$B$1:$Z$1,F$1))),EXP_MATRIX!$B5:$Z5,1))^IF(ISERROR(FIND("2",F$1)),1,2))</f>
        <v>-1</v>
      </c>
      <c r="G5" s="1" cm="1">
        <f t="array" ref="G5">IF(OR(G$1="",EXP_MATRIX!$C5=""),"",PRODUCT(IF(NOT(ISERROR(FIND(EXP_MATRIX!$B$1:$Z$1,G$1))),EXP_MATRIX!$B5:$Z5,1))^IF(ISERROR(FIND("2",G$1)),1,2))</f>
        <v>-1</v>
      </c>
      <c r="H5" s="1" t="str" cm="1">
        <f t="array" ref="H5">IF(OR(H$1="",EXP_MATRIX!$C5=""),"",PRODUCT(IF(NOT(ISERROR(FIND(EXP_MATRIX!$B$1:$Z$1,H$1))),EXP_MATRIX!$B5:$Z5,1))^IF(ISERROR(FIND("2",H$1)),1,2))</f>
        <v/>
      </c>
      <c r="I5" s="1" t="str" cm="1">
        <f t="array" ref="I5">IF(OR(I$1="",EXP_MATRIX!$C5=""),"",PRODUCT(IF(NOT(ISERROR(FIND(EXP_MATRIX!$B$1:$Z$1,I$1))),EXP_MATRIX!$B5:$Z5,1))^IF(ISERROR(FIND("2",I$1)),1,2))</f>
        <v/>
      </c>
      <c r="J5" s="1" t="str" cm="1">
        <f t="array" ref="J5">IF(OR(J$1="",EXP_MATRIX!$C5=""),"",PRODUCT(IF(NOT(ISERROR(FIND(EXP_MATRIX!$B$1:$Z$1,J$1))),EXP_MATRIX!$B5:$Z5,1))^IF(ISERROR(FIND("2",J$1)),1,2))</f>
        <v/>
      </c>
      <c r="K5" s="1" t="str" cm="1">
        <f t="array" ref="K5">IF(OR(K$1="",EXP_MATRIX!$C5=""),"",PRODUCT(IF(NOT(ISERROR(FIND(EXP_MATRIX!$B$1:$Z$1,K$1))),EXP_MATRIX!$B5:$Z5,1))^IF(ISERROR(FIND("2",K$1)),1,2))</f>
        <v/>
      </c>
      <c r="L5" s="1" t="str" cm="1">
        <f t="array" ref="L5">IF(OR(L$1="",EXP_MATRIX!$C5=""),"",PRODUCT(IF(NOT(ISERROR(FIND(EXP_MATRIX!$B$1:$Z$1,L$1))),EXP_MATRIX!$B5:$Z5,1))^IF(ISERROR(FIND("2",L$1)),1,2))</f>
        <v/>
      </c>
      <c r="M5" s="1" t="str" cm="1">
        <f t="array" ref="M5">IF(OR(M$1="",EXP_MATRIX!$C5=""),"",PRODUCT(IF(NOT(ISERROR(FIND(EXP_MATRIX!$B$1:$Z$1,M$1))),EXP_MATRIX!$B5:$Z5,1))^IF(ISERROR(FIND("2",M$1)),1,2))</f>
        <v/>
      </c>
      <c r="N5" s="1" t="str" cm="1">
        <f t="array" ref="N5">IF(OR(N$1="",EXP_MATRIX!$C5=""),"",PRODUCT(IF(NOT(ISERROR(FIND(EXP_MATRIX!$B$1:$Z$1,N$1))),EXP_MATRIX!$B5:$Z5,1))^IF(ISERROR(FIND("2",N$1)),1,2))</f>
        <v/>
      </c>
      <c r="O5" s="1" t="str" cm="1">
        <f t="array" ref="O5">IF(OR(O$1="",EXP_MATRIX!$C5=""),"",PRODUCT(IF(NOT(ISERROR(FIND(EXP_MATRIX!$B$1:$Z$1,O$1))),EXP_MATRIX!$B5:$Z5,1))^IF(ISERROR(FIND("2",O$1)),1,2))</f>
        <v/>
      </c>
      <c r="P5" s="1" t="str" cm="1">
        <f t="array" ref="P5">IF(OR(P$1="",EXP_MATRIX!$C5=""),"",PRODUCT(IF(NOT(ISERROR(FIND(EXP_MATRIX!$B$1:$Z$1,P$1))),EXP_MATRIX!$B5:$Z5,1))^IF(ISERROR(FIND("2",P$1)),1,2))</f>
        <v/>
      </c>
      <c r="Q5" s="1" t="str" cm="1">
        <f t="array" ref="Q5">IF(OR(Q$1="",EXP_MATRIX!$C5=""),"",PRODUCT(IF(NOT(ISERROR(FIND(EXP_MATRIX!$B$1:$Z$1,Q$1))),EXP_MATRIX!$B5:$Z5,1))^IF(ISERROR(FIND("2",Q$1)),1,2))</f>
        <v/>
      </c>
      <c r="R5" s="1" t="str" cm="1">
        <f t="array" ref="R5">IF(OR(R$1="",EXP_MATRIX!$C5=""),"",PRODUCT(IF(NOT(ISERROR(FIND(EXP_MATRIX!$B$1:$Z$1,R$1))),EXP_MATRIX!$B5:$Z5,1))^IF(ISERROR(FIND("2",R$1)),1,2))</f>
        <v/>
      </c>
      <c r="S5" s="1" t="str" cm="1">
        <f t="array" ref="S5">IF(OR(S$1="",EXP_MATRIX!$C5=""),"",PRODUCT(IF(NOT(ISERROR(FIND(EXP_MATRIX!$B$1:$Z$1,S$1))),EXP_MATRIX!$B5:$Z5,1))^IF(ISERROR(FIND("2",S$1)),1,2))</f>
        <v/>
      </c>
      <c r="T5" s="1" t="str" cm="1">
        <f t="array" ref="T5">IF(OR(T$1="",EXP_MATRIX!$C5=""),"",PRODUCT(IF(NOT(ISERROR(FIND(EXP_MATRIX!$B$1:$Z$1,T$1))),EXP_MATRIX!$B5:$Z5,1))^IF(ISERROR(FIND("2",T$1)),1,2))</f>
        <v/>
      </c>
      <c r="U5" s="1" t="str" cm="1">
        <f t="array" ref="U5">IF(OR(U$1="",EXP_MATRIX!$C5=""),"",PRODUCT(IF(NOT(ISERROR(FIND(EXP_MATRIX!$B$1:$Z$1,U$1))),EXP_MATRIX!$B5:$Z5,1))^IF(ISERROR(FIND("2",U$1)),1,2))</f>
        <v/>
      </c>
      <c r="V5" s="1" t="str" cm="1">
        <f t="array" ref="V5">IF(OR(V$1="",EXP_MATRIX!$C5=""),"",PRODUCT(IF(NOT(ISERROR(FIND(EXP_MATRIX!$B$1:$Z$1,V$1))),EXP_MATRIX!$B5:$Z5,1))^IF(ISERROR(FIND("2",V$1)),1,2))</f>
        <v/>
      </c>
      <c r="W5" s="1" t="str" cm="1">
        <f t="array" ref="W5">IF(OR(W$1="",EXP_MATRIX!$C5=""),"",PRODUCT(IF(NOT(ISERROR(FIND(EXP_MATRIX!$B$1:$Z$1,W$1))),EXP_MATRIX!$B5:$Z5,1))^IF(ISERROR(FIND("2",W$1)),1,2))</f>
        <v/>
      </c>
      <c r="X5" s="1" t="str" cm="1">
        <f t="array" ref="X5">IF(OR(X$1="",EXP_MATRIX!$C5=""),"",PRODUCT(IF(NOT(ISERROR(FIND(EXP_MATRIX!$B$1:$Z$1,X$1))),EXP_MATRIX!$B5:$Z5,1))^IF(ISERROR(FIND("2",X$1)),1,2))</f>
        <v/>
      </c>
      <c r="Y5" s="1" t="str" cm="1">
        <f t="array" ref="Y5">IF(OR(Y$1="",EXP_MATRIX!$C5=""),"",PRODUCT(IF(NOT(ISERROR(FIND(EXP_MATRIX!$B$1:$Z$1,Y$1))),EXP_MATRIX!$B5:$Z5,1))^IF(ISERROR(FIND("2",Y$1)),1,2))</f>
        <v/>
      </c>
      <c r="Z5" s="1" t="str" cm="1">
        <f t="array" ref="Z5">IF(OR(Z$1="",EXP_MATRIX!$C5=""),"",PRODUCT(IF(NOT(ISERROR(FIND(EXP_MATRIX!$B$1:$Z$1,Z$1))),EXP_MATRIX!$B5:$Z5,1))^IF(ISERROR(FIND("2",Z$1)),1,2))</f>
        <v/>
      </c>
      <c r="AA5" s="1" t="str" cm="1">
        <f t="array" ref="AA5">IF(OR(AA$1="",EXP_MATRIX!$C5=""),"",PRODUCT(IF(NOT(ISERROR(FIND(EXP_MATRIX!$B$1:$Z$1,AA$1))),EXP_MATRIX!$B5:$Z5,1))^IF(ISERROR(FIND("2",AA$1)),1,2))</f>
        <v/>
      </c>
    </row>
    <row r="6" spans="1:27" x14ac:dyDescent="0.25">
      <c r="A6">
        <v>5</v>
      </c>
      <c r="B6" s="1" cm="1">
        <f t="array" ref="B6">IF(OR(B$1="",EXP_MATRIX!$C6=""),"",PRODUCT(IF(NOT(ISERROR(FIND(EXP_MATRIX!$B$1:$Z$1,B$1))),EXP_MATRIX!$B6:$Z6,1))^IF(ISERROR(FIND("2",B$1)),1,2))</f>
        <v>8.5331880187499998</v>
      </c>
      <c r="C6" s="1" cm="1">
        <f t="array" ref="C6">IF(OR(C$1="",EXP_MATRIX!$C6=""),"",PRODUCT(IF(NOT(ISERROR(FIND(EXP_MATRIX!$B$1:$Z$1,C$1))),EXP_MATRIX!$B6:$Z6,1))^IF(ISERROR(FIND("2",C$1)),1,2))</f>
        <v>-1</v>
      </c>
      <c r="D6" s="1" cm="1">
        <f t="array" ref="D6">IF(OR(D$1="",EXP_MATRIX!$C6=""),"",PRODUCT(IF(NOT(ISERROR(FIND(EXP_MATRIX!$B$1:$Z$1,D$1))),EXP_MATRIX!$B6:$Z6,1))^IF(ISERROR(FIND("2",D$1)),1,2))</f>
        <v>1</v>
      </c>
      <c r="E6" s="1" cm="1">
        <f t="array" ref="E6">IF(OR(E$1="",EXP_MATRIX!$C6=""),"",PRODUCT(IF(NOT(ISERROR(FIND(EXP_MATRIX!$B$1:$Z$1,E$1))),EXP_MATRIX!$B6:$Z6,1))^IF(ISERROR(FIND("2",E$1)),1,2))</f>
        <v>-1</v>
      </c>
      <c r="F6" s="1" cm="1">
        <f t="array" ref="F6">IF(OR(F$1="",EXP_MATRIX!$C6=""),"",PRODUCT(IF(NOT(ISERROR(FIND(EXP_MATRIX!$B$1:$Z$1,F$1))),EXP_MATRIX!$B6:$Z6,1))^IF(ISERROR(FIND("2",F$1)),1,2))</f>
        <v>-1</v>
      </c>
      <c r="G6" s="1" cm="1">
        <f t="array" ref="G6">IF(OR(G$1="",EXP_MATRIX!$C6=""),"",PRODUCT(IF(NOT(ISERROR(FIND(EXP_MATRIX!$B$1:$Z$1,G$1))),EXP_MATRIX!$B6:$Z6,1))^IF(ISERROR(FIND("2",G$1)),1,2))</f>
        <v>1</v>
      </c>
      <c r="H6" s="1" t="str" cm="1">
        <f t="array" ref="H6">IF(OR(H$1="",EXP_MATRIX!$C6=""),"",PRODUCT(IF(NOT(ISERROR(FIND(EXP_MATRIX!$B$1:$Z$1,H$1))),EXP_MATRIX!$B6:$Z6,1))^IF(ISERROR(FIND("2",H$1)),1,2))</f>
        <v/>
      </c>
      <c r="I6" s="1" t="str" cm="1">
        <f t="array" ref="I6">IF(OR(I$1="",EXP_MATRIX!$C6=""),"",PRODUCT(IF(NOT(ISERROR(FIND(EXP_MATRIX!$B$1:$Z$1,I$1))),EXP_MATRIX!$B6:$Z6,1))^IF(ISERROR(FIND("2",I$1)),1,2))</f>
        <v/>
      </c>
      <c r="J6" s="1" t="str" cm="1">
        <f t="array" ref="J6">IF(OR(J$1="",EXP_MATRIX!$C6=""),"",PRODUCT(IF(NOT(ISERROR(FIND(EXP_MATRIX!$B$1:$Z$1,J$1))),EXP_MATRIX!$B6:$Z6,1))^IF(ISERROR(FIND("2",J$1)),1,2))</f>
        <v/>
      </c>
      <c r="K6" s="1" t="str" cm="1">
        <f t="array" ref="K6">IF(OR(K$1="",EXP_MATRIX!$C6=""),"",PRODUCT(IF(NOT(ISERROR(FIND(EXP_MATRIX!$B$1:$Z$1,K$1))),EXP_MATRIX!$B6:$Z6,1))^IF(ISERROR(FIND("2",K$1)),1,2))</f>
        <v/>
      </c>
      <c r="L6" s="1" t="str" cm="1">
        <f t="array" ref="L6">IF(OR(L$1="",EXP_MATRIX!$C6=""),"",PRODUCT(IF(NOT(ISERROR(FIND(EXP_MATRIX!$B$1:$Z$1,L$1))),EXP_MATRIX!$B6:$Z6,1))^IF(ISERROR(FIND("2",L$1)),1,2))</f>
        <v/>
      </c>
      <c r="M6" s="1" t="str" cm="1">
        <f t="array" ref="M6">IF(OR(M$1="",EXP_MATRIX!$C6=""),"",PRODUCT(IF(NOT(ISERROR(FIND(EXP_MATRIX!$B$1:$Z$1,M$1))),EXP_MATRIX!$B6:$Z6,1))^IF(ISERROR(FIND("2",M$1)),1,2))</f>
        <v/>
      </c>
      <c r="N6" s="1" t="str" cm="1">
        <f t="array" ref="N6">IF(OR(N$1="",EXP_MATRIX!$C6=""),"",PRODUCT(IF(NOT(ISERROR(FIND(EXP_MATRIX!$B$1:$Z$1,N$1))),EXP_MATRIX!$B6:$Z6,1))^IF(ISERROR(FIND("2",N$1)),1,2))</f>
        <v/>
      </c>
      <c r="O6" s="1" t="str" cm="1">
        <f t="array" ref="O6">IF(OR(O$1="",EXP_MATRIX!$C6=""),"",PRODUCT(IF(NOT(ISERROR(FIND(EXP_MATRIX!$B$1:$Z$1,O$1))),EXP_MATRIX!$B6:$Z6,1))^IF(ISERROR(FIND("2",O$1)),1,2))</f>
        <v/>
      </c>
      <c r="P6" s="1" t="str" cm="1">
        <f t="array" ref="P6">IF(OR(P$1="",EXP_MATRIX!$C6=""),"",PRODUCT(IF(NOT(ISERROR(FIND(EXP_MATRIX!$B$1:$Z$1,P$1))),EXP_MATRIX!$B6:$Z6,1))^IF(ISERROR(FIND("2",P$1)),1,2))</f>
        <v/>
      </c>
      <c r="Q6" s="1" t="str" cm="1">
        <f t="array" ref="Q6">IF(OR(Q$1="",EXP_MATRIX!$C6=""),"",PRODUCT(IF(NOT(ISERROR(FIND(EXP_MATRIX!$B$1:$Z$1,Q$1))),EXP_MATRIX!$B6:$Z6,1))^IF(ISERROR(FIND("2",Q$1)),1,2))</f>
        <v/>
      </c>
      <c r="R6" s="1" t="str" cm="1">
        <f t="array" ref="R6">IF(OR(R$1="",EXP_MATRIX!$C6=""),"",PRODUCT(IF(NOT(ISERROR(FIND(EXP_MATRIX!$B$1:$Z$1,R$1))),EXP_MATRIX!$B6:$Z6,1))^IF(ISERROR(FIND("2",R$1)),1,2))</f>
        <v/>
      </c>
      <c r="S6" s="1" t="str" cm="1">
        <f t="array" ref="S6">IF(OR(S$1="",EXP_MATRIX!$C6=""),"",PRODUCT(IF(NOT(ISERROR(FIND(EXP_MATRIX!$B$1:$Z$1,S$1))),EXP_MATRIX!$B6:$Z6,1))^IF(ISERROR(FIND("2",S$1)),1,2))</f>
        <v/>
      </c>
      <c r="T6" s="1" t="str" cm="1">
        <f t="array" ref="T6">IF(OR(T$1="",EXP_MATRIX!$C6=""),"",PRODUCT(IF(NOT(ISERROR(FIND(EXP_MATRIX!$B$1:$Z$1,T$1))),EXP_MATRIX!$B6:$Z6,1))^IF(ISERROR(FIND("2",T$1)),1,2))</f>
        <v/>
      </c>
      <c r="U6" s="1" t="str" cm="1">
        <f t="array" ref="U6">IF(OR(U$1="",EXP_MATRIX!$C6=""),"",PRODUCT(IF(NOT(ISERROR(FIND(EXP_MATRIX!$B$1:$Z$1,U$1))),EXP_MATRIX!$B6:$Z6,1))^IF(ISERROR(FIND("2",U$1)),1,2))</f>
        <v/>
      </c>
      <c r="V6" s="1" t="str" cm="1">
        <f t="array" ref="V6">IF(OR(V$1="",EXP_MATRIX!$C6=""),"",PRODUCT(IF(NOT(ISERROR(FIND(EXP_MATRIX!$B$1:$Z$1,V$1))),EXP_MATRIX!$B6:$Z6,1))^IF(ISERROR(FIND("2",V$1)),1,2))</f>
        <v/>
      </c>
      <c r="W6" s="1" t="str" cm="1">
        <f t="array" ref="W6">IF(OR(W$1="",EXP_MATRIX!$C6=""),"",PRODUCT(IF(NOT(ISERROR(FIND(EXP_MATRIX!$B$1:$Z$1,W$1))),EXP_MATRIX!$B6:$Z6,1))^IF(ISERROR(FIND("2",W$1)),1,2))</f>
        <v/>
      </c>
      <c r="X6" s="1" t="str" cm="1">
        <f t="array" ref="X6">IF(OR(X$1="",EXP_MATRIX!$C6=""),"",PRODUCT(IF(NOT(ISERROR(FIND(EXP_MATRIX!$B$1:$Z$1,X$1))),EXP_MATRIX!$B6:$Z6,1))^IF(ISERROR(FIND("2",X$1)),1,2))</f>
        <v/>
      </c>
      <c r="Y6" s="1" t="str" cm="1">
        <f t="array" ref="Y6">IF(OR(Y$1="",EXP_MATRIX!$C6=""),"",PRODUCT(IF(NOT(ISERROR(FIND(EXP_MATRIX!$B$1:$Z$1,Y$1))),EXP_MATRIX!$B6:$Z6,1))^IF(ISERROR(FIND("2",Y$1)),1,2))</f>
        <v/>
      </c>
      <c r="Z6" s="1" t="str" cm="1">
        <f t="array" ref="Z6">IF(OR(Z$1="",EXP_MATRIX!$C6=""),"",PRODUCT(IF(NOT(ISERROR(FIND(EXP_MATRIX!$B$1:$Z$1,Z$1))),EXP_MATRIX!$B6:$Z6,1))^IF(ISERROR(FIND("2",Z$1)),1,2))</f>
        <v/>
      </c>
      <c r="AA6" s="1" t="str" cm="1">
        <f t="array" ref="AA6">IF(OR(AA$1="",EXP_MATRIX!$C6=""),"",PRODUCT(IF(NOT(ISERROR(FIND(EXP_MATRIX!$B$1:$Z$1,AA$1))),EXP_MATRIX!$B6:$Z6,1))^IF(ISERROR(FIND("2",AA$1)),1,2))</f>
        <v/>
      </c>
    </row>
    <row r="7" spans="1:27" x14ac:dyDescent="0.25">
      <c r="A7">
        <v>6</v>
      </c>
      <c r="B7" s="1" cm="1">
        <f t="array" ref="B7">IF(OR(B$1="",EXP_MATRIX!$C7=""),"",PRODUCT(IF(NOT(ISERROR(FIND(EXP_MATRIX!$B$1:$Z$1,B$1))),EXP_MATRIX!$B7:$Z7,1))^IF(ISERROR(FIND("2",B$1)),1,2))</f>
        <v>4.3121690187499997</v>
      </c>
      <c r="C7" s="1" cm="1">
        <f t="array" ref="C7">IF(OR(C$1="",EXP_MATRIX!$C7=""),"",PRODUCT(IF(NOT(ISERROR(FIND(EXP_MATRIX!$B$1:$Z$1,C$1))),EXP_MATRIX!$B7:$Z7,1))^IF(ISERROR(FIND("2",C$1)),1,2))</f>
        <v>1</v>
      </c>
      <c r="D7" s="1" cm="1">
        <f t="array" ref="D7">IF(OR(D$1="",EXP_MATRIX!$C7=""),"",PRODUCT(IF(NOT(ISERROR(FIND(EXP_MATRIX!$B$1:$Z$1,D$1))),EXP_MATRIX!$B7:$Z7,1))^IF(ISERROR(FIND("2",D$1)),1,2))</f>
        <v>1</v>
      </c>
      <c r="E7" s="1" cm="1">
        <f t="array" ref="E7">IF(OR(E$1="",EXP_MATRIX!$C7=""),"",PRODUCT(IF(NOT(ISERROR(FIND(EXP_MATRIX!$B$1:$Z$1,E$1))),EXP_MATRIX!$B7:$Z7,1))^IF(ISERROR(FIND("2",E$1)),1,2))</f>
        <v>-1</v>
      </c>
      <c r="F7" s="1" cm="1">
        <f t="array" ref="F7">IF(OR(F$1="",EXP_MATRIX!$C7=""),"",PRODUCT(IF(NOT(ISERROR(FIND(EXP_MATRIX!$B$1:$Z$1,F$1))),EXP_MATRIX!$B7:$Z7,1))^IF(ISERROR(FIND("2",F$1)),1,2))</f>
        <v>1</v>
      </c>
      <c r="G7" s="1" cm="1">
        <f t="array" ref="G7">IF(OR(G$1="",EXP_MATRIX!$C7=""),"",PRODUCT(IF(NOT(ISERROR(FIND(EXP_MATRIX!$B$1:$Z$1,G$1))),EXP_MATRIX!$B7:$Z7,1))^IF(ISERROR(FIND("2",G$1)),1,2))</f>
        <v>-1</v>
      </c>
      <c r="H7" s="1" t="str" cm="1">
        <f t="array" ref="H7">IF(OR(H$1="",EXP_MATRIX!$C7=""),"",PRODUCT(IF(NOT(ISERROR(FIND(EXP_MATRIX!$B$1:$Z$1,H$1))),EXP_MATRIX!$B7:$Z7,1))^IF(ISERROR(FIND("2",H$1)),1,2))</f>
        <v/>
      </c>
      <c r="I7" s="1" t="str" cm="1">
        <f t="array" ref="I7">IF(OR(I$1="",EXP_MATRIX!$C7=""),"",PRODUCT(IF(NOT(ISERROR(FIND(EXP_MATRIX!$B$1:$Z$1,I$1))),EXP_MATRIX!$B7:$Z7,1))^IF(ISERROR(FIND("2",I$1)),1,2))</f>
        <v/>
      </c>
      <c r="J7" s="1" t="str" cm="1">
        <f t="array" ref="J7">IF(OR(J$1="",EXP_MATRIX!$C7=""),"",PRODUCT(IF(NOT(ISERROR(FIND(EXP_MATRIX!$B$1:$Z$1,J$1))),EXP_MATRIX!$B7:$Z7,1))^IF(ISERROR(FIND("2",J$1)),1,2))</f>
        <v/>
      </c>
      <c r="K7" s="1" t="str" cm="1">
        <f t="array" ref="K7">IF(OR(K$1="",EXP_MATRIX!$C7=""),"",PRODUCT(IF(NOT(ISERROR(FIND(EXP_MATRIX!$B$1:$Z$1,K$1))),EXP_MATRIX!$B7:$Z7,1))^IF(ISERROR(FIND("2",K$1)),1,2))</f>
        <v/>
      </c>
      <c r="L7" s="1" t="str" cm="1">
        <f t="array" ref="L7">IF(OR(L$1="",EXP_MATRIX!$C7=""),"",PRODUCT(IF(NOT(ISERROR(FIND(EXP_MATRIX!$B$1:$Z$1,L$1))),EXP_MATRIX!$B7:$Z7,1))^IF(ISERROR(FIND("2",L$1)),1,2))</f>
        <v/>
      </c>
      <c r="M7" s="1" t="str" cm="1">
        <f t="array" ref="M7">IF(OR(M$1="",EXP_MATRIX!$C7=""),"",PRODUCT(IF(NOT(ISERROR(FIND(EXP_MATRIX!$B$1:$Z$1,M$1))),EXP_MATRIX!$B7:$Z7,1))^IF(ISERROR(FIND("2",M$1)),1,2))</f>
        <v/>
      </c>
      <c r="N7" s="1" t="str" cm="1">
        <f t="array" ref="N7">IF(OR(N$1="",EXP_MATRIX!$C7=""),"",PRODUCT(IF(NOT(ISERROR(FIND(EXP_MATRIX!$B$1:$Z$1,N$1))),EXP_MATRIX!$B7:$Z7,1))^IF(ISERROR(FIND("2",N$1)),1,2))</f>
        <v/>
      </c>
      <c r="O7" s="1" t="str" cm="1">
        <f t="array" ref="O7">IF(OR(O$1="",EXP_MATRIX!$C7=""),"",PRODUCT(IF(NOT(ISERROR(FIND(EXP_MATRIX!$B$1:$Z$1,O$1))),EXP_MATRIX!$B7:$Z7,1))^IF(ISERROR(FIND("2",O$1)),1,2))</f>
        <v/>
      </c>
      <c r="P7" s="1" t="str" cm="1">
        <f t="array" ref="P7">IF(OR(P$1="",EXP_MATRIX!$C7=""),"",PRODUCT(IF(NOT(ISERROR(FIND(EXP_MATRIX!$B$1:$Z$1,P$1))),EXP_MATRIX!$B7:$Z7,1))^IF(ISERROR(FIND("2",P$1)),1,2))</f>
        <v/>
      </c>
      <c r="Q7" s="1" t="str" cm="1">
        <f t="array" ref="Q7">IF(OR(Q$1="",EXP_MATRIX!$C7=""),"",PRODUCT(IF(NOT(ISERROR(FIND(EXP_MATRIX!$B$1:$Z$1,Q$1))),EXP_MATRIX!$B7:$Z7,1))^IF(ISERROR(FIND("2",Q$1)),1,2))</f>
        <v/>
      </c>
      <c r="R7" s="1" t="str" cm="1">
        <f t="array" ref="R7">IF(OR(R$1="",EXP_MATRIX!$C7=""),"",PRODUCT(IF(NOT(ISERROR(FIND(EXP_MATRIX!$B$1:$Z$1,R$1))),EXP_MATRIX!$B7:$Z7,1))^IF(ISERROR(FIND("2",R$1)),1,2))</f>
        <v/>
      </c>
      <c r="S7" s="1" t="str" cm="1">
        <f t="array" ref="S7">IF(OR(S$1="",EXP_MATRIX!$C7=""),"",PRODUCT(IF(NOT(ISERROR(FIND(EXP_MATRIX!$B$1:$Z$1,S$1))),EXP_MATRIX!$B7:$Z7,1))^IF(ISERROR(FIND("2",S$1)),1,2))</f>
        <v/>
      </c>
      <c r="T7" s="1" t="str" cm="1">
        <f t="array" ref="T7">IF(OR(T$1="",EXP_MATRIX!$C7=""),"",PRODUCT(IF(NOT(ISERROR(FIND(EXP_MATRIX!$B$1:$Z$1,T$1))),EXP_MATRIX!$B7:$Z7,1))^IF(ISERROR(FIND("2",T$1)),1,2))</f>
        <v/>
      </c>
      <c r="U7" s="1" t="str" cm="1">
        <f t="array" ref="U7">IF(OR(U$1="",EXP_MATRIX!$C7=""),"",PRODUCT(IF(NOT(ISERROR(FIND(EXP_MATRIX!$B$1:$Z$1,U$1))),EXP_MATRIX!$B7:$Z7,1))^IF(ISERROR(FIND("2",U$1)),1,2))</f>
        <v/>
      </c>
      <c r="V7" s="1" t="str" cm="1">
        <f t="array" ref="V7">IF(OR(V$1="",EXP_MATRIX!$C7=""),"",PRODUCT(IF(NOT(ISERROR(FIND(EXP_MATRIX!$B$1:$Z$1,V$1))),EXP_MATRIX!$B7:$Z7,1))^IF(ISERROR(FIND("2",V$1)),1,2))</f>
        <v/>
      </c>
      <c r="W7" s="1" t="str" cm="1">
        <f t="array" ref="W7">IF(OR(W$1="",EXP_MATRIX!$C7=""),"",PRODUCT(IF(NOT(ISERROR(FIND(EXP_MATRIX!$B$1:$Z$1,W$1))),EXP_MATRIX!$B7:$Z7,1))^IF(ISERROR(FIND("2",W$1)),1,2))</f>
        <v/>
      </c>
      <c r="X7" s="1" t="str" cm="1">
        <f t="array" ref="X7">IF(OR(X$1="",EXP_MATRIX!$C7=""),"",PRODUCT(IF(NOT(ISERROR(FIND(EXP_MATRIX!$B$1:$Z$1,X$1))),EXP_MATRIX!$B7:$Z7,1))^IF(ISERROR(FIND("2",X$1)),1,2))</f>
        <v/>
      </c>
      <c r="Y7" s="1" t="str" cm="1">
        <f t="array" ref="Y7">IF(OR(Y$1="",EXP_MATRIX!$C7=""),"",PRODUCT(IF(NOT(ISERROR(FIND(EXP_MATRIX!$B$1:$Z$1,Y$1))),EXP_MATRIX!$B7:$Z7,1))^IF(ISERROR(FIND("2",Y$1)),1,2))</f>
        <v/>
      </c>
      <c r="Z7" s="1" t="str" cm="1">
        <f t="array" ref="Z7">IF(OR(Z$1="",EXP_MATRIX!$C7=""),"",PRODUCT(IF(NOT(ISERROR(FIND(EXP_MATRIX!$B$1:$Z$1,Z$1))),EXP_MATRIX!$B7:$Z7,1))^IF(ISERROR(FIND("2",Z$1)),1,2))</f>
        <v/>
      </c>
      <c r="AA7" s="1" t="str" cm="1">
        <f t="array" ref="AA7">IF(OR(AA$1="",EXP_MATRIX!$C7=""),"",PRODUCT(IF(NOT(ISERROR(FIND(EXP_MATRIX!$B$1:$Z$1,AA$1))),EXP_MATRIX!$B7:$Z7,1))^IF(ISERROR(FIND("2",AA$1)),1,2))</f>
        <v/>
      </c>
    </row>
    <row r="8" spans="1:27" x14ac:dyDescent="0.25">
      <c r="A8">
        <v>7</v>
      </c>
      <c r="B8" s="1" cm="1">
        <f t="array" ref="B8">IF(OR(B$1="",EXP_MATRIX!$C8=""),"",PRODUCT(IF(NOT(ISERROR(FIND(EXP_MATRIX!$B$1:$Z$1,B$1))),EXP_MATRIX!$B8:$Z8,1))^IF(ISERROR(FIND("2",B$1)),1,2))</f>
        <v>8.3170460187500002</v>
      </c>
      <c r="C8" s="1" cm="1">
        <f t="array" ref="C8">IF(OR(C$1="",EXP_MATRIX!$C8=""),"",PRODUCT(IF(NOT(ISERROR(FIND(EXP_MATRIX!$B$1:$Z$1,C$1))),EXP_MATRIX!$B8:$Z8,1))^IF(ISERROR(FIND("2",C$1)),1,2))</f>
        <v>-1</v>
      </c>
      <c r="D8" s="1" cm="1">
        <f t="array" ref="D8">IF(OR(D$1="",EXP_MATRIX!$C8=""),"",PRODUCT(IF(NOT(ISERROR(FIND(EXP_MATRIX!$B$1:$Z$1,D$1))),EXP_MATRIX!$B8:$Z8,1))^IF(ISERROR(FIND("2",D$1)),1,2))</f>
        <v>1</v>
      </c>
      <c r="E8" s="1" cm="1">
        <f t="array" ref="E8">IF(OR(E$1="",EXP_MATRIX!$C8=""),"",PRODUCT(IF(NOT(ISERROR(FIND(EXP_MATRIX!$B$1:$Z$1,E$1))),EXP_MATRIX!$B8:$Z8,1))^IF(ISERROR(FIND("2",E$1)),1,2))</f>
        <v>-1</v>
      </c>
      <c r="F8" s="1" cm="1">
        <f t="array" ref="F8">IF(OR(F$1="",EXP_MATRIX!$C8=""),"",PRODUCT(IF(NOT(ISERROR(FIND(EXP_MATRIX!$B$1:$Z$1,F$1))),EXP_MATRIX!$B8:$Z8,1))^IF(ISERROR(FIND("2",F$1)),1,2))</f>
        <v>-1</v>
      </c>
      <c r="G8" s="1" cm="1">
        <f t="array" ref="G8">IF(OR(G$1="",EXP_MATRIX!$C8=""),"",PRODUCT(IF(NOT(ISERROR(FIND(EXP_MATRIX!$B$1:$Z$1,G$1))),EXP_MATRIX!$B8:$Z8,1))^IF(ISERROR(FIND("2",G$1)),1,2))</f>
        <v>1</v>
      </c>
      <c r="H8" s="1" t="str" cm="1">
        <f t="array" ref="H8">IF(OR(H$1="",EXP_MATRIX!$C8=""),"",PRODUCT(IF(NOT(ISERROR(FIND(EXP_MATRIX!$B$1:$Z$1,H$1))),EXP_MATRIX!$B8:$Z8,1))^IF(ISERROR(FIND("2",H$1)),1,2))</f>
        <v/>
      </c>
      <c r="I8" s="1" t="str" cm="1">
        <f t="array" ref="I8">IF(OR(I$1="",EXP_MATRIX!$C8=""),"",PRODUCT(IF(NOT(ISERROR(FIND(EXP_MATRIX!$B$1:$Z$1,I$1))),EXP_MATRIX!$B8:$Z8,1))^IF(ISERROR(FIND("2",I$1)),1,2))</f>
        <v/>
      </c>
      <c r="J8" s="1" t="str" cm="1">
        <f t="array" ref="J8">IF(OR(J$1="",EXP_MATRIX!$C8=""),"",PRODUCT(IF(NOT(ISERROR(FIND(EXP_MATRIX!$B$1:$Z$1,J$1))),EXP_MATRIX!$B8:$Z8,1))^IF(ISERROR(FIND("2",J$1)),1,2))</f>
        <v/>
      </c>
      <c r="K8" s="1" t="str" cm="1">
        <f t="array" ref="K8">IF(OR(K$1="",EXP_MATRIX!$C8=""),"",PRODUCT(IF(NOT(ISERROR(FIND(EXP_MATRIX!$B$1:$Z$1,K$1))),EXP_MATRIX!$B8:$Z8,1))^IF(ISERROR(FIND("2",K$1)),1,2))</f>
        <v/>
      </c>
      <c r="L8" s="1" t="str" cm="1">
        <f t="array" ref="L8">IF(OR(L$1="",EXP_MATRIX!$C8=""),"",PRODUCT(IF(NOT(ISERROR(FIND(EXP_MATRIX!$B$1:$Z$1,L$1))),EXP_MATRIX!$B8:$Z8,1))^IF(ISERROR(FIND("2",L$1)),1,2))</f>
        <v/>
      </c>
      <c r="M8" s="1" t="str" cm="1">
        <f t="array" ref="M8">IF(OR(M$1="",EXP_MATRIX!$C8=""),"",PRODUCT(IF(NOT(ISERROR(FIND(EXP_MATRIX!$B$1:$Z$1,M$1))),EXP_MATRIX!$B8:$Z8,1))^IF(ISERROR(FIND("2",M$1)),1,2))</f>
        <v/>
      </c>
      <c r="N8" s="1" t="str" cm="1">
        <f t="array" ref="N8">IF(OR(N$1="",EXP_MATRIX!$C8=""),"",PRODUCT(IF(NOT(ISERROR(FIND(EXP_MATRIX!$B$1:$Z$1,N$1))),EXP_MATRIX!$B8:$Z8,1))^IF(ISERROR(FIND("2",N$1)),1,2))</f>
        <v/>
      </c>
      <c r="O8" s="1" t="str" cm="1">
        <f t="array" ref="O8">IF(OR(O$1="",EXP_MATRIX!$C8=""),"",PRODUCT(IF(NOT(ISERROR(FIND(EXP_MATRIX!$B$1:$Z$1,O$1))),EXP_MATRIX!$B8:$Z8,1))^IF(ISERROR(FIND("2",O$1)),1,2))</f>
        <v/>
      </c>
      <c r="P8" s="1" t="str" cm="1">
        <f t="array" ref="P8">IF(OR(P$1="",EXP_MATRIX!$C8=""),"",PRODUCT(IF(NOT(ISERROR(FIND(EXP_MATRIX!$B$1:$Z$1,P$1))),EXP_MATRIX!$B8:$Z8,1))^IF(ISERROR(FIND("2",P$1)),1,2))</f>
        <v/>
      </c>
      <c r="Q8" s="1" t="str" cm="1">
        <f t="array" ref="Q8">IF(OR(Q$1="",EXP_MATRIX!$C8=""),"",PRODUCT(IF(NOT(ISERROR(FIND(EXP_MATRIX!$B$1:$Z$1,Q$1))),EXP_MATRIX!$B8:$Z8,1))^IF(ISERROR(FIND("2",Q$1)),1,2))</f>
        <v/>
      </c>
      <c r="R8" s="1" t="str" cm="1">
        <f t="array" ref="R8">IF(OR(R$1="",EXP_MATRIX!$C8=""),"",PRODUCT(IF(NOT(ISERROR(FIND(EXP_MATRIX!$B$1:$Z$1,R$1))),EXP_MATRIX!$B8:$Z8,1))^IF(ISERROR(FIND("2",R$1)),1,2))</f>
        <v/>
      </c>
      <c r="S8" s="1" t="str" cm="1">
        <f t="array" ref="S8">IF(OR(S$1="",EXP_MATRIX!$C8=""),"",PRODUCT(IF(NOT(ISERROR(FIND(EXP_MATRIX!$B$1:$Z$1,S$1))),EXP_MATRIX!$B8:$Z8,1))^IF(ISERROR(FIND("2",S$1)),1,2))</f>
        <v/>
      </c>
      <c r="T8" s="1" t="str" cm="1">
        <f t="array" ref="T8">IF(OR(T$1="",EXP_MATRIX!$C8=""),"",PRODUCT(IF(NOT(ISERROR(FIND(EXP_MATRIX!$B$1:$Z$1,T$1))),EXP_MATRIX!$B8:$Z8,1))^IF(ISERROR(FIND("2",T$1)),1,2))</f>
        <v/>
      </c>
      <c r="U8" s="1" t="str" cm="1">
        <f t="array" ref="U8">IF(OR(U$1="",EXP_MATRIX!$C8=""),"",PRODUCT(IF(NOT(ISERROR(FIND(EXP_MATRIX!$B$1:$Z$1,U$1))),EXP_MATRIX!$B8:$Z8,1))^IF(ISERROR(FIND("2",U$1)),1,2))</f>
        <v/>
      </c>
      <c r="V8" s="1" t="str" cm="1">
        <f t="array" ref="V8">IF(OR(V$1="",EXP_MATRIX!$C8=""),"",PRODUCT(IF(NOT(ISERROR(FIND(EXP_MATRIX!$B$1:$Z$1,V$1))),EXP_MATRIX!$B8:$Z8,1))^IF(ISERROR(FIND("2",V$1)),1,2))</f>
        <v/>
      </c>
      <c r="W8" s="1" t="str" cm="1">
        <f t="array" ref="W8">IF(OR(W$1="",EXP_MATRIX!$C8=""),"",PRODUCT(IF(NOT(ISERROR(FIND(EXP_MATRIX!$B$1:$Z$1,W$1))),EXP_MATRIX!$B8:$Z8,1))^IF(ISERROR(FIND("2",W$1)),1,2))</f>
        <v/>
      </c>
      <c r="X8" s="1" t="str" cm="1">
        <f t="array" ref="X8">IF(OR(X$1="",EXP_MATRIX!$C8=""),"",PRODUCT(IF(NOT(ISERROR(FIND(EXP_MATRIX!$B$1:$Z$1,X$1))),EXP_MATRIX!$B8:$Z8,1))^IF(ISERROR(FIND("2",X$1)),1,2))</f>
        <v/>
      </c>
      <c r="Y8" s="1" t="str" cm="1">
        <f t="array" ref="Y8">IF(OR(Y$1="",EXP_MATRIX!$C8=""),"",PRODUCT(IF(NOT(ISERROR(FIND(EXP_MATRIX!$B$1:$Z$1,Y$1))),EXP_MATRIX!$B8:$Z8,1))^IF(ISERROR(FIND("2",Y$1)),1,2))</f>
        <v/>
      </c>
      <c r="Z8" s="1" t="str" cm="1">
        <f t="array" ref="Z8">IF(OR(Z$1="",EXP_MATRIX!$C8=""),"",PRODUCT(IF(NOT(ISERROR(FIND(EXP_MATRIX!$B$1:$Z$1,Z$1))),EXP_MATRIX!$B8:$Z8,1))^IF(ISERROR(FIND("2",Z$1)),1,2))</f>
        <v/>
      </c>
      <c r="AA8" s="1" t="str" cm="1">
        <f t="array" ref="AA8">IF(OR(AA$1="",EXP_MATRIX!$C8=""),"",PRODUCT(IF(NOT(ISERROR(FIND(EXP_MATRIX!$B$1:$Z$1,AA$1))),EXP_MATRIX!$B8:$Z8,1))^IF(ISERROR(FIND("2",AA$1)),1,2))</f>
        <v/>
      </c>
    </row>
    <row r="9" spans="1:27" x14ac:dyDescent="0.25">
      <c r="A9">
        <v>8</v>
      </c>
      <c r="B9" s="1" cm="1">
        <f t="array" ref="B9">IF(OR(B$1="",EXP_MATRIX!$C9=""),"",PRODUCT(IF(NOT(ISERROR(FIND(EXP_MATRIX!$B$1:$Z$1,B$1))),EXP_MATRIX!$B9:$Z9,1))^IF(ISERROR(FIND("2",B$1)),1,2))</f>
        <v>4.2429670187499999</v>
      </c>
      <c r="C9" s="1" cm="1">
        <f t="array" ref="C9">IF(OR(C$1="",EXP_MATRIX!$C9=""),"",PRODUCT(IF(NOT(ISERROR(FIND(EXP_MATRIX!$B$1:$Z$1,C$1))),EXP_MATRIX!$B9:$Z9,1))^IF(ISERROR(FIND("2",C$1)),1,2))</f>
        <v>1</v>
      </c>
      <c r="D9" s="1" cm="1">
        <f t="array" ref="D9">IF(OR(D$1="",EXP_MATRIX!$C9=""),"",PRODUCT(IF(NOT(ISERROR(FIND(EXP_MATRIX!$B$1:$Z$1,D$1))),EXP_MATRIX!$B9:$Z9,1))^IF(ISERROR(FIND("2",D$1)),1,2))</f>
        <v>1</v>
      </c>
      <c r="E9" s="1" cm="1">
        <f t="array" ref="E9">IF(OR(E$1="",EXP_MATRIX!$C9=""),"",PRODUCT(IF(NOT(ISERROR(FIND(EXP_MATRIX!$B$1:$Z$1,E$1))),EXP_MATRIX!$B9:$Z9,1))^IF(ISERROR(FIND("2",E$1)),1,2))</f>
        <v>-1</v>
      </c>
      <c r="F9" s="1" cm="1">
        <f t="array" ref="F9">IF(OR(F$1="",EXP_MATRIX!$C9=""),"",PRODUCT(IF(NOT(ISERROR(FIND(EXP_MATRIX!$B$1:$Z$1,F$1))),EXP_MATRIX!$B9:$Z9,1))^IF(ISERROR(FIND("2",F$1)),1,2))</f>
        <v>1</v>
      </c>
      <c r="G9" s="1" cm="1">
        <f t="array" ref="G9">IF(OR(G$1="",EXP_MATRIX!$C9=""),"",PRODUCT(IF(NOT(ISERROR(FIND(EXP_MATRIX!$B$1:$Z$1,G$1))),EXP_MATRIX!$B9:$Z9,1))^IF(ISERROR(FIND("2",G$1)),1,2))</f>
        <v>-1</v>
      </c>
      <c r="H9" s="1" t="str" cm="1">
        <f t="array" ref="H9">IF(OR(H$1="",EXP_MATRIX!$C9=""),"",PRODUCT(IF(NOT(ISERROR(FIND(EXP_MATRIX!$B$1:$Z$1,H$1))),EXP_MATRIX!$B9:$Z9,1))^IF(ISERROR(FIND("2",H$1)),1,2))</f>
        <v/>
      </c>
      <c r="I9" s="1" t="str" cm="1">
        <f t="array" ref="I9">IF(OR(I$1="",EXP_MATRIX!$C9=""),"",PRODUCT(IF(NOT(ISERROR(FIND(EXP_MATRIX!$B$1:$Z$1,I$1))),EXP_MATRIX!$B9:$Z9,1))^IF(ISERROR(FIND("2",I$1)),1,2))</f>
        <v/>
      </c>
      <c r="J9" s="1" t="str" cm="1">
        <f t="array" ref="J9">IF(OR(J$1="",EXP_MATRIX!$C9=""),"",PRODUCT(IF(NOT(ISERROR(FIND(EXP_MATRIX!$B$1:$Z$1,J$1))),EXP_MATRIX!$B9:$Z9,1))^IF(ISERROR(FIND("2",J$1)),1,2))</f>
        <v/>
      </c>
      <c r="K9" s="1" t="str" cm="1">
        <f t="array" ref="K9">IF(OR(K$1="",EXP_MATRIX!$C9=""),"",PRODUCT(IF(NOT(ISERROR(FIND(EXP_MATRIX!$B$1:$Z$1,K$1))),EXP_MATRIX!$B9:$Z9,1))^IF(ISERROR(FIND("2",K$1)),1,2))</f>
        <v/>
      </c>
      <c r="L9" s="1" t="str" cm="1">
        <f t="array" ref="L9">IF(OR(L$1="",EXP_MATRIX!$C9=""),"",PRODUCT(IF(NOT(ISERROR(FIND(EXP_MATRIX!$B$1:$Z$1,L$1))),EXP_MATRIX!$B9:$Z9,1))^IF(ISERROR(FIND("2",L$1)),1,2))</f>
        <v/>
      </c>
      <c r="M9" s="1" t="str" cm="1">
        <f t="array" ref="M9">IF(OR(M$1="",EXP_MATRIX!$C9=""),"",PRODUCT(IF(NOT(ISERROR(FIND(EXP_MATRIX!$B$1:$Z$1,M$1))),EXP_MATRIX!$B9:$Z9,1))^IF(ISERROR(FIND("2",M$1)),1,2))</f>
        <v/>
      </c>
      <c r="N9" s="1" t="str" cm="1">
        <f t="array" ref="N9">IF(OR(N$1="",EXP_MATRIX!$C9=""),"",PRODUCT(IF(NOT(ISERROR(FIND(EXP_MATRIX!$B$1:$Z$1,N$1))),EXP_MATRIX!$B9:$Z9,1))^IF(ISERROR(FIND("2",N$1)),1,2))</f>
        <v/>
      </c>
      <c r="O9" s="1" t="str" cm="1">
        <f t="array" ref="O9">IF(OR(O$1="",EXP_MATRIX!$C9=""),"",PRODUCT(IF(NOT(ISERROR(FIND(EXP_MATRIX!$B$1:$Z$1,O$1))),EXP_MATRIX!$B9:$Z9,1))^IF(ISERROR(FIND("2",O$1)),1,2))</f>
        <v/>
      </c>
      <c r="P9" s="1" t="str" cm="1">
        <f t="array" ref="P9">IF(OR(P$1="",EXP_MATRIX!$C9=""),"",PRODUCT(IF(NOT(ISERROR(FIND(EXP_MATRIX!$B$1:$Z$1,P$1))),EXP_MATRIX!$B9:$Z9,1))^IF(ISERROR(FIND("2",P$1)),1,2))</f>
        <v/>
      </c>
      <c r="Q9" s="1" t="str" cm="1">
        <f t="array" ref="Q9">IF(OR(Q$1="",EXP_MATRIX!$C9=""),"",PRODUCT(IF(NOT(ISERROR(FIND(EXP_MATRIX!$B$1:$Z$1,Q$1))),EXP_MATRIX!$B9:$Z9,1))^IF(ISERROR(FIND("2",Q$1)),1,2))</f>
        <v/>
      </c>
      <c r="R9" s="1" t="str" cm="1">
        <f t="array" ref="R9">IF(OR(R$1="",EXP_MATRIX!$C9=""),"",PRODUCT(IF(NOT(ISERROR(FIND(EXP_MATRIX!$B$1:$Z$1,R$1))),EXP_MATRIX!$B9:$Z9,1))^IF(ISERROR(FIND("2",R$1)),1,2))</f>
        <v/>
      </c>
      <c r="S9" s="1" t="str" cm="1">
        <f t="array" ref="S9">IF(OR(S$1="",EXP_MATRIX!$C9=""),"",PRODUCT(IF(NOT(ISERROR(FIND(EXP_MATRIX!$B$1:$Z$1,S$1))),EXP_MATRIX!$B9:$Z9,1))^IF(ISERROR(FIND("2",S$1)),1,2))</f>
        <v/>
      </c>
      <c r="T9" s="1" t="str" cm="1">
        <f t="array" ref="T9">IF(OR(T$1="",EXP_MATRIX!$C9=""),"",PRODUCT(IF(NOT(ISERROR(FIND(EXP_MATRIX!$B$1:$Z$1,T$1))),EXP_MATRIX!$B9:$Z9,1))^IF(ISERROR(FIND("2",T$1)),1,2))</f>
        <v/>
      </c>
      <c r="U9" s="1" t="str" cm="1">
        <f t="array" ref="U9">IF(OR(U$1="",EXP_MATRIX!$C9=""),"",PRODUCT(IF(NOT(ISERROR(FIND(EXP_MATRIX!$B$1:$Z$1,U$1))),EXP_MATRIX!$B9:$Z9,1))^IF(ISERROR(FIND("2",U$1)),1,2))</f>
        <v/>
      </c>
      <c r="V9" s="1" t="str" cm="1">
        <f t="array" ref="V9">IF(OR(V$1="",EXP_MATRIX!$C9=""),"",PRODUCT(IF(NOT(ISERROR(FIND(EXP_MATRIX!$B$1:$Z$1,V$1))),EXP_MATRIX!$B9:$Z9,1))^IF(ISERROR(FIND("2",V$1)),1,2))</f>
        <v/>
      </c>
      <c r="W9" s="1" t="str" cm="1">
        <f t="array" ref="W9">IF(OR(W$1="",EXP_MATRIX!$C9=""),"",PRODUCT(IF(NOT(ISERROR(FIND(EXP_MATRIX!$B$1:$Z$1,W$1))),EXP_MATRIX!$B9:$Z9,1))^IF(ISERROR(FIND("2",W$1)),1,2))</f>
        <v/>
      </c>
      <c r="X9" s="1" t="str" cm="1">
        <f t="array" ref="X9">IF(OR(X$1="",EXP_MATRIX!$C9=""),"",PRODUCT(IF(NOT(ISERROR(FIND(EXP_MATRIX!$B$1:$Z$1,X$1))),EXP_MATRIX!$B9:$Z9,1))^IF(ISERROR(FIND("2",X$1)),1,2))</f>
        <v/>
      </c>
      <c r="Y9" s="1" t="str" cm="1">
        <f t="array" ref="Y9">IF(OR(Y$1="",EXP_MATRIX!$C9=""),"",PRODUCT(IF(NOT(ISERROR(FIND(EXP_MATRIX!$B$1:$Z$1,Y$1))),EXP_MATRIX!$B9:$Z9,1))^IF(ISERROR(FIND("2",Y$1)),1,2))</f>
        <v/>
      </c>
      <c r="Z9" s="1" t="str" cm="1">
        <f t="array" ref="Z9">IF(OR(Z$1="",EXP_MATRIX!$C9=""),"",PRODUCT(IF(NOT(ISERROR(FIND(EXP_MATRIX!$B$1:$Z$1,Z$1))),EXP_MATRIX!$B9:$Z9,1))^IF(ISERROR(FIND("2",Z$1)),1,2))</f>
        <v/>
      </c>
      <c r="AA9" s="1" t="str" cm="1">
        <f t="array" ref="AA9">IF(OR(AA$1="",EXP_MATRIX!$C9=""),"",PRODUCT(IF(NOT(ISERROR(FIND(EXP_MATRIX!$B$1:$Z$1,AA$1))),EXP_MATRIX!$B9:$Z9,1))^IF(ISERROR(FIND("2",AA$1)),1,2))</f>
        <v/>
      </c>
    </row>
    <row r="10" spans="1:27" x14ac:dyDescent="0.25">
      <c r="A10">
        <v>9</v>
      </c>
      <c r="B10" s="1" cm="1">
        <f t="array" ref="B10">IF(OR(B$1="",EXP_MATRIX!$C10=""),"",PRODUCT(IF(NOT(ISERROR(FIND(EXP_MATRIX!$B$1:$Z$1,B$1))),EXP_MATRIX!$B10:$Z10,1))^IF(ISERROR(FIND("2",B$1)),1,2))</f>
        <v>4.7379400187499998</v>
      </c>
      <c r="C10" s="1" cm="1">
        <f t="array" ref="C10">IF(OR(C$1="",EXP_MATRIX!$C10=""),"",PRODUCT(IF(NOT(ISERROR(FIND(EXP_MATRIX!$B$1:$Z$1,C$1))),EXP_MATRIX!$B10:$Z10,1))^IF(ISERROR(FIND("2",C$1)),1,2))</f>
        <v>-1</v>
      </c>
      <c r="D10" s="1" cm="1">
        <f t="array" ref="D10">IF(OR(D$1="",EXP_MATRIX!$C10=""),"",PRODUCT(IF(NOT(ISERROR(FIND(EXP_MATRIX!$B$1:$Z$1,D$1))),EXP_MATRIX!$B10:$Z10,1))^IF(ISERROR(FIND("2",D$1)),1,2))</f>
        <v>-1</v>
      </c>
      <c r="E10" s="1" cm="1">
        <f t="array" ref="E10">IF(OR(E$1="",EXP_MATRIX!$C10=""),"",PRODUCT(IF(NOT(ISERROR(FIND(EXP_MATRIX!$B$1:$Z$1,E$1))),EXP_MATRIX!$B10:$Z10,1))^IF(ISERROR(FIND("2",E$1)),1,2))</f>
        <v>-1</v>
      </c>
      <c r="F10" s="1" cm="1">
        <f t="array" ref="F10">IF(OR(F$1="",EXP_MATRIX!$C10=""),"",PRODUCT(IF(NOT(ISERROR(FIND(EXP_MATRIX!$B$1:$Z$1,F$1))),EXP_MATRIX!$B10:$Z10,1))^IF(ISERROR(FIND("2",F$1)),1,2))</f>
        <v>1</v>
      </c>
      <c r="G10" s="1" cm="1">
        <f t="array" ref="G10">IF(OR(G$1="",EXP_MATRIX!$C10=""),"",PRODUCT(IF(NOT(ISERROR(FIND(EXP_MATRIX!$B$1:$Z$1,G$1))),EXP_MATRIX!$B10:$Z10,1))^IF(ISERROR(FIND("2",G$1)),1,2))</f>
        <v>1</v>
      </c>
      <c r="H10" s="1" t="str" cm="1">
        <f t="array" ref="H10">IF(OR(H$1="",EXP_MATRIX!$C10=""),"",PRODUCT(IF(NOT(ISERROR(FIND(EXP_MATRIX!$B$1:$Z$1,H$1))),EXP_MATRIX!$B10:$Z10,1))^IF(ISERROR(FIND("2",H$1)),1,2))</f>
        <v/>
      </c>
      <c r="I10" s="1" t="str" cm="1">
        <f t="array" ref="I10">IF(OR(I$1="",EXP_MATRIX!$C10=""),"",PRODUCT(IF(NOT(ISERROR(FIND(EXP_MATRIX!$B$1:$Z$1,I$1))),EXP_MATRIX!$B10:$Z10,1))^IF(ISERROR(FIND("2",I$1)),1,2))</f>
        <v/>
      </c>
      <c r="J10" s="1" t="str" cm="1">
        <f t="array" ref="J10">IF(OR(J$1="",EXP_MATRIX!$C10=""),"",PRODUCT(IF(NOT(ISERROR(FIND(EXP_MATRIX!$B$1:$Z$1,J$1))),EXP_MATRIX!$B10:$Z10,1))^IF(ISERROR(FIND("2",J$1)),1,2))</f>
        <v/>
      </c>
      <c r="K10" s="1" t="str" cm="1">
        <f t="array" ref="K10">IF(OR(K$1="",EXP_MATRIX!$C10=""),"",PRODUCT(IF(NOT(ISERROR(FIND(EXP_MATRIX!$B$1:$Z$1,K$1))),EXP_MATRIX!$B10:$Z10,1))^IF(ISERROR(FIND("2",K$1)),1,2))</f>
        <v/>
      </c>
      <c r="L10" s="1" t="str" cm="1">
        <f t="array" ref="L10">IF(OR(L$1="",EXP_MATRIX!$C10=""),"",PRODUCT(IF(NOT(ISERROR(FIND(EXP_MATRIX!$B$1:$Z$1,L$1))),EXP_MATRIX!$B10:$Z10,1))^IF(ISERROR(FIND("2",L$1)),1,2))</f>
        <v/>
      </c>
      <c r="M10" s="1" t="str" cm="1">
        <f t="array" ref="M10">IF(OR(M$1="",EXP_MATRIX!$C10=""),"",PRODUCT(IF(NOT(ISERROR(FIND(EXP_MATRIX!$B$1:$Z$1,M$1))),EXP_MATRIX!$B10:$Z10,1))^IF(ISERROR(FIND("2",M$1)),1,2))</f>
        <v/>
      </c>
      <c r="N10" s="1" t="str" cm="1">
        <f t="array" ref="N10">IF(OR(N$1="",EXP_MATRIX!$C10=""),"",PRODUCT(IF(NOT(ISERROR(FIND(EXP_MATRIX!$B$1:$Z$1,N$1))),EXP_MATRIX!$B10:$Z10,1))^IF(ISERROR(FIND("2",N$1)),1,2))</f>
        <v/>
      </c>
      <c r="O10" s="1" t="str" cm="1">
        <f t="array" ref="O10">IF(OR(O$1="",EXP_MATRIX!$C10=""),"",PRODUCT(IF(NOT(ISERROR(FIND(EXP_MATRIX!$B$1:$Z$1,O$1))),EXP_MATRIX!$B10:$Z10,1))^IF(ISERROR(FIND("2",O$1)),1,2))</f>
        <v/>
      </c>
      <c r="P10" s="1" t="str" cm="1">
        <f t="array" ref="P10">IF(OR(P$1="",EXP_MATRIX!$C10=""),"",PRODUCT(IF(NOT(ISERROR(FIND(EXP_MATRIX!$B$1:$Z$1,P$1))),EXP_MATRIX!$B10:$Z10,1))^IF(ISERROR(FIND("2",P$1)),1,2))</f>
        <v/>
      </c>
      <c r="Q10" s="1" t="str" cm="1">
        <f t="array" ref="Q10">IF(OR(Q$1="",EXP_MATRIX!$C10=""),"",PRODUCT(IF(NOT(ISERROR(FIND(EXP_MATRIX!$B$1:$Z$1,Q$1))),EXP_MATRIX!$B10:$Z10,1))^IF(ISERROR(FIND("2",Q$1)),1,2))</f>
        <v/>
      </c>
      <c r="R10" s="1" t="str" cm="1">
        <f t="array" ref="R10">IF(OR(R$1="",EXP_MATRIX!$C10=""),"",PRODUCT(IF(NOT(ISERROR(FIND(EXP_MATRIX!$B$1:$Z$1,R$1))),EXP_MATRIX!$B10:$Z10,1))^IF(ISERROR(FIND("2",R$1)),1,2))</f>
        <v/>
      </c>
      <c r="S10" s="1" t="str" cm="1">
        <f t="array" ref="S10">IF(OR(S$1="",EXP_MATRIX!$C10=""),"",PRODUCT(IF(NOT(ISERROR(FIND(EXP_MATRIX!$B$1:$Z$1,S$1))),EXP_MATRIX!$B10:$Z10,1))^IF(ISERROR(FIND("2",S$1)),1,2))</f>
        <v/>
      </c>
      <c r="T10" s="1" t="str" cm="1">
        <f t="array" ref="T10">IF(OR(T$1="",EXP_MATRIX!$C10=""),"",PRODUCT(IF(NOT(ISERROR(FIND(EXP_MATRIX!$B$1:$Z$1,T$1))),EXP_MATRIX!$B10:$Z10,1))^IF(ISERROR(FIND("2",T$1)),1,2))</f>
        <v/>
      </c>
      <c r="U10" s="1" t="str" cm="1">
        <f t="array" ref="U10">IF(OR(U$1="",EXP_MATRIX!$C10=""),"",PRODUCT(IF(NOT(ISERROR(FIND(EXP_MATRIX!$B$1:$Z$1,U$1))),EXP_MATRIX!$B10:$Z10,1))^IF(ISERROR(FIND("2",U$1)),1,2))</f>
        <v/>
      </c>
      <c r="V10" s="1" t="str" cm="1">
        <f t="array" ref="V10">IF(OR(V$1="",EXP_MATRIX!$C10=""),"",PRODUCT(IF(NOT(ISERROR(FIND(EXP_MATRIX!$B$1:$Z$1,V$1))),EXP_MATRIX!$B10:$Z10,1))^IF(ISERROR(FIND("2",V$1)),1,2))</f>
        <v/>
      </c>
      <c r="W10" s="1" t="str" cm="1">
        <f t="array" ref="W10">IF(OR(W$1="",EXP_MATRIX!$C10=""),"",PRODUCT(IF(NOT(ISERROR(FIND(EXP_MATRIX!$B$1:$Z$1,W$1))),EXP_MATRIX!$B10:$Z10,1))^IF(ISERROR(FIND("2",W$1)),1,2))</f>
        <v/>
      </c>
      <c r="X10" s="1" t="str" cm="1">
        <f t="array" ref="X10">IF(OR(X$1="",EXP_MATRIX!$C10=""),"",PRODUCT(IF(NOT(ISERROR(FIND(EXP_MATRIX!$B$1:$Z$1,X$1))),EXP_MATRIX!$B10:$Z10,1))^IF(ISERROR(FIND("2",X$1)),1,2))</f>
        <v/>
      </c>
      <c r="Y10" s="1" t="str" cm="1">
        <f t="array" ref="Y10">IF(OR(Y$1="",EXP_MATRIX!$C10=""),"",PRODUCT(IF(NOT(ISERROR(FIND(EXP_MATRIX!$B$1:$Z$1,Y$1))),EXP_MATRIX!$B10:$Z10,1))^IF(ISERROR(FIND("2",Y$1)),1,2))</f>
        <v/>
      </c>
      <c r="Z10" s="1" t="str" cm="1">
        <f t="array" ref="Z10">IF(OR(Z$1="",EXP_MATRIX!$C10=""),"",PRODUCT(IF(NOT(ISERROR(FIND(EXP_MATRIX!$B$1:$Z$1,Z$1))),EXP_MATRIX!$B10:$Z10,1))^IF(ISERROR(FIND("2",Z$1)),1,2))</f>
        <v/>
      </c>
      <c r="AA10" s="1" t="str" cm="1">
        <f t="array" ref="AA10">IF(OR(AA$1="",EXP_MATRIX!$C10=""),"",PRODUCT(IF(NOT(ISERROR(FIND(EXP_MATRIX!$B$1:$Z$1,AA$1))),EXP_MATRIX!$B10:$Z10,1))^IF(ISERROR(FIND("2",AA$1)),1,2))</f>
        <v/>
      </c>
    </row>
    <row r="11" spans="1:27" x14ac:dyDescent="0.25">
      <c r="A11">
        <v>10</v>
      </c>
      <c r="B11" s="1" cm="1">
        <f t="array" ref="B11">IF(OR(B$1="",EXP_MATRIX!$C11=""),"",PRODUCT(IF(NOT(ISERROR(FIND(EXP_MATRIX!$B$1:$Z$1,B$1))),EXP_MATRIX!$B11:$Z11,1))^IF(ISERROR(FIND("2",B$1)),1,2))</f>
        <v>3.8313652687499999</v>
      </c>
      <c r="C11" s="1" cm="1">
        <f t="array" ref="C11">IF(OR(C$1="",EXP_MATRIX!$C11=""),"",PRODUCT(IF(NOT(ISERROR(FIND(EXP_MATRIX!$B$1:$Z$1,C$1))),EXP_MATRIX!$B11:$Z11,1))^IF(ISERROR(FIND("2",C$1)),1,2))</f>
        <v>1</v>
      </c>
      <c r="D11" s="1" cm="1">
        <f t="array" ref="D11">IF(OR(D$1="",EXP_MATRIX!$C11=""),"",PRODUCT(IF(NOT(ISERROR(FIND(EXP_MATRIX!$B$1:$Z$1,D$1))),EXP_MATRIX!$B11:$Z11,1))^IF(ISERROR(FIND("2",D$1)),1,2))</f>
        <v>-1</v>
      </c>
      <c r="E11" s="1" cm="1">
        <f t="array" ref="E11">IF(OR(E$1="",EXP_MATRIX!$C11=""),"",PRODUCT(IF(NOT(ISERROR(FIND(EXP_MATRIX!$B$1:$Z$1,E$1))),EXP_MATRIX!$B11:$Z11,1))^IF(ISERROR(FIND("2",E$1)),1,2))</f>
        <v>-1</v>
      </c>
      <c r="F11" s="1" cm="1">
        <f t="array" ref="F11">IF(OR(F$1="",EXP_MATRIX!$C11=""),"",PRODUCT(IF(NOT(ISERROR(FIND(EXP_MATRIX!$B$1:$Z$1,F$1))),EXP_MATRIX!$B11:$Z11,1))^IF(ISERROR(FIND("2",F$1)),1,2))</f>
        <v>-1</v>
      </c>
      <c r="G11" s="1" cm="1">
        <f t="array" ref="G11">IF(OR(G$1="",EXP_MATRIX!$C11=""),"",PRODUCT(IF(NOT(ISERROR(FIND(EXP_MATRIX!$B$1:$Z$1,G$1))),EXP_MATRIX!$B11:$Z11,1))^IF(ISERROR(FIND("2",G$1)),1,2))</f>
        <v>-1</v>
      </c>
      <c r="H11" s="1" t="str" cm="1">
        <f t="array" ref="H11">IF(OR(H$1="",EXP_MATRIX!$C11=""),"",PRODUCT(IF(NOT(ISERROR(FIND(EXP_MATRIX!$B$1:$Z$1,H$1))),EXP_MATRIX!$B11:$Z11,1))^IF(ISERROR(FIND("2",H$1)),1,2))</f>
        <v/>
      </c>
      <c r="I11" s="1" t="str" cm="1">
        <f t="array" ref="I11">IF(OR(I$1="",EXP_MATRIX!$C11=""),"",PRODUCT(IF(NOT(ISERROR(FIND(EXP_MATRIX!$B$1:$Z$1,I$1))),EXP_MATRIX!$B11:$Z11,1))^IF(ISERROR(FIND("2",I$1)),1,2))</f>
        <v/>
      </c>
      <c r="J11" s="1" t="str" cm="1">
        <f t="array" ref="J11">IF(OR(J$1="",EXP_MATRIX!$C11=""),"",PRODUCT(IF(NOT(ISERROR(FIND(EXP_MATRIX!$B$1:$Z$1,J$1))),EXP_MATRIX!$B11:$Z11,1))^IF(ISERROR(FIND("2",J$1)),1,2))</f>
        <v/>
      </c>
      <c r="K11" s="1" t="str" cm="1">
        <f t="array" ref="K11">IF(OR(K$1="",EXP_MATRIX!$C11=""),"",PRODUCT(IF(NOT(ISERROR(FIND(EXP_MATRIX!$B$1:$Z$1,K$1))),EXP_MATRIX!$B11:$Z11,1))^IF(ISERROR(FIND("2",K$1)),1,2))</f>
        <v/>
      </c>
      <c r="L11" s="1" t="str" cm="1">
        <f t="array" ref="L11">IF(OR(L$1="",EXP_MATRIX!$C11=""),"",PRODUCT(IF(NOT(ISERROR(FIND(EXP_MATRIX!$B$1:$Z$1,L$1))),EXP_MATRIX!$B11:$Z11,1))^IF(ISERROR(FIND("2",L$1)),1,2))</f>
        <v/>
      </c>
      <c r="M11" s="1" t="str" cm="1">
        <f t="array" ref="M11">IF(OR(M$1="",EXP_MATRIX!$C11=""),"",PRODUCT(IF(NOT(ISERROR(FIND(EXP_MATRIX!$B$1:$Z$1,M$1))),EXP_MATRIX!$B11:$Z11,1))^IF(ISERROR(FIND("2",M$1)),1,2))</f>
        <v/>
      </c>
      <c r="N11" s="1" t="str" cm="1">
        <f t="array" ref="N11">IF(OR(N$1="",EXP_MATRIX!$C11=""),"",PRODUCT(IF(NOT(ISERROR(FIND(EXP_MATRIX!$B$1:$Z$1,N$1))),EXP_MATRIX!$B11:$Z11,1))^IF(ISERROR(FIND("2",N$1)),1,2))</f>
        <v/>
      </c>
      <c r="O11" s="1" t="str" cm="1">
        <f t="array" ref="O11">IF(OR(O$1="",EXP_MATRIX!$C11=""),"",PRODUCT(IF(NOT(ISERROR(FIND(EXP_MATRIX!$B$1:$Z$1,O$1))),EXP_MATRIX!$B11:$Z11,1))^IF(ISERROR(FIND("2",O$1)),1,2))</f>
        <v/>
      </c>
      <c r="P11" s="1" t="str" cm="1">
        <f t="array" ref="P11">IF(OR(P$1="",EXP_MATRIX!$C11=""),"",PRODUCT(IF(NOT(ISERROR(FIND(EXP_MATRIX!$B$1:$Z$1,P$1))),EXP_MATRIX!$B11:$Z11,1))^IF(ISERROR(FIND("2",P$1)),1,2))</f>
        <v/>
      </c>
      <c r="Q11" s="1" t="str" cm="1">
        <f t="array" ref="Q11">IF(OR(Q$1="",EXP_MATRIX!$C11=""),"",PRODUCT(IF(NOT(ISERROR(FIND(EXP_MATRIX!$B$1:$Z$1,Q$1))),EXP_MATRIX!$B11:$Z11,1))^IF(ISERROR(FIND("2",Q$1)),1,2))</f>
        <v/>
      </c>
      <c r="R11" s="1" t="str" cm="1">
        <f t="array" ref="R11">IF(OR(R$1="",EXP_MATRIX!$C11=""),"",PRODUCT(IF(NOT(ISERROR(FIND(EXP_MATRIX!$B$1:$Z$1,R$1))),EXP_MATRIX!$B11:$Z11,1))^IF(ISERROR(FIND("2",R$1)),1,2))</f>
        <v/>
      </c>
      <c r="S11" s="1" t="str" cm="1">
        <f t="array" ref="S11">IF(OR(S$1="",EXP_MATRIX!$C11=""),"",PRODUCT(IF(NOT(ISERROR(FIND(EXP_MATRIX!$B$1:$Z$1,S$1))),EXP_MATRIX!$B11:$Z11,1))^IF(ISERROR(FIND("2",S$1)),1,2))</f>
        <v/>
      </c>
      <c r="T11" s="1" t="str" cm="1">
        <f t="array" ref="T11">IF(OR(T$1="",EXP_MATRIX!$C11=""),"",PRODUCT(IF(NOT(ISERROR(FIND(EXP_MATRIX!$B$1:$Z$1,T$1))),EXP_MATRIX!$B11:$Z11,1))^IF(ISERROR(FIND("2",T$1)),1,2))</f>
        <v/>
      </c>
      <c r="U11" s="1" t="str" cm="1">
        <f t="array" ref="U11">IF(OR(U$1="",EXP_MATRIX!$C11=""),"",PRODUCT(IF(NOT(ISERROR(FIND(EXP_MATRIX!$B$1:$Z$1,U$1))),EXP_MATRIX!$B11:$Z11,1))^IF(ISERROR(FIND("2",U$1)),1,2))</f>
        <v/>
      </c>
      <c r="V11" s="1" t="str" cm="1">
        <f t="array" ref="V11">IF(OR(V$1="",EXP_MATRIX!$C11=""),"",PRODUCT(IF(NOT(ISERROR(FIND(EXP_MATRIX!$B$1:$Z$1,V$1))),EXP_MATRIX!$B11:$Z11,1))^IF(ISERROR(FIND("2",V$1)),1,2))</f>
        <v/>
      </c>
      <c r="W11" s="1" t="str" cm="1">
        <f t="array" ref="W11">IF(OR(W$1="",EXP_MATRIX!$C11=""),"",PRODUCT(IF(NOT(ISERROR(FIND(EXP_MATRIX!$B$1:$Z$1,W$1))),EXP_MATRIX!$B11:$Z11,1))^IF(ISERROR(FIND("2",W$1)),1,2))</f>
        <v/>
      </c>
      <c r="X11" s="1" t="str" cm="1">
        <f t="array" ref="X11">IF(OR(X$1="",EXP_MATRIX!$C11=""),"",PRODUCT(IF(NOT(ISERROR(FIND(EXP_MATRIX!$B$1:$Z$1,X$1))),EXP_MATRIX!$B11:$Z11,1))^IF(ISERROR(FIND("2",X$1)),1,2))</f>
        <v/>
      </c>
      <c r="Y11" s="1" t="str" cm="1">
        <f t="array" ref="Y11">IF(OR(Y$1="",EXP_MATRIX!$C11=""),"",PRODUCT(IF(NOT(ISERROR(FIND(EXP_MATRIX!$B$1:$Z$1,Y$1))),EXP_MATRIX!$B11:$Z11,1))^IF(ISERROR(FIND("2",Y$1)),1,2))</f>
        <v/>
      </c>
      <c r="Z11" s="1" t="str" cm="1">
        <f t="array" ref="Z11">IF(OR(Z$1="",EXP_MATRIX!$C11=""),"",PRODUCT(IF(NOT(ISERROR(FIND(EXP_MATRIX!$B$1:$Z$1,Z$1))),EXP_MATRIX!$B11:$Z11,1))^IF(ISERROR(FIND("2",Z$1)),1,2))</f>
        <v/>
      </c>
      <c r="AA11" s="1" t="str" cm="1">
        <f t="array" ref="AA11">IF(OR(AA$1="",EXP_MATRIX!$C11=""),"",PRODUCT(IF(NOT(ISERROR(FIND(EXP_MATRIX!$B$1:$Z$1,AA$1))),EXP_MATRIX!$B11:$Z11,1))^IF(ISERROR(FIND("2",AA$1)),1,2))</f>
        <v/>
      </c>
    </row>
    <row r="12" spans="1:27" x14ac:dyDescent="0.25">
      <c r="A12">
        <v>11</v>
      </c>
      <c r="B12" s="1" cm="1">
        <f t="array" ref="B12">IF(OR(B$1="",EXP_MATRIX!$C12=""),"",PRODUCT(IF(NOT(ISERROR(FIND(EXP_MATRIX!$B$1:$Z$1,B$1))),EXP_MATRIX!$B12:$Z12,1))^IF(ISERROR(FIND("2",B$1)),1,2))</f>
        <v>5.4280640187499998</v>
      </c>
      <c r="C12" s="1" cm="1">
        <f t="array" ref="C12">IF(OR(C$1="",EXP_MATRIX!$C12=""),"",PRODUCT(IF(NOT(ISERROR(FIND(EXP_MATRIX!$B$1:$Z$1,C$1))),EXP_MATRIX!$B12:$Z12,1))^IF(ISERROR(FIND("2",C$1)),1,2))</f>
        <v>-1</v>
      </c>
      <c r="D12" s="1" cm="1">
        <f t="array" ref="D12">IF(OR(D$1="",EXP_MATRIX!$C12=""),"",PRODUCT(IF(NOT(ISERROR(FIND(EXP_MATRIX!$B$1:$Z$1,D$1))),EXP_MATRIX!$B12:$Z12,1))^IF(ISERROR(FIND("2",D$1)),1,2))</f>
        <v>-1</v>
      </c>
      <c r="E12" s="1" cm="1">
        <f t="array" ref="E12">IF(OR(E$1="",EXP_MATRIX!$C12=""),"",PRODUCT(IF(NOT(ISERROR(FIND(EXP_MATRIX!$B$1:$Z$1,E$1))),EXP_MATRIX!$B12:$Z12,1))^IF(ISERROR(FIND("2",E$1)),1,2))</f>
        <v>-1</v>
      </c>
      <c r="F12" s="1" cm="1">
        <f t="array" ref="F12">IF(OR(F$1="",EXP_MATRIX!$C12=""),"",PRODUCT(IF(NOT(ISERROR(FIND(EXP_MATRIX!$B$1:$Z$1,F$1))),EXP_MATRIX!$B12:$Z12,1))^IF(ISERROR(FIND("2",F$1)),1,2))</f>
        <v>1</v>
      </c>
      <c r="G12" s="1" cm="1">
        <f t="array" ref="G12">IF(OR(G$1="",EXP_MATRIX!$C12=""),"",PRODUCT(IF(NOT(ISERROR(FIND(EXP_MATRIX!$B$1:$Z$1,G$1))),EXP_MATRIX!$B12:$Z12,1))^IF(ISERROR(FIND("2",G$1)),1,2))</f>
        <v>1</v>
      </c>
      <c r="H12" s="1" t="str" cm="1">
        <f t="array" ref="H12">IF(OR(H$1="",EXP_MATRIX!$C12=""),"",PRODUCT(IF(NOT(ISERROR(FIND(EXP_MATRIX!$B$1:$Z$1,H$1))),EXP_MATRIX!$B12:$Z12,1))^IF(ISERROR(FIND("2",H$1)),1,2))</f>
        <v/>
      </c>
      <c r="I12" s="1" t="str" cm="1">
        <f t="array" ref="I12">IF(OR(I$1="",EXP_MATRIX!$C12=""),"",PRODUCT(IF(NOT(ISERROR(FIND(EXP_MATRIX!$B$1:$Z$1,I$1))),EXP_MATRIX!$B12:$Z12,1))^IF(ISERROR(FIND("2",I$1)),1,2))</f>
        <v/>
      </c>
      <c r="J12" s="1" t="str" cm="1">
        <f t="array" ref="J12">IF(OR(J$1="",EXP_MATRIX!$C12=""),"",PRODUCT(IF(NOT(ISERROR(FIND(EXP_MATRIX!$B$1:$Z$1,J$1))),EXP_MATRIX!$B12:$Z12,1))^IF(ISERROR(FIND("2",J$1)),1,2))</f>
        <v/>
      </c>
      <c r="K12" s="1" t="str" cm="1">
        <f t="array" ref="K12">IF(OR(K$1="",EXP_MATRIX!$C12=""),"",PRODUCT(IF(NOT(ISERROR(FIND(EXP_MATRIX!$B$1:$Z$1,K$1))),EXP_MATRIX!$B12:$Z12,1))^IF(ISERROR(FIND("2",K$1)),1,2))</f>
        <v/>
      </c>
      <c r="L12" s="1" t="str" cm="1">
        <f t="array" ref="L12">IF(OR(L$1="",EXP_MATRIX!$C12=""),"",PRODUCT(IF(NOT(ISERROR(FIND(EXP_MATRIX!$B$1:$Z$1,L$1))),EXP_MATRIX!$B12:$Z12,1))^IF(ISERROR(FIND("2",L$1)),1,2))</f>
        <v/>
      </c>
      <c r="M12" s="1" t="str" cm="1">
        <f t="array" ref="M12">IF(OR(M$1="",EXP_MATRIX!$C12=""),"",PRODUCT(IF(NOT(ISERROR(FIND(EXP_MATRIX!$B$1:$Z$1,M$1))),EXP_MATRIX!$B12:$Z12,1))^IF(ISERROR(FIND("2",M$1)),1,2))</f>
        <v/>
      </c>
      <c r="N12" s="1" t="str" cm="1">
        <f t="array" ref="N12">IF(OR(N$1="",EXP_MATRIX!$C12=""),"",PRODUCT(IF(NOT(ISERROR(FIND(EXP_MATRIX!$B$1:$Z$1,N$1))),EXP_MATRIX!$B12:$Z12,1))^IF(ISERROR(FIND("2",N$1)),1,2))</f>
        <v/>
      </c>
      <c r="O12" s="1" t="str" cm="1">
        <f t="array" ref="O12">IF(OR(O$1="",EXP_MATRIX!$C12=""),"",PRODUCT(IF(NOT(ISERROR(FIND(EXP_MATRIX!$B$1:$Z$1,O$1))),EXP_MATRIX!$B12:$Z12,1))^IF(ISERROR(FIND("2",O$1)),1,2))</f>
        <v/>
      </c>
      <c r="P12" s="1" t="str" cm="1">
        <f t="array" ref="P12">IF(OR(P$1="",EXP_MATRIX!$C12=""),"",PRODUCT(IF(NOT(ISERROR(FIND(EXP_MATRIX!$B$1:$Z$1,P$1))),EXP_MATRIX!$B12:$Z12,1))^IF(ISERROR(FIND("2",P$1)),1,2))</f>
        <v/>
      </c>
      <c r="Q12" s="1" t="str" cm="1">
        <f t="array" ref="Q12">IF(OR(Q$1="",EXP_MATRIX!$C12=""),"",PRODUCT(IF(NOT(ISERROR(FIND(EXP_MATRIX!$B$1:$Z$1,Q$1))),EXP_MATRIX!$B12:$Z12,1))^IF(ISERROR(FIND("2",Q$1)),1,2))</f>
        <v/>
      </c>
      <c r="R12" s="1" t="str" cm="1">
        <f t="array" ref="R12">IF(OR(R$1="",EXP_MATRIX!$C12=""),"",PRODUCT(IF(NOT(ISERROR(FIND(EXP_MATRIX!$B$1:$Z$1,R$1))),EXP_MATRIX!$B12:$Z12,1))^IF(ISERROR(FIND("2",R$1)),1,2))</f>
        <v/>
      </c>
      <c r="S12" s="1" t="str" cm="1">
        <f t="array" ref="S12">IF(OR(S$1="",EXP_MATRIX!$C12=""),"",PRODUCT(IF(NOT(ISERROR(FIND(EXP_MATRIX!$B$1:$Z$1,S$1))),EXP_MATRIX!$B12:$Z12,1))^IF(ISERROR(FIND("2",S$1)),1,2))</f>
        <v/>
      </c>
      <c r="T12" s="1" t="str" cm="1">
        <f t="array" ref="T12">IF(OR(T$1="",EXP_MATRIX!$C12=""),"",PRODUCT(IF(NOT(ISERROR(FIND(EXP_MATRIX!$B$1:$Z$1,T$1))),EXP_MATRIX!$B12:$Z12,1))^IF(ISERROR(FIND("2",T$1)),1,2))</f>
        <v/>
      </c>
      <c r="U12" s="1" t="str" cm="1">
        <f t="array" ref="U12">IF(OR(U$1="",EXP_MATRIX!$C12=""),"",PRODUCT(IF(NOT(ISERROR(FIND(EXP_MATRIX!$B$1:$Z$1,U$1))),EXP_MATRIX!$B12:$Z12,1))^IF(ISERROR(FIND("2",U$1)),1,2))</f>
        <v/>
      </c>
      <c r="V12" s="1" t="str" cm="1">
        <f t="array" ref="V12">IF(OR(V$1="",EXP_MATRIX!$C12=""),"",PRODUCT(IF(NOT(ISERROR(FIND(EXP_MATRIX!$B$1:$Z$1,V$1))),EXP_MATRIX!$B12:$Z12,1))^IF(ISERROR(FIND("2",V$1)),1,2))</f>
        <v/>
      </c>
      <c r="W12" s="1" t="str" cm="1">
        <f t="array" ref="W12">IF(OR(W$1="",EXP_MATRIX!$C12=""),"",PRODUCT(IF(NOT(ISERROR(FIND(EXP_MATRIX!$B$1:$Z$1,W$1))),EXP_MATRIX!$B12:$Z12,1))^IF(ISERROR(FIND("2",W$1)),1,2))</f>
        <v/>
      </c>
      <c r="X12" s="1" t="str" cm="1">
        <f t="array" ref="X12">IF(OR(X$1="",EXP_MATRIX!$C12=""),"",PRODUCT(IF(NOT(ISERROR(FIND(EXP_MATRIX!$B$1:$Z$1,X$1))),EXP_MATRIX!$B12:$Z12,1))^IF(ISERROR(FIND("2",X$1)),1,2))</f>
        <v/>
      </c>
      <c r="Y12" s="1" t="str" cm="1">
        <f t="array" ref="Y12">IF(OR(Y$1="",EXP_MATRIX!$C12=""),"",PRODUCT(IF(NOT(ISERROR(FIND(EXP_MATRIX!$B$1:$Z$1,Y$1))),EXP_MATRIX!$B12:$Z12,1))^IF(ISERROR(FIND("2",Y$1)),1,2))</f>
        <v/>
      </c>
      <c r="Z12" s="1" t="str" cm="1">
        <f t="array" ref="Z12">IF(OR(Z$1="",EXP_MATRIX!$C12=""),"",PRODUCT(IF(NOT(ISERROR(FIND(EXP_MATRIX!$B$1:$Z$1,Z$1))),EXP_MATRIX!$B12:$Z12,1))^IF(ISERROR(FIND("2",Z$1)),1,2))</f>
        <v/>
      </c>
      <c r="AA12" s="1" t="str" cm="1">
        <f t="array" ref="AA12">IF(OR(AA$1="",EXP_MATRIX!$C12=""),"",PRODUCT(IF(NOT(ISERROR(FIND(EXP_MATRIX!$B$1:$Z$1,AA$1))),EXP_MATRIX!$B12:$Z12,1))^IF(ISERROR(FIND("2",AA$1)),1,2))</f>
        <v/>
      </c>
    </row>
    <row r="13" spans="1:27" x14ac:dyDescent="0.25">
      <c r="A13">
        <v>12</v>
      </c>
      <c r="B13" s="1" cm="1">
        <f t="array" ref="B13">IF(OR(B$1="",EXP_MATRIX!$C13=""),"",PRODUCT(IF(NOT(ISERROR(FIND(EXP_MATRIX!$B$1:$Z$1,B$1))),EXP_MATRIX!$B13:$Z13,1))^IF(ISERROR(FIND("2",B$1)),1,2))</f>
        <v>4.8226030187499997</v>
      </c>
      <c r="C13" s="1" cm="1">
        <f t="array" ref="C13">IF(OR(C$1="",EXP_MATRIX!$C13=""),"",PRODUCT(IF(NOT(ISERROR(FIND(EXP_MATRIX!$B$1:$Z$1,C$1))),EXP_MATRIX!$B13:$Z13,1))^IF(ISERROR(FIND("2",C$1)),1,2))</f>
        <v>1</v>
      </c>
      <c r="D13" s="1" cm="1">
        <f t="array" ref="D13">IF(OR(D$1="",EXP_MATRIX!$C13=""),"",PRODUCT(IF(NOT(ISERROR(FIND(EXP_MATRIX!$B$1:$Z$1,D$1))),EXP_MATRIX!$B13:$Z13,1))^IF(ISERROR(FIND("2",D$1)),1,2))</f>
        <v>-1</v>
      </c>
      <c r="E13" s="1" cm="1">
        <f t="array" ref="E13">IF(OR(E$1="",EXP_MATRIX!$C13=""),"",PRODUCT(IF(NOT(ISERROR(FIND(EXP_MATRIX!$B$1:$Z$1,E$1))),EXP_MATRIX!$B13:$Z13,1))^IF(ISERROR(FIND("2",E$1)),1,2))</f>
        <v>-1</v>
      </c>
      <c r="F13" s="1" cm="1">
        <f t="array" ref="F13">IF(OR(F$1="",EXP_MATRIX!$C13=""),"",PRODUCT(IF(NOT(ISERROR(FIND(EXP_MATRIX!$B$1:$Z$1,F$1))),EXP_MATRIX!$B13:$Z13,1))^IF(ISERROR(FIND("2",F$1)),1,2))</f>
        <v>-1</v>
      </c>
      <c r="G13" s="1" cm="1">
        <f t="array" ref="G13">IF(OR(G$1="",EXP_MATRIX!$C13=""),"",PRODUCT(IF(NOT(ISERROR(FIND(EXP_MATRIX!$B$1:$Z$1,G$1))),EXP_MATRIX!$B13:$Z13,1))^IF(ISERROR(FIND("2",G$1)),1,2))</f>
        <v>-1</v>
      </c>
      <c r="H13" s="1" t="str" cm="1">
        <f t="array" ref="H13">IF(OR(H$1="",EXP_MATRIX!$C13=""),"",PRODUCT(IF(NOT(ISERROR(FIND(EXP_MATRIX!$B$1:$Z$1,H$1))),EXP_MATRIX!$B13:$Z13,1))^IF(ISERROR(FIND("2",H$1)),1,2))</f>
        <v/>
      </c>
      <c r="I13" s="1" t="str" cm="1">
        <f t="array" ref="I13">IF(OR(I$1="",EXP_MATRIX!$C13=""),"",PRODUCT(IF(NOT(ISERROR(FIND(EXP_MATRIX!$B$1:$Z$1,I$1))),EXP_MATRIX!$B13:$Z13,1))^IF(ISERROR(FIND("2",I$1)),1,2))</f>
        <v/>
      </c>
      <c r="J13" s="1" t="str" cm="1">
        <f t="array" ref="J13">IF(OR(J$1="",EXP_MATRIX!$C13=""),"",PRODUCT(IF(NOT(ISERROR(FIND(EXP_MATRIX!$B$1:$Z$1,J$1))),EXP_MATRIX!$B13:$Z13,1))^IF(ISERROR(FIND("2",J$1)),1,2))</f>
        <v/>
      </c>
      <c r="K13" s="1" t="str" cm="1">
        <f t="array" ref="K13">IF(OR(K$1="",EXP_MATRIX!$C13=""),"",PRODUCT(IF(NOT(ISERROR(FIND(EXP_MATRIX!$B$1:$Z$1,K$1))),EXP_MATRIX!$B13:$Z13,1))^IF(ISERROR(FIND("2",K$1)),1,2))</f>
        <v/>
      </c>
      <c r="L13" s="1" t="str" cm="1">
        <f t="array" ref="L13">IF(OR(L$1="",EXP_MATRIX!$C13=""),"",PRODUCT(IF(NOT(ISERROR(FIND(EXP_MATRIX!$B$1:$Z$1,L$1))),EXP_MATRIX!$B13:$Z13,1))^IF(ISERROR(FIND("2",L$1)),1,2))</f>
        <v/>
      </c>
      <c r="M13" s="1" t="str" cm="1">
        <f t="array" ref="M13">IF(OR(M$1="",EXP_MATRIX!$C13=""),"",PRODUCT(IF(NOT(ISERROR(FIND(EXP_MATRIX!$B$1:$Z$1,M$1))),EXP_MATRIX!$B13:$Z13,1))^IF(ISERROR(FIND("2",M$1)),1,2))</f>
        <v/>
      </c>
      <c r="N13" s="1" t="str" cm="1">
        <f t="array" ref="N13">IF(OR(N$1="",EXP_MATRIX!$C13=""),"",PRODUCT(IF(NOT(ISERROR(FIND(EXP_MATRIX!$B$1:$Z$1,N$1))),EXP_MATRIX!$B13:$Z13,1))^IF(ISERROR(FIND("2",N$1)),1,2))</f>
        <v/>
      </c>
      <c r="O13" s="1" t="str" cm="1">
        <f t="array" ref="O13">IF(OR(O$1="",EXP_MATRIX!$C13=""),"",PRODUCT(IF(NOT(ISERROR(FIND(EXP_MATRIX!$B$1:$Z$1,O$1))),EXP_MATRIX!$B13:$Z13,1))^IF(ISERROR(FIND("2",O$1)),1,2))</f>
        <v/>
      </c>
      <c r="P13" s="1" t="str" cm="1">
        <f t="array" ref="P13">IF(OR(P$1="",EXP_MATRIX!$C13=""),"",PRODUCT(IF(NOT(ISERROR(FIND(EXP_MATRIX!$B$1:$Z$1,P$1))),EXP_MATRIX!$B13:$Z13,1))^IF(ISERROR(FIND("2",P$1)),1,2))</f>
        <v/>
      </c>
      <c r="Q13" s="1" t="str" cm="1">
        <f t="array" ref="Q13">IF(OR(Q$1="",EXP_MATRIX!$C13=""),"",PRODUCT(IF(NOT(ISERROR(FIND(EXP_MATRIX!$B$1:$Z$1,Q$1))),EXP_MATRIX!$B13:$Z13,1))^IF(ISERROR(FIND("2",Q$1)),1,2))</f>
        <v/>
      </c>
      <c r="R13" s="1" t="str" cm="1">
        <f t="array" ref="R13">IF(OR(R$1="",EXP_MATRIX!$C13=""),"",PRODUCT(IF(NOT(ISERROR(FIND(EXP_MATRIX!$B$1:$Z$1,R$1))),EXP_MATRIX!$B13:$Z13,1))^IF(ISERROR(FIND("2",R$1)),1,2))</f>
        <v/>
      </c>
      <c r="S13" s="1" t="str" cm="1">
        <f t="array" ref="S13">IF(OR(S$1="",EXP_MATRIX!$C13=""),"",PRODUCT(IF(NOT(ISERROR(FIND(EXP_MATRIX!$B$1:$Z$1,S$1))),EXP_MATRIX!$B13:$Z13,1))^IF(ISERROR(FIND("2",S$1)),1,2))</f>
        <v/>
      </c>
      <c r="T13" s="1" t="str" cm="1">
        <f t="array" ref="T13">IF(OR(T$1="",EXP_MATRIX!$C13=""),"",PRODUCT(IF(NOT(ISERROR(FIND(EXP_MATRIX!$B$1:$Z$1,T$1))),EXP_MATRIX!$B13:$Z13,1))^IF(ISERROR(FIND("2",T$1)),1,2))</f>
        <v/>
      </c>
      <c r="U13" s="1" t="str" cm="1">
        <f t="array" ref="U13">IF(OR(U$1="",EXP_MATRIX!$C13=""),"",PRODUCT(IF(NOT(ISERROR(FIND(EXP_MATRIX!$B$1:$Z$1,U$1))),EXP_MATRIX!$B13:$Z13,1))^IF(ISERROR(FIND("2",U$1)),1,2))</f>
        <v/>
      </c>
      <c r="V13" s="1" t="str" cm="1">
        <f t="array" ref="V13">IF(OR(V$1="",EXP_MATRIX!$C13=""),"",PRODUCT(IF(NOT(ISERROR(FIND(EXP_MATRIX!$B$1:$Z$1,V$1))),EXP_MATRIX!$B13:$Z13,1))^IF(ISERROR(FIND("2",V$1)),1,2))</f>
        <v/>
      </c>
      <c r="W13" s="1" t="str" cm="1">
        <f t="array" ref="W13">IF(OR(W$1="",EXP_MATRIX!$C13=""),"",PRODUCT(IF(NOT(ISERROR(FIND(EXP_MATRIX!$B$1:$Z$1,W$1))),EXP_MATRIX!$B13:$Z13,1))^IF(ISERROR(FIND("2",W$1)),1,2))</f>
        <v/>
      </c>
      <c r="X13" s="1" t="str" cm="1">
        <f t="array" ref="X13">IF(OR(X$1="",EXP_MATRIX!$C13=""),"",PRODUCT(IF(NOT(ISERROR(FIND(EXP_MATRIX!$B$1:$Z$1,X$1))),EXP_MATRIX!$B13:$Z13,1))^IF(ISERROR(FIND("2",X$1)),1,2))</f>
        <v/>
      </c>
      <c r="Y13" s="1" t="str" cm="1">
        <f t="array" ref="Y13">IF(OR(Y$1="",EXP_MATRIX!$C13=""),"",PRODUCT(IF(NOT(ISERROR(FIND(EXP_MATRIX!$B$1:$Z$1,Y$1))),EXP_MATRIX!$B13:$Z13,1))^IF(ISERROR(FIND("2",Y$1)),1,2))</f>
        <v/>
      </c>
      <c r="Z13" s="1" t="str" cm="1">
        <f t="array" ref="Z13">IF(OR(Z$1="",EXP_MATRIX!$C13=""),"",PRODUCT(IF(NOT(ISERROR(FIND(EXP_MATRIX!$B$1:$Z$1,Z$1))),EXP_MATRIX!$B13:$Z13,1))^IF(ISERROR(FIND("2",Z$1)),1,2))</f>
        <v/>
      </c>
      <c r="AA13" s="1" t="str" cm="1">
        <f t="array" ref="AA13">IF(OR(AA$1="",EXP_MATRIX!$C13=""),"",PRODUCT(IF(NOT(ISERROR(FIND(EXP_MATRIX!$B$1:$Z$1,AA$1))),EXP_MATRIX!$B13:$Z13,1))^IF(ISERROR(FIND("2",AA$1)),1,2))</f>
        <v/>
      </c>
    </row>
    <row r="14" spans="1:27" x14ac:dyDescent="0.25">
      <c r="A14">
        <v>13</v>
      </c>
      <c r="B14" s="1" cm="1">
        <f t="array" ref="B14">IF(OR(B$1="",EXP_MATRIX!$C14=""),"",PRODUCT(IF(NOT(ISERROR(FIND(EXP_MATRIX!$B$1:$Z$1,B$1))),EXP_MATRIX!$B14:$Z14,1))^IF(ISERROR(FIND("2",B$1)),1,2))</f>
        <v>7.74115001875</v>
      </c>
      <c r="C14" s="1" cm="1">
        <f t="array" ref="C14">IF(OR(C$1="",EXP_MATRIX!$C14=""),"",PRODUCT(IF(NOT(ISERROR(FIND(EXP_MATRIX!$B$1:$Z$1,C$1))),EXP_MATRIX!$B14:$Z14,1))^IF(ISERROR(FIND("2",C$1)),1,2))</f>
        <v>-1</v>
      </c>
      <c r="D14" s="1" cm="1">
        <f t="array" ref="D14">IF(OR(D$1="",EXP_MATRIX!$C14=""),"",PRODUCT(IF(NOT(ISERROR(FIND(EXP_MATRIX!$B$1:$Z$1,D$1))),EXP_MATRIX!$B14:$Z14,1))^IF(ISERROR(FIND("2",D$1)),1,2))</f>
        <v>1</v>
      </c>
      <c r="E14" s="1" cm="1">
        <f t="array" ref="E14">IF(OR(E$1="",EXP_MATRIX!$C14=""),"",PRODUCT(IF(NOT(ISERROR(FIND(EXP_MATRIX!$B$1:$Z$1,E$1))),EXP_MATRIX!$B14:$Z14,1))^IF(ISERROR(FIND("2",E$1)),1,2))</f>
        <v>-1</v>
      </c>
      <c r="F14" s="1" cm="1">
        <f t="array" ref="F14">IF(OR(F$1="",EXP_MATRIX!$C14=""),"",PRODUCT(IF(NOT(ISERROR(FIND(EXP_MATRIX!$B$1:$Z$1,F$1))),EXP_MATRIX!$B14:$Z14,1))^IF(ISERROR(FIND("2",F$1)),1,2))</f>
        <v>-1</v>
      </c>
      <c r="G14" s="1" cm="1">
        <f t="array" ref="G14">IF(OR(G$1="",EXP_MATRIX!$C14=""),"",PRODUCT(IF(NOT(ISERROR(FIND(EXP_MATRIX!$B$1:$Z$1,G$1))),EXP_MATRIX!$B14:$Z14,1))^IF(ISERROR(FIND("2",G$1)),1,2))</f>
        <v>1</v>
      </c>
      <c r="H14" s="1" t="str" cm="1">
        <f t="array" ref="H14">IF(OR(H$1="",EXP_MATRIX!$C14=""),"",PRODUCT(IF(NOT(ISERROR(FIND(EXP_MATRIX!$B$1:$Z$1,H$1))),EXP_MATRIX!$B14:$Z14,1))^IF(ISERROR(FIND("2",H$1)),1,2))</f>
        <v/>
      </c>
      <c r="I14" s="1" t="str" cm="1">
        <f t="array" ref="I14">IF(OR(I$1="",EXP_MATRIX!$C14=""),"",PRODUCT(IF(NOT(ISERROR(FIND(EXP_MATRIX!$B$1:$Z$1,I$1))),EXP_MATRIX!$B14:$Z14,1))^IF(ISERROR(FIND("2",I$1)),1,2))</f>
        <v/>
      </c>
      <c r="J14" s="1" t="str" cm="1">
        <f t="array" ref="J14">IF(OR(J$1="",EXP_MATRIX!$C14=""),"",PRODUCT(IF(NOT(ISERROR(FIND(EXP_MATRIX!$B$1:$Z$1,J$1))),EXP_MATRIX!$B14:$Z14,1))^IF(ISERROR(FIND("2",J$1)),1,2))</f>
        <v/>
      </c>
      <c r="K14" s="1" t="str" cm="1">
        <f t="array" ref="K14">IF(OR(K$1="",EXP_MATRIX!$C14=""),"",PRODUCT(IF(NOT(ISERROR(FIND(EXP_MATRIX!$B$1:$Z$1,K$1))),EXP_MATRIX!$B14:$Z14,1))^IF(ISERROR(FIND("2",K$1)),1,2))</f>
        <v/>
      </c>
      <c r="L14" s="1" t="str" cm="1">
        <f t="array" ref="L14">IF(OR(L$1="",EXP_MATRIX!$C14=""),"",PRODUCT(IF(NOT(ISERROR(FIND(EXP_MATRIX!$B$1:$Z$1,L$1))),EXP_MATRIX!$B14:$Z14,1))^IF(ISERROR(FIND("2",L$1)),1,2))</f>
        <v/>
      </c>
      <c r="M14" s="1" t="str" cm="1">
        <f t="array" ref="M14">IF(OR(M$1="",EXP_MATRIX!$C14=""),"",PRODUCT(IF(NOT(ISERROR(FIND(EXP_MATRIX!$B$1:$Z$1,M$1))),EXP_MATRIX!$B14:$Z14,1))^IF(ISERROR(FIND("2",M$1)),1,2))</f>
        <v/>
      </c>
      <c r="N14" s="1" t="str" cm="1">
        <f t="array" ref="N14">IF(OR(N$1="",EXP_MATRIX!$C14=""),"",PRODUCT(IF(NOT(ISERROR(FIND(EXP_MATRIX!$B$1:$Z$1,N$1))),EXP_MATRIX!$B14:$Z14,1))^IF(ISERROR(FIND("2",N$1)),1,2))</f>
        <v/>
      </c>
      <c r="O14" s="1" t="str" cm="1">
        <f t="array" ref="O14">IF(OR(O$1="",EXP_MATRIX!$C14=""),"",PRODUCT(IF(NOT(ISERROR(FIND(EXP_MATRIX!$B$1:$Z$1,O$1))),EXP_MATRIX!$B14:$Z14,1))^IF(ISERROR(FIND("2",O$1)),1,2))</f>
        <v/>
      </c>
      <c r="P14" s="1" t="str" cm="1">
        <f t="array" ref="P14">IF(OR(P$1="",EXP_MATRIX!$C14=""),"",PRODUCT(IF(NOT(ISERROR(FIND(EXP_MATRIX!$B$1:$Z$1,P$1))),EXP_MATRIX!$B14:$Z14,1))^IF(ISERROR(FIND("2",P$1)),1,2))</f>
        <v/>
      </c>
      <c r="Q14" s="1" t="str" cm="1">
        <f t="array" ref="Q14">IF(OR(Q$1="",EXP_MATRIX!$C14=""),"",PRODUCT(IF(NOT(ISERROR(FIND(EXP_MATRIX!$B$1:$Z$1,Q$1))),EXP_MATRIX!$B14:$Z14,1))^IF(ISERROR(FIND("2",Q$1)),1,2))</f>
        <v/>
      </c>
      <c r="R14" s="1" t="str" cm="1">
        <f t="array" ref="R14">IF(OR(R$1="",EXP_MATRIX!$C14=""),"",PRODUCT(IF(NOT(ISERROR(FIND(EXP_MATRIX!$B$1:$Z$1,R$1))),EXP_MATRIX!$B14:$Z14,1))^IF(ISERROR(FIND("2",R$1)),1,2))</f>
        <v/>
      </c>
      <c r="S14" s="1" t="str" cm="1">
        <f t="array" ref="S14">IF(OR(S$1="",EXP_MATRIX!$C14=""),"",PRODUCT(IF(NOT(ISERROR(FIND(EXP_MATRIX!$B$1:$Z$1,S$1))),EXP_MATRIX!$B14:$Z14,1))^IF(ISERROR(FIND("2",S$1)),1,2))</f>
        <v/>
      </c>
      <c r="T14" s="1" t="str" cm="1">
        <f t="array" ref="T14">IF(OR(T$1="",EXP_MATRIX!$C14=""),"",PRODUCT(IF(NOT(ISERROR(FIND(EXP_MATRIX!$B$1:$Z$1,T$1))),EXP_MATRIX!$B14:$Z14,1))^IF(ISERROR(FIND("2",T$1)),1,2))</f>
        <v/>
      </c>
      <c r="U14" s="1" t="str" cm="1">
        <f t="array" ref="U14">IF(OR(U$1="",EXP_MATRIX!$C14=""),"",PRODUCT(IF(NOT(ISERROR(FIND(EXP_MATRIX!$B$1:$Z$1,U$1))),EXP_MATRIX!$B14:$Z14,1))^IF(ISERROR(FIND("2",U$1)),1,2))</f>
        <v/>
      </c>
      <c r="V14" s="1" t="str" cm="1">
        <f t="array" ref="V14">IF(OR(V$1="",EXP_MATRIX!$C14=""),"",PRODUCT(IF(NOT(ISERROR(FIND(EXP_MATRIX!$B$1:$Z$1,V$1))),EXP_MATRIX!$B14:$Z14,1))^IF(ISERROR(FIND("2",V$1)),1,2))</f>
        <v/>
      </c>
      <c r="W14" s="1" t="str" cm="1">
        <f t="array" ref="W14">IF(OR(W$1="",EXP_MATRIX!$C14=""),"",PRODUCT(IF(NOT(ISERROR(FIND(EXP_MATRIX!$B$1:$Z$1,W$1))),EXP_MATRIX!$B14:$Z14,1))^IF(ISERROR(FIND("2",W$1)),1,2))</f>
        <v/>
      </c>
      <c r="X14" s="1" t="str" cm="1">
        <f t="array" ref="X14">IF(OR(X$1="",EXP_MATRIX!$C14=""),"",PRODUCT(IF(NOT(ISERROR(FIND(EXP_MATRIX!$B$1:$Z$1,X$1))),EXP_MATRIX!$B14:$Z14,1))^IF(ISERROR(FIND("2",X$1)),1,2))</f>
        <v/>
      </c>
      <c r="Y14" s="1" t="str" cm="1">
        <f t="array" ref="Y14">IF(OR(Y$1="",EXP_MATRIX!$C14=""),"",PRODUCT(IF(NOT(ISERROR(FIND(EXP_MATRIX!$B$1:$Z$1,Y$1))),EXP_MATRIX!$B14:$Z14,1))^IF(ISERROR(FIND("2",Y$1)),1,2))</f>
        <v/>
      </c>
      <c r="Z14" s="1" t="str" cm="1">
        <f t="array" ref="Z14">IF(OR(Z$1="",EXP_MATRIX!$C14=""),"",PRODUCT(IF(NOT(ISERROR(FIND(EXP_MATRIX!$B$1:$Z$1,Z$1))),EXP_MATRIX!$B14:$Z14,1))^IF(ISERROR(FIND("2",Z$1)),1,2))</f>
        <v/>
      </c>
      <c r="AA14" s="1" t="str" cm="1">
        <f t="array" ref="AA14">IF(OR(AA$1="",EXP_MATRIX!$C14=""),"",PRODUCT(IF(NOT(ISERROR(FIND(EXP_MATRIX!$B$1:$Z$1,AA$1))),EXP_MATRIX!$B14:$Z14,1))^IF(ISERROR(FIND("2",AA$1)),1,2))</f>
        <v/>
      </c>
    </row>
    <row r="15" spans="1:27" x14ac:dyDescent="0.25">
      <c r="A15">
        <v>14</v>
      </c>
      <c r="B15" s="1" cm="1">
        <f t="array" ref="B15">IF(OR(B$1="",EXP_MATRIX!$C15=""),"",PRODUCT(IF(NOT(ISERROR(FIND(EXP_MATRIX!$B$1:$Z$1,B$1))),EXP_MATRIX!$B15:$Z15,1))^IF(ISERROR(FIND("2",B$1)),1,2))</f>
        <v>5.2487835187499998</v>
      </c>
      <c r="C15" s="1" cm="1">
        <f t="array" ref="C15">IF(OR(C$1="",EXP_MATRIX!$C15=""),"",PRODUCT(IF(NOT(ISERROR(FIND(EXP_MATRIX!$B$1:$Z$1,C$1))),EXP_MATRIX!$B15:$Z15,1))^IF(ISERROR(FIND("2",C$1)),1,2))</f>
        <v>1</v>
      </c>
      <c r="D15" s="1" cm="1">
        <f t="array" ref="D15">IF(OR(D$1="",EXP_MATRIX!$C15=""),"",PRODUCT(IF(NOT(ISERROR(FIND(EXP_MATRIX!$B$1:$Z$1,D$1))),EXP_MATRIX!$B15:$Z15,1))^IF(ISERROR(FIND("2",D$1)),1,2))</f>
        <v>1</v>
      </c>
      <c r="E15" s="1" cm="1">
        <f t="array" ref="E15">IF(OR(E$1="",EXP_MATRIX!$C15=""),"",PRODUCT(IF(NOT(ISERROR(FIND(EXP_MATRIX!$B$1:$Z$1,E$1))),EXP_MATRIX!$B15:$Z15,1))^IF(ISERROR(FIND("2",E$1)),1,2))</f>
        <v>-1</v>
      </c>
      <c r="F15" s="1" cm="1">
        <f t="array" ref="F15">IF(OR(F$1="",EXP_MATRIX!$C15=""),"",PRODUCT(IF(NOT(ISERROR(FIND(EXP_MATRIX!$B$1:$Z$1,F$1))),EXP_MATRIX!$B15:$Z15,1))^IF(ISERROR(FIND("2",F$1)),1,2))</f>
        <v>1</v>
      </c>
      <c r="G15" s="1" cm="1">
        <f t="array" ref="G15">IF(OR(G$1="",EXP_MATRIX!$C15=""),"",PRODUCT(IF(NOT(ISERROR(FIND(EXP_MATRIX!$B$1:$Z$1,G$1))),EXP_MATRIX!$B15:$Z15,1))^IF(ISERROR(FIND("2",G$1)),1,2))</f>
        <v>-1</v>
      </c>
      <c r="H15" s="1" t="str" cm="1">
        <f t="array" ref="H15">IF(OR(H$1="",EXP_MATRIX!$C15=""),"",PRODUCT(IF(NOT(ISERROR(FIND(EXP_MATRIX!$B$1:$Z$1,H$1))),EXP_MATRIX!$B15:$Z15,1))^IF(ISERROR(FIND("2",H$1)),1,2))</f>
        <v/>
      </c>
      <c r="I15" s="1" t="str" cm="1">
        <f t="array" ref="I15">IF(OR(I$1="",EXP_MATRIX!$C15=""),"",PRODUCT(IF(NOT(ISERROR(FIND(EXP_MATRIX!$B$1:$Z$1,I$1))),EXP_MATRIX!$B15:$Z15,1))^IF(ISERROR(FIND("2",I$1)),1,2))</f>
        <v/>
      </c>
      <c r="J15" s="1" t="str" cm="1">
        <f t="array" ref="J15">IF(OR(J$1="",EXP_MATRIX!$C15=""),"",PRODUCT(IF(NOT(ISERROR(FIND(EXP_MATRIX!$B$1:$Z$1,J$1))),EXP_MATRIX!$B15:$Z15,1))^IF(ISERROR(FIND("2",J$1)),1,2))</f>
        <v/>
      </c>
      <c r="K15" s="1" t="str" cm="1">
        <f t="array" ref="K15">IF(OR(K$1="",EXP_MATRIX!$C15=""),"",PRODUCT(IF(NOT(ISERROR(FIND(EXP_MATRIX!$B$1:$Z$1,K$1))),EXP_MATRIX!$B15:$Z15,1))^IF(ISERROR(FIND("2",K$1)),1,2))</f>
        <v/>
      </c>
      <c r="L15" s="1" t="str" cm="1">
        <f t="array" ref="L15">IF(OR(L$1="",EXP_MATRIX!$C15=""),"",PRODUCT(IF(NOT(ISERROR(FIND(EXP_MATRIX!$B$1:$Z$1,L$1))),EXP_MATRIX!$B15:$Z15,1))^IF(ISERROR(FIND("2",L$1)),1,2))</f>
        <v/>
      </c>
      <c r="M15" s="1" t="str" cm="1">
        <f t="array" ref="M15">IF(OR(M$1="",EXP_MATRIX!$C15=""),"",PRODUCT(IF(NOT(ISERROR(FIND(EXP_MATRIX!$B$1:$Z$1,M$1))),EXP_MATRIX!$B15:$Z15,1))^IF(ISERROR(FIND("2",M$1)),1,2))</f>
        <v/>
      </c>
      <c r="N15" s="1" t="str" cm="1">
        <f t="array" ref="N15">IF(OR(N$1="",EXP_MATRIX!$C15=""),"",PRODUCT(IF(NOT(ISERROR(FIND(EXP_MATRIX!$B$1:$Z$1,N$1))),EXP_MATRIX!$B15:$Z15,1))^IF(ISERROR(FIND("2",N$1)),1,2))</f>
        <v/>
      </c>
      <c r="O15" s="1" t="str" cm="1">
        <f t="array" ref="O15">IF(OR(O$1="",EXP_MATRIX!$C15=""),"",PRODUCT(IF(NOT(ISERROR(FIND(EXP_MATRIX!$B$1:$Z$1,O$1))),EXP_MATRIX!$B15:$Z15,1))^IF(ISERROR(FIND("2",O$1)),1,2))</f>
        <v/>
      </c>
      <c r="P15" s="1" t="str" cm="1">
        <f t="array" ref="P15">IF(OR(P$1="",EXP_MATRIX!$C15=""),"",PRODUCT(IF(NOT(ISERROR(FIND(EXP_MATRIX!$B$1:$Z$1,P$1))),EXP_MATRIX!$B15:$Z15,1))^IF(ISERROR(FIND("2",P$1)),1,2))</f>
        <v/>
      </c>
      <c r="Q15" s="1" t="str" cm="1">
        <f t="array" ref="Q15">IF(OR(Q$1="",EXP_MATRIX!$C15=""),"",PRODUCT(IF(NOT(ISERROR(FIND(EXP_MATRIX!$B$1:$Z$1,Q$1))),EXP_MATRIX!$B15:$Z15,1))^IF(ISERROR(FIND("2",Q$1)),1,2))</f>
        <v/>
      </c>
      <c r="R15" s="1" t="str" cm="1">
        <f t="array" ref="R15">IF(OR(R$1="",EXP_MATRIX!$C15=""),"",PRODUCT(IF(NOT(ISERROR(FIND(EXP_MATRIX!$B$1:$Z$1,R$1))),EXP_MATRIX!$B15:$Z15,1))^IF(ISERROR(FIND("2",R$1)),1,2))</f>
        <v/>
      </c>
      <c r="S15" s="1" t="str" cm="1">
        <f t="array" ref="S15">IF(OR(S$1="",EXP_MATRIX!$C15=""),"",PRODUCT(IF(NOT(ISERROR(FIND(EXP_MATRIX!$B$1:$Z$1,S$1))),EXP_MATRIX!$B15:$Z15,1))^IF(ISERROR(FIND("2",S$1)),1,2))</f>
        <v/>
      </c>
      <c r="T15" s="1" t="str" cm="1">
        <f t="array" ref="T15">IF(OR(T$1="",EXP_MATRIX!$C15=""),"",PRODUCT(IF(NOT(ISERROR(FIND(EXP_MATRIX!$B$1:$Z$1,T$1))),EXP_MATRIX!$B15:$Z15,1))^IF(ISERROR(FIND("2",T$1)),1,2))</f>
        <v/>
      </c>
      <c r="U15" s="1" t="str" cm="1">
        <f t="array" ref="U15">IF(OR(U$1="",EXP_MATRIX!$C15=""),"",PRODUCT(IF(NOT(ISERROR(FIND(EXP_MATRIX!$B$1:$Z$1,U$1))),EXP_MATRIX!$B15:$Z15,1))^IF(ISERROR(FIND("2",U$1)),1,2))</f>
        <v/>
      </c>
      <c r="V15" s="1" t="str" cm="1">
        <f t="array" ref="V15">IF(OR(V$1="",EXP_MATRIX!$C15=""),"",PRODUCT(IF(NOT(ISERROR(FIND(EXP_MATRIX!$B$1:$Z$1,V$1))),EXP_MATRIX!$B15:$Z15,1))^IF(ISERROR(FIND("2",V$1)),1,2))</f>
        <v/>
      </c>
      <c r="W15" s="1" t="str" cm="1">
        <f t="array" ref="W15">IF(OR(W$1="",EXP_MATRIX!$C15=""),"",PRODUCT(IF(NOT(ISERROR(FIND(EXP_MATRIX!$B$1:$Z$1,W$1))),EXP_MATRIX!$B15:$Z15,1))^IF(ISERROR(FIND("2",W$1)),1,2))</f>
        <v/>
      </c>
      <c r="X15" s="1" t="str" cm="1">
        <f t="array" ref="X15">IF(OR(X$1="",EXP_MATRIX!$C15=""),"",PRODUCT(IF(NOT(ISERROR(FIND(EXP_MATRIX!$B$1:$Z$1,X$1))),EXP_MATRIX!$B15:$Z15,1))^IF(ISERROR(FIND("2",X$1)),1,2))</f>
        <v/>
      </c>
      <c r="Y15" s="1" t="str" cm="1">
        <f t="array" ref="Y15">IF(OR(Y$1="",EXP_MATRIX!$C15=""),"",PRODUCT(IF(NOT(ISERROR(FIND(EXP_MATRIX!$B$1:$Z$1,Y$1))),EXP_MATRIX!$B15:$Z15,1))^IF(ISERROR(FIND("2",Y$1)),1,2))</f>
        <v/>
      </c>
      <c r="Z15" s="1" t="str" cm="1">
        <f t="array" ref="Z15">IF(OR(Z$1="",EXP_MATRIX!$C15=""),"",PRODUCT(IF(NOT(ISERROR(FIND(EXP_MATRIX!$B$1:$Z$1,Z$1))),EXP_MATRIX!$B15:$Z15,1))^IF(ISERROR(FIND("2",Z$1)),1,2))</f>
        <v/>
      </c>
      <c r="AA15" s="1" t="str" cm="1">
        <f t="array" ref="AA15">IF(OR(AA$1="",EXP_MATRIX!$C15=""),"",PRODUCT(IF(NOT(ISERROR(FIND(EXP_MATRIX!$B$1:$Z$1,AA$1))),EXP_MATRIX!$B15:$Z15,1))^IF(ISERROR(FIND("2",AA$1)),1,2))</f>
        <v/>
      </c>
    </row>
    <row r="16" spans="1:27" x14ac:dyDescent="0.25">
      <c r="A16">
        <v>15</v>
      </c>
      <c r="B16" s="1" cm="1">
        <f t="array" ref="B16">IF(OR(B$1="",EXP_MATRIX!$C16=""),"",PRODUCT(IF(NOT(ISERROR(FIND(EXP_MATRIX!$B$1:$Z$1,B$1))),EXP_MATRIX!$B16:$Z16,1))^IF(ISERROR(FIND("2",B$1)),1,2))</f>
        <v>7.0982790187499996</v>
      </c>
      <c r="C16" s="1" cm="1">
        <f t="array" ref="C16">IF(OR(C$1="",EXP_MATRIX!$C16=""),"",PRODUCT(IF(NOT(ISERROR(FIND(EXP_MATRIX!$B$1:$Z$1,C$1))),EXP_MATRIX!$B16:$Z16,1))^IF(ISERROR(FIND("2",C$1)),1,2))</f>
        <v>-1</v>
      </c>
      <c r="D16" s="1" cm="1">
        <f t="array" ref="D16">IF(OR(D$1="",EXP_MATRIX!$C16=""),"",PRODUCT(IF(NOT(ISERROR(FIND(EXP_MATRIX!$B$1:$Z$1,D$1))),EXP_MATRIX!$B16:$Z16,1))^IF(ISERROR(FIND("2",D$1)),1,2))</f>
        <v>1</v>
      </c>
      <c r="E16" s="1" cm="1">
        <f t="array" ref="E16">IF(OR(E$1="",EXP_MATRIX!$C16=""),"",PRODUCT(IF(NOT(ISERROR(FIND(EXP_MATRIX!$B$1:$Z$1,E$1))),EXP_MATRIX!$B16:$Z16,1))^IF(ISERROR(FIND("2",E$1)),1,2))</f>
        <v>-1</v>
      </c>
      <c r="F16" s="1" cm="1">
        <f t="array" ref="F16">IF(OR(F$1="",EXP_MATRIX!$C16=""),"",PRODUCT(IF(NOT(ISERROR(FIND(EXP_MATRIX!$B$1:$Z$1,F$1))),EXP_MATRIX!$B16:$Z16,1))^IF(ISERROR(FIND("2",F$1)),1,2))</f>
        <v>-1</v>
      </c>
      <c r="G16" s="1" cm="1">
        <f t="array" ref="G16">IF(OR(G$1="",EXP_MATRIX!$C16=""),"",PRODUCT(IF(NOT(ISERROR(FIND(EXP_MATRIX!$B$1:$Z$1,G$1))),EXP_MATRIX!$B16:$Z16,1))^IF(ISERROR(FIND("2",G$1)),1,2))</f>
        <v>1</v>
      </c>
      <c r="H16" s="1" t="str" cm="1">
        <f t="array" ref="H16">IF(OR(H$1="",EXP_MATRIX!$C16=""),"",PRODUCT(IF(NOT(ISERROR(FIND(EXP_MATRIX!$B$1:$Z$1,H$1))),EXP_MATRIX!$B16:$Z16,1))^IF(ISERROR(FIND("2",H$1)),1,2))</f>
        <v/>
      </c>
      <c r="I16" s="1" t="str" cm="1">
        <f t="array" ref="I16">IF(OR(I$1="",EXP_MATRIX!$C16=""),"",PRODUCT(IF(NOT(ISERROR(FIND(EXP_MATRIX!$B$1:$Z$1,I$1))),EXP_MATRIX!$B16:$Z16,1))^IF(ISERROR(FIND("2",I$1)),1,2))</f>
        <v/>
      </c>
      <c r="J16" s="1" t="str" cm="1">
        <f t="array" ref="J16">IF(OR(J$1="",EXP_MATRIX!$C16=""),"",PRODUCT(IF(NOT(ISERROR(FIND(EXP_MATRIX!$B$1:$Z$1,J$1))),EXP_MATRIX!$B16:$Z16,1))^IF(ISERROR(FIND("2",J$1)),1,2))</f>
        <v/>
      </c>
      <c r="K16" s="1" t="str" cm="1">
        <f t="array" ref="K16">IF(OR(K$1="",EXP_MATRIX!$C16=""),"",PRODUCT(IF(NOT(ISERROR(FIND(EXP_MATRIX!$B$1:$Z$1,K$1))),EXP_MATRIX!$B16:$Z16,1))^IF(ISERROR(FIND("2",K$1)),1,2))</f>
        <v/>
      </c>
      <c r="L16" s="1" t="str" cm="1">
        <f t="array" ref="L16">IF(OR(L$1="",EXP_MATRIX!$C16=""),"",PRODUCT(IF(NOT(ISERROR(FIND(EXP_MATRIX!$B$1:$Z$1,L$1))),EXP_MATRIX!$B16:$Z16,1))^IF(ISERROR(FIND("2",L$1)),1,2))</f>
        <v/>
      </c>
      <c r="M16" s="1" t="str" cm="1">
        <f t="array" ref="M16">IF(OR(M$1="",EXP_MATRIX!$C16=""),"",PRODUCT(IF(NOT(ISERROR(FIND(EXP_MATRIX!$B$1:$Z$1,M$1))),EXP_MATRIX!$B16:$Z16,1))^IF(ISERROR(FIND("2",M$1)),1,2))</f>
        <v/>
      </c>
      <c r="N16" s="1" t="str" cm="1">
        <f t="array" ref="N16">IF(OR(N$1="",EXP_MATRIX!$C16=""),"",PRODUCT(IF(NOT(ISERROR(FIND(EXP_MATRIX!$B$1:$Z$1,N$1))),EXP_MATRIX!$B16:$Z16,1))^IF(ISERROR(FIND("2",N$1)),1,2))</f>
        <v/>
      </c>
      <c r="O16" s="1" t="str" cm="1">
        <f t="array" ref="O16">IF(OR(O$1="",EXP_MATRIX!$C16=""),"",PRODUCT(IF(NOT(ISERROR(FIND(EXP_MATRIX!$B$1:$Z$1,O$1))),EXP_MATRIX!$B16:$Z16,1))^IF(ISERROR(FIND("2",O$1)),1,2))</f>
        <v/>
      </c>
      <c r="P16" s="1" t="str" cm="1">
        <f t="array" ref="P16">IF(OR(P$1="",EXP_MATRIX!$C16=""),"",PRODUCT(IF(NOT(ISERROR(FIND(EXP_MATRIX!$B$1:$Z$1,P$1))),EXP_MATRIX!$B16:$Z16,1))^IF(ISERROR(FIND("2",P$1)),1,2))</f>
        <v/>
      </c>
      <c r="Q16" s="1" t="str" cm="1">
        <f t="array" ref="Q16">IF(OR(Q$1="",EXP_MATRIX!$C16=""),"",PRODUCT(IF(NOT(ISERROR(FIND(EXP_MATRIX!$B$1:$Z$1,Q$1))),EXP_MATRIX!$B16:$Z16,1))^IF(ISERROR(FIND("2",Q$1)),1,2))</f>
        <v/>
      </c>
      <c r="R16" s="1" t="str" cm="1">
        <f t="array" ref="R16">IF(OR(R$1="",EXP_MATRIX!$C16=""),"",PRODUCT(IF(NOT(ISERROR(FIND(EXP_MATRIX!$B$1:$Z$1,R$1))),EXP_MATRIX!$B16:$Z16,1))^IF(ISERROR(FIND("2",R$1)),1,2))</f>
        <v/>
      </c>
      <c r="S16" s="1" t="str" cm="1">
        <f t="array" ref="S16">IF(OR(S$1="",EXP_MATRIX!$C16=""),"",PRODUCT(IF(NOT(ISERROR(FIND(EXP_MATRIX!$B$1:$Z$1,S$1))),EXP_MATRIX!$B16:$Z16,1))^IF(ISERROR(FIND("2",S$1)),1,2))</f>
        <v/>
      </c>
      <c r="T16" s="1" t="str" cm="1">
        <f t="array" ref="T16">IF(OR(T$1="",EXP_MATRIX!$C16=""),"",PRODUCT(IF(NOT(ISERROR(FIND(EXP_MATRIX!$B$1:$Z$1,T$1))),EXP_MATRIX!$B16:$Z16,1))^IF(ISERROR(FIND("2",T$1)),1,2))</f>
        <v/>
      </c>
      <c r="U16" s="1" t="str" cm="1">
        <f t="array" ref="U16">IF(OR(U$1="",EXP_MATRIX!$C16=""),"",PRODUCT(IF(NOT(ISERROR(FIND(EXP_MATRIX!$B$1:$Z$1,U$1))),EXP_MATRIX!$B16:$Z16,1))^IF(ISERROR(FIND("2",U$1)),1,2))</f>
        <v/>
      </c>
      <c r="V16" s="1" t="str" cm="1">
        <f t="array" ref="V16">IF(OR(V$1="",EXP_MATRIX!$C16=""),"",PRODUCT(IF(NOT(ISERROR(FIND(EXP_MATRIX!$B$1:$Z$1,V$1))),EXP_MATRIX!$B16:$Z16,1))^IF(ISERROR(FIND("2",V$1)),1,2))</f>
        <v/>
      </c>
      <c r="W16" s="1" t="str" cm="1">
        <f t="array" ref="W16">IF(OR(W$1="",EXP_MATRIX!$C16=""),"",PRODUCT(IF(NOT(ISERROR(FIND(EXP_MATRIX!$B$1:$Z$1,W$1))),EXP_MATRIX!$B16:$Z16,1))^IF(ISERROR(FIND("2",W$1)),1,2))</f>
        <v/>
      </c>
      <c r="X16" s="1" t="str" cm="1">
        <f t="array" ref="X16">IF(OR(X$1="",EXP_MATRIX!$C16=""),"",PRODUCT(IF(NOT(ISERROR(FIND(EXP_MATRIX!$B$1:$Z$1,X$1))),EXP_MATRIX!$B16:$Z16,1))^IF(ISERROR(FIND("2",X$1)),1,2))</f>
        <v/>
      </c>
      <c r="Y16" s="1" t="str" cm="1">
        <f t="array" ref="Y16">IF(OR(Y$1="",EXP_MATRIX!$C16=""),"",PRODUCT(IF(NOT(ISERROR(FIND(EXP_MATRIX!$B$1:$Z$1,Y$1))),EXP_MATRIX!$B16:$Z16,1))^IF(ISERROR(FIND("2",Y$1)),1,2))</f>
        <v/>
      </c>
      <c r="Z16" s="1" t="str" cm="1">
        <f t="array" ref="Z16">IF(OR(Z$1="",EXP_MATRIX!$C16=""),"",PRODUCT(IF(NOT(ISERROR(FIND(EXP_MATRIX!$B$1:$Z$1,Z$1))),EXP_MATRIX!$B16:$Z16,1))^IF(ISERROR(FIND("2",Z$1)),1,2))</f>
        <v/>
      </c>
      <c r="AA16" s="1" t="str" cm="1">
        <f t="array" ref="AA16">IF(OR(AA$1="",EXP_MATRIX!$C16=""),"",PRODUCT(IF(NOT(ISERROR(FIND(EXP_MATRIX!$B$1:$Z$1,AA$1))),EXP_MATRIX!$B16:$Z16,1))^IF(ISERROR(FIND("2",AA$1)),1,2))</f>
        <v/>
      </c>
    </row>
    <row r="17" spans="1:27" x14ac:dyDescent="0.25">
      <c r="A17">
        <v>16</v>
      </c>
      <c r="B17" s="1" cm="1">
        <f t="array" ref="B17">IF(OR(B$1="",EXP_MATRIX!$C17=""),"",PRODUCT(IF(NOT(ISERROR(FIND(EXP_MATRIX!$B$1:$Z$1,B$1))),EXP_MATRIX!$B17:$Z17,1))^IF(ISERROR(FIND("2",B$1)),1,2))</f>
        <v>5.84936901875</v>
      </c>
      <c r="C17" s="1" cm="1">
        <f t="array" ref="C17">IF(OR(C$1="",EXP_MATRIX!$C17=""),"",PRODUCT(IF(NOT(ISERROR(FIND(EXP_MATRIX!$B$1:$Z$1,C$1))),EXP_MATRIX!$B17:$Z17,1))^IF(ISERROR(FIND("2",C$1)),1,2))</f>
        <v>1</v>
      </c>
      <c r="D17" s="1" cm="1">
        <f t="array" ref="D17">IF(OR(D$1="",EXP_MATRIX!$C17=""),"",PRODUCT(IF(NOT(ISERROR(FIND(EXP_MATRIX!$B$1:$Z$1,D$1))),EXP_MATRIX!$B17:$Z17,1))^IF(ISERROR(FIND("2",D$1)),1,2))</f>
        <v>1</v>
      </c>
      <c r="E17" s="1" cm="1">
        <f t="array" ref="E17">IF(OR(E$1="",EXP_MATRIX!$C17=""),"",PRODUCT(IF(NOT(ISERROR(FIND(EXP_MATRIX!$B$1:$Z$1,E$1))),EXP_MATRIX!$B17:$Z17,1))^IF(ISERROR(FIND("2",E$1)),1,2))</f>
        <v>-1</v>
      </c>
      <c r="F17" s="1" cm="1">
        <f t="array" ref="F17">IF(OR(F$1="",EXP_MATRIX!$C17=""),"",PRODUCT(IF(NOT(ISERROR(FIND(EXP_MATRIX!$B$1:$Z$1,F$1))),EXP_MATRIX!$B17:$Z17,1))^IF(ISERROR(FIND("2",F$1)),1,2))</f>
        <v>1</v>
      </c>
      <c r="G17" s="1" cm="1">
        <f t="array" ref="G17">IF(OR(G$1="",EXP_MATRIX!$C17=""),"",PRODUCT(IF(NOT(ISERROR(FIND(EXP_MATRIX!$B$1:$Z$1,G$1))),EXP_MATRIX!$B17:$Z17,1))^IF(ISERROR(FIND("2",G$1)),1,2))</f>
        <v>-1</v>
      </c>
      <c r="H17" s="1" t="str" cm="1">
        <f t="array" ref="H17">IF(OR(H$1="",EXP_MATRIX!$C17=""),"",PRODUCT(IF(NOT(ISERROR(FIND(EXP_MATRIX!$B$1:$Z$1,H$1))),EXP_MATRIX!$B17:$Z17,1))^IF(ISERROR(FIND("2",H$1)),1,2))</f>
        <v/>
      </c>
      <c r="I17" s="1" t="str" cm="1">
        <f t="array" ref="I17">IF(OR(I$1="",EXP_MATRIX!$C17=""),"",PRODUCT(IF(NOT(ISERROR(FIND(EXP_MATRIX!$B$1:$Z$1,I$1))),EXP_MATRIX!$B17:$Z17,1))^IF(ISERROR(FIND("2",I$1)),1,2))</f>
        <v/>
      </c>
      <c r="J17" s="1" t="str" cm="1">
        <f t="array" ref="J17">IF(OR(J$1="",EXP_MATRIX!$C17=""),"",PRODUCT(IF(NOT(ISERROR(FIND(EXP_MATRIX!$B$1:$Z$1,J$1))),EXP_MATRIX!$B17:$Z17,1))^IF(ISERROR(FIND("2",J$1)),1,2))</f>
        <v/>
      </c>
      <c r="K17" s="1" t="str" cm="1">
        <f t="array" ref="K17">IF(OR(K$1="",EXP_MATRIX!$C17=""),"",PRODUCT(IF(NOT(ISERROR(FIND(EXP_MATRIX!$B$1:$Z$1,K$1))),EXP_MATRIX!$B17:$Z17,1))^IF(ISERROR(FIND("2",K$1)),1,2))</f>
        <v/>
      </c>
      <c r="L17" s="1" t="str" cm="1">
        <f t="array" ref="L17">IF(OR(L$1="",EXP_MATRIX!$C17=""),"",PRODUCT(IF(NOT(ISERROR(FIND(EXP_MATRIX!$B$1:$Z$1,L$1))),EXP_MATRIX!$B17:$Z17,1))^IF(ISERROR(FIND("2",L$1)),1,2))</f>
        <v/>
      </c>
      <c r="M17" s="1" t="str" cm="1">
        <f t="array" ref="M17">IF(OR(M$1="",EXP_MATRIX!$C17=""),"",PRODUCT(IF(NOT(ISERROR(FIND(EXP_MATRIX!$B$1:$Z$1,M$1))),EXP_MATRIX!$B17:$Z17,1))^IF(ISERROR(FIND("2",M$1)),1,2))</f>
        <v/>
      </c>
      <c r="N17" s="1" t="str" cm="1">
        <f t="array" ref="N17">IF(OR(N$1="",EXP_MATRIX!$C17=""),"",PRODUCT(IF(NOT(ISERROR(FIND(EXP_MATRIX!$B$1:$Z$1,N$1))),EXP_MATRIX!$B17:$Z17,1))^IF(ISERROR(FIND("2",N$1)),1,2))</f>
        <v/>
      </c>
      <c r="O17" s="1" t="str" cm="1">
        <f t="array" ref="O17">IF(OR(O$1="",EXP_MATRIX!$C17=""),"",PRODUCT(IF(NOT(ISERROR(FIND(EXP_MATRIX!$B$1:$Z$1,O$1))),EXP_MATRIX!$B17:$Z17,1))^IF(ISERROR(FIND("2",O$1)),1,2))</f>
        <v/>
      </c>
      <c r="P17" s="1" t="str" cm="1">
        <f t="array" ref="P17">IF(OR(P$1="",EXP_MATRIX!$C17=""),"",PRODUCT(IF(NOT(ISERROR(FIND(EXP_MATRIX!$B$1:$Z$1,P$1))),EXP_MATRIX!$B17:$Z17,1))^IF(ISERROR(FIND("2",P$1)),1,2))</f>
        <v/>
      </c>
      <c r="Q17" s="1" t="str" cm="1">
        <f t="array" ref="Q17">IF(OR(Q$1="",EXP_MATRIX!$C17=""),"",PRODUCT(IF(NOT(ISERROR(FIND(EXP_MATRIX!$B$1:$Z$1,Q$1))),EXP_MATRIX!$B17:$Z17,1))^IF(ISERROR(FIND("2",Q$1)),1,2))</f>
        <v/>
      </c>
      <c r="R17" s="1" t="str" cm="1">
        <f t="array" ref="R17">IF(OR(R$1="",EXP_MATRIX!$C17=""),"",PRODUCT(IF(NOT(ISERROR(FIND(EXP_MATRIX!$B$1:$Z$1,R$1))),EXP_MATRIX!$B17:$Z17,1))^IF(ISERROR(FIND("2",R$1)),1,2))</f>
        <v/>
      </c>
      <c r="S17" s="1" t="str" cm="1">
        <f t="array" ref="S17">IF(OR(S$1="",EXP_MATRIX!$C17=""),"",PRODUCT(IF(NOT(ISERROR(FIND(EXP_MATRIX!$B$1:$Z$1,S$1))),EXP_MATRIX!$B17:$Z17,1))^IF(ISERROR(FIND("2",S$1)),1,2))</f>
        <v/>
      </c>
      <c r="T17" s="1" t="str" cm="1">
        <f t="array" ref="T17">IF(OR(T$1="",EXP_MATRIX!$C17=""),"",PRODUCT(IF(NOT(ISERROR(FIND(EXP_MATRIX!$B$1:$Z$1,T$1))),EXP_MATRIX!$B17:$Z17,1))^IF(ISERROR(FIND("2",T$1)),1,2))</f>
        <v/>
      </c>
      <c r="U17" s="1" t="str" cm="1">
        <f t="array" ref="U17">IF(OR(U$1="",EXP_MATRIX!$C17=""),"",PRODUCT(IF(NOT(ISERROR(FIND(EXP_MATRIX!$B$1:$Z$1,U$1))),EXP_MATRIX!$B17:$Z17,1))^IF(ISERROR(FIND("2",U$1)),1,2))</f>
        <v/>
      </c>
      <c r="V17" s="1" t="str" cm="1">
        <f t="array" ref="V17">IF(OR(V$1="",EXP_MATRIX!$C17=""),"",PRODUCT(IF(NOT(ISERROR(FIND(EXP_MATRIX!$B$1:$Z$1,V$1))),EXP_MATRIX!$B17:$Z17,1))^IF(ISERROR(FIND("2",V$1)),1,2))</f>
        <v/>
      </c>
      <c r="W17" s="1" t="str" cm="1">
        <f t="array" ref="W17">IF(OR(W$1="",EXP_MATRIX!$C17=""),"",PRODUCT(IF(NOT(ISERROR(FIND(EXP_MATRIX!$B$1:$Z$1,W$1))),EXP_MATRIX!$B17:$Z17,1))^IF(ISERROR(FIND("2",W$1)),1,2))</f>
        <v/>
      </c>
      <c r="X17" s="1" t="str" cm="1">
        <f t="array" ref="X17">IF(OR(X$1="",EXP_MATRIX!$C17=""),"",PRODUCT(IF(NOT(ISERROR(FIND(EXP_MATRIX!$B$1:$Z$1,X$1))),EXP_MATRIX!$B17:$Z17,1))^IF(ISERROR(FIND("2",X$1)),1,2))</f>
        <v/>
      </c>
      <c r="Y17" s="1" t="str" cm="1">
        <f t="array" ref="Y17">IF(OR(Y$1="",EXP_MATRIX!$C17=""),"",PRODUCT(IF(NOT(ISERROR(FIND(EXP_MATRIX!$B$1:$Z$1,Y$1))),EXP_MATRIX!$B17:$Z17,1))^IF(ISERROR(FIND("2",Y$1)),1,2))</f>
        <v/>
      </c>
      <c r="Z17" s="1" t="str" cm="1">
        <f t="array" ref="Z17">IF(OR(Z$1="",EXP_MATRIX!$C17=""),"",PRODUCT(IF(NOT(ISERROR(FIND(EXP_MATRIX!$B$1:$Z$1,Z$1))),EXP_MATRIX!$B17:$Z17,1))^IF(ISERROR(FIND("2",Z$1)),1,2))</f>
        <v/>
      </c>
      <c r="AA17" s="1" t="str" cm="1">
        <f t="array" ref="AA17">IF(OR(AA$1="",EXP_MATRIX!$C17=""),"",PRODUCT(IF(NOT(ISERROR(FIND(EXP_MATRIX!$B$1:$Z$1,AA$1))),EXP_MATRIX!$B17:$Z17,1))^IF(ISERROR(FIND("2",AA$1)),1,2))</f>
        <v/>
      </c>
    </row>
    <row r="18" spans="1:27" x14ac:dyDescent="0.25">
      <c r="A18">
        <v>17</v>
      </c>
      <c r="B18" s="1" cm="1">
        <f t="array" ref="B18">IF(OR(B$1="",EXP_MATRIX!$C18=""),"",PRODUCT(IF(NOT(ISERROR(FIND(EXP_MATRIX!$B$1:$Z$1,B$1))),EXP_MATRIX!$B18:$Z18,1))^IF(ISERROR(FIND("2",B$1)),1,2))</f>
        <v>4.5330400187500004</v>
      </c>
      <c r="C18" s="1" cm="1">
        <f t="array" ref="C18">IF(OR(C$1="",EXP_MATRIX!$C18=""),"",PRODUCT(IF(NOT(ISERROR(FIND(EXP_MATRIX!$B$1:$Z$1,C$1))),EXP_MATRIX!$B18:$Z18,1))^IF(ISERROR(FIND("2",C$1)),1,2))</f>
        <v>-1</v>
      </c>
      <c r="D18" s="1" cm="1">
        <f t="array" ref="D18">IF(OR(D$1="",EXP_MATRIX!$C18=""),"",PRODUCT(IF(NOT(ISERROR(FIND(EXP_MATRIX!$B$1:$Z$1,D$1))),EXP_MATRIX!$B18:$Z18,1))^IF(ISERROR(FIND("2",D$1)),1,2))</f>
        <v>-1</v>
      </c>
      <c r="E18" s="1" cm="1">
        <f t="array" ref="E18">IF(OR(E$1="",EXP_MATRIX!$C18=""),"",PRODUCT(IF(NOT(ISERROR(FIND(EXP_MATRIX!$B$1:$Z$1,E$1))),EXP_MATRIX!$B18:$Z18,1))^IF(ISERROR(FIND("2",E$1)),1,2))</f>
        <v>1</v>
      </c>
      <c r="F18" s="1" cm="1">
        <f t="array" ref="F18">IF(OR(F$1="",EXP_MATRIX!$C18=""),"",PRODUCT(IF(NOT(ISERROR(FIND(EXP_MATRIX!$B$1:$Z$1,F$1))),EXP_MATRIX!$B18:$Z18,1))^IF(ISERROR(FIND("2",F$1)),1,2))</f>
        <v>1</v>
      </c>
      <c r="G18" s="1" cm="1">
        <f t="array" ref="G18">IF(OR(G$1="",EXP_MATRIX!$C18=""),"",PRODUCT(IF(NOT(ISERROR(FIND(EXP_MATRIX!$B$1:$Z$1,G$1))),EXP_MATRIX!$B18:$Z18,1))^IF(ISERROR(FIND("2",G$1)),1,2))</f>
        <v>-1</v>
      </c>
      <c r="H18" s="1" t="str" cm="1">
        <f t="array" ref="H18">IF(OR(H$1="",EXP_MATRIX!$C18=""),"",PRODUCT(IF(NOT(ISERROR(FIND(EXP_MATRIX!$B$1:$Z$1,H$1))),EXP_MATRIX!$B18:$Z18,1))^IF(ISERROR(FIND("2",H$1)),1,2))</f>
        <v/>
      </c>
      <c r="I18" s="1" t="str" cm="1">
        <f t="array" ref="I18">IF(OR(I$1="",EXP_MATRIX!$C18=""),"",PRODUCT(IF(NOT(ISERROR(FIND(EXP_MATRIX!$B$1:$Z$1,I$1))),EXP_MATRIX!$B18:$Z18,1))^IF(ISERROR(FIND("2",I$1)),1,2))</f>
        <v/>
      </c>
      <c r="J18" s="1" t="str" cm="1">
        <f t="array" ref="J18">IF(OR(J$1="",EXP_MATRIX!$C18=""),"",PRODUCT(IF(NOT(ISERROR(FIND(EXP_MATRIX!$B$1:$Z$1,J$1))),EXP_MATRIX!$B18:$Z18,1))^IF(ISERROR(FIND("2",J$1)),1,2))</f>
        <v/>
      </c>
      <c r="K18" s="1" t="str" cm="1">
        <f t="array" ref="K18">IF(OR(K$1="",EXP_MATRIX!$C18=""),"",PRODUCT(IF(NOT(ISERROR(FIND(EXP_MATRIX!$B$1:$Z$1,K$1))),EXP_MATRIX!$B18:$Z18,1))^IF(ISERROR(FIND("2",K$1)),1,2))</f>
        <v/>
      </c>
      <c r="L18" s="1" t="str" cm="1">
        <f t="array" ref="L18">IF(OR(L$1="",EXP_MATRIX!$C18=""),"",PRODUCT(IF(NOT(ISERROR(FIND(EXP_MATRIX!$B$1:$Z$1,L$1))),EXP_MATRIX!$B18:$Z18,1))^IF(ISERROR(FIND("2",L$1)),1,2))</f>
        <v/>
      </c>
      <c r="M18" s="1" t="str" cm="1">
        <f t="array" ref="M18">IF(OR(M$1="",EXP_MATRIX!$C18=""),"",PRODUCT(IF(NOT(ISERROR(FIND(EXP_MATRIX!$B$1:$Z$1,M$1))),EXP_MATRIX!$B18:$Z18,1))^IF(ISERROR(FIND("2",M$1)),1,2))</f>
        <v/>
      </c>
      <c r="N18" s="1" t="str" cm="1">
        <f t="array" ref="N18">IF(OR(N$1="",EXP_MATRIX!$C18=""),"",PRODUCT(IF(NOT(ISERROR(FIND(EXP_MATRIX!$B$1:$Z$1,N$1))),EXP_MATRIX!$B18:$Z18,1))^IF(ISERROR(FIND("2",N$1)),1,2))</f>
        <v/>
      </c>
      <c r="O18" s="1" t="str" cm="1">
        <f t="array" ref="O18">IF(OR(O$1="",EXP_MATRIX!$C18=""),"",PRODUCT(IF(NOT(ISERROR(FIND(EXP_MATRIX!$B$1:$Z$1,O$1))),EXP_MATRIX!$B18:$Z18,1))^IF(ISERROR(FIND("2",O$1)),1,2))</f>
        <v/>
      </c>
      <c r="P18" s="1" t="str" cm="1">
        <f t="array" ref="P18">IF(OR(P$1="",EXP_MATRIX!$C18=""),"",PRODUCT(IF(NOT(ISERROR(FIND(EXP_MATRIX!$B$1:$Z$1,P$1))),EXP_MATRIX!$B18:$Z18,1))^IF(ISERROR(FIND("2",P$1)),1,2))</f>
        <v/>
      </c>
      <c r="Q18" s="1" t="str" cm="1">
        <f t="array" ref="Q18">IF(OR(Q$1="",EXP_MATRIX!$C18=""),"",PRODUCT(IF(NOT(ISERROR(FIND(EXP_MATRIX!$B$1:$Z$1,Q$1))),EXP_MATRIX!$B18:$Z18,1))^IF(ISERROR(FIND("2",Q$1)),1,2))</f>
        <v/>
      </c>
      <c r="R18" s="1" t="str" cm="1">
        <f t="array" ref="R18">IF(OR(R$1="",EXP_MATRIX!$C18=""),"",PRODUCT(IF(NOT(ISERROR(FIND(EXP_MATRIX!$B$1:$Z$1,R$1))),EXP_MATRIX!$B18:$Z18,1))^IF(ISERROR(FIND("2",R$1)),1,2))</f>
        <v/>
      </c>
      <c r="S18" s="1" t="str" cm="1">
        <f t="array" ref="S18">IF(OR(S$1="",EXP_MATRIX!$C18=""),"",PRODUCT(IF(NOT(ISERROR(FIND(EXP_MATRIX!$B$1:$Z$1,S$1))),EXP_MATRIX!$B18:$Z18,1))^IF(ISERROR(FIND("2",S$1)),1,2))</f>
        <v/>
      </c>
      <c r="T18" s="1" t="str" cm="1">
        <f t="array" ref="T18">IF(OR(T$1="",EXP_MATRIX!$C18=""),"",PRODUCT(IF(NOT(ISERROR(FIND(EXP_MATRIX!$B$1:$Z$1,T$1))),EXP_MATRIX!$B18:$Z18,1))^IF(ISERROR(FIND("2",T$1)),1,2))</f>
        <v/>
      </c>
      <c r="U18" s="1" t="str" cm="1">
        <f t="array" ref="U18">IF(OR(U$1="",EXP_MATRIX!$C18=""),"",PRODUCT(IF(NOT(ISERROR(FIND(EXP_MATRIX!$B$1:$Z$1,U$1))),EXP_MATRIX!$B18:$Z18,1))^IF(ISERROR(FIND("2",U$1)),1,2))</f>
        <v/>
      </c>
      <c r="V18" s="1" t="str" cm="1">
        <f t="array" ref="V18">IF(OR(V$1="",EXP_MATRIX!$C18=""),"",PRODUCT(IF(NOT(ISERROR(FIND(EXP_MATRIX!$B$1:$Z$1,V$1))),EXP_MATRIX!$B18:$Z18,1))^IF(ISERROR(FIND("2",V$1)),1,2))</f>
        <v/>
      </c>
      <c r="W18" s="1" t="str" cm="1">
        <f t="array" ref="W18">IF(OR(W$1="",EXP_MATRIX!$C18=""),"",PRODUCT(IF(NOT(ISERROR(FIND(EXP_MATRIX!$B$1:$Z$1,W$1))),EXP_MATRIX!$B18:$Z18,1))^IF(ISERROR(FIND("2",W$1)),1,2))</f>
        <v/>
      </c>
      <c r="X18" s="1" t="str" cm="1">
        <f t="array" ref="X18">IF(OR(X$1="",EXP_MATRIX!$C18=""),"",PRODUCT(IF(NOT(ISERROR(FIND(EXP_MATRIX!$B$1:$Z$1,X$1))),EXP_MATRIX!$B18:$Z18,1))^IF(ISERROR(FIND("2",X$1)),1,2))</f>
        <v/>
      </c>
      <c r="Y18" s="1" t="str" cm="1">
        <f t="array" ref="Y18">IF(OR(Y$1="",EXP_MATRIX!$C18=""),"",PRODUCT(IF(NOT(ISERROR(FIND(EXP_MATRIX!$B$1:$Z$1,Y$1))),EXP_MATRIX!$B18:$Z18,1))^IF(ISERROR(FIND("2",Y$1)),1,2))</f>
        <v/>
      </c>
      <c r="Z18" s="1" t="str" cm="1">
        <f t="array" ref="Z18">IF(OR(Z$1="",EXP_MATRIX!$C18=""),"",PRODUCT(IF(NOT(ISERROR(FIND(EXP_MATRIX!$B$1:$Z$1,Z$1))),EXP_MATRIX!$B18:$Z18,1))^IF(ISERROR(FIND("2",Z$1)),1,2))</f>
        <v/>
      </c>
      <c r="AA18" s="1" t="str" cm="1">
        <f t="array" ref="AA18">IF(OR(AA$1="",EXP_MATRIX!$C18=""),"",PRODUCT(IF(NOT(ISERROR(FIND(EXP_MATRIX!$B$1:$Z$1,AA$1))),EXP_MATRIX!$B18:$Z18,1))^IF(ISERROR(FIND("2",AA$1)),1,2))</f>
        <v/>
      </c>
    </row>
    <row r="19" spans="1:27" x14ac:dyDescent="0.25">
      <c r="A19">
        <v>18</v>
      </c>
      <c r="B19" s="1" cm="1">
        <f t="array" ref="B19">IF(OR(B$1="",EXP_MATRIX!$C19=""),"",PRODUCT(IF(NOT(ISERROR(FIND(EXP_MATRIX!$B$1:$Z$1,B$1))),EXP_MATRIX!$B19:$Z19,1))^IF(ISERROR(FIND("2",B$1)),1,2))</f>
        <v>5.7342475187500002</v>
      </c>
      <c r="C19" s="1" cm="1">
        <f t="array" ref="C19">IF(OR(C$1="",EXP_MATRIX!$C19=""),"",PRODUCT(IF(NOT(ISERROR(FIND(EXP_MATRIX!$B$1:$Z$1,C$1))),EXP_MATRIX!$B19:$Z19,1))^IF(ISERROR(FIND("2",C$1)),1,2))</f>
        <v>1</v>
      </c>
      <c r="D19" s="1" cm="1">
        <f t="array" ref="D19">IF(OR(D$1="",EXP_MATRIX!$C19=""),"",PRODUCT(IF(NOT(ISERROR(FIND(EXP_MATRIX!$B$1:$Z$1,D$1))),EXP_MATRIX!$B19:$Z19,1))^IF(ISERROR(FIND("2",D$1)),1,2))</f>
        <v>-1</v>
      </c>
      <c r="E19" s="1" cm="1">
        <f t="array" ref="E19">IF(OR(E$1="",EXP_MATRIX!$C19=""),"",PRODUCT(IF(NOT(ISERROR(FIND(EXP_MATRIX!$B$1:$Z$1,E$1))),EXP_MATRIX!$B19:$Z19,1))^IF(ISERROR(FIND("2",E$1)),1,2))</f>
        <v>1</v>
      </c>
      <c r="F19" s="1" cm="1">
        <f t="array" ref="F19">IF(OR(F$1="",EXP_MATRIX!$C19=""),"",PRODUCT(IF(NOT(ISERROR(FIND(EXP_MATRIX!$B$1:$Z$1,F$1))),EXP_MATRIX!$B19:$Z19,1))^IF(ISERROR(FIND("2",F$1)),1,2))</f>
        <v>-1</v>
      </c>
      <c r="G19" s="1" cm="1">
        <f t="array" ref="G19">IF(OR(G$1="",EXP_MATRIX!$C19=""),"",PRODUCT(IF(NOT(ISERROR(FIND(EXP_MATRIX!$B$1:$Z$1,G$1))),EXP_MATRIX!$B19:$Z19,1))^IF(ISERROR(FIND("2",G$1)),1,2))</f>
        <v>1</v>
      </c>
      <c r="H19" s="1" t="str" cm="1">
        <f t="array" ref="H19">IF(OR(H$1="",EXP_MATRIX!$C19=""),"",PRODUCT(IF(NOT(ISERROR(FIND(EXP_MATRIX!$B$1:$Z$1,H$1))),EXP_MATRIX!$B19:$Z19,1))^IF(ISERROR(FIND("2",H$1)),1,2))</f>
        <v/>
      </c>
      <c r="I19" s="1" t="str" cm="1">
        <f t="array" ref="I19">IF(OR(I$1="",EXP_MATRIX!$C19=""),"",PRODUCT(IF(NOT(ISERROR(FIND(EXP_MATRIX!$B$1:$Z$1,I$1))),EXP_MATRIX!$B19:$Z19,1))^IF(ISERROR(FIND("2",I$1)),1,2))</f>
        <v/>
      </c>
      <c r="J19" s="1" t="str" cm="1">
        <f t="array" ref="J19">IF(OR(J$1="",EXP_MATRIX!$C19=""),"",PRODUCT(IF(NOT(ISERROR(FIND(EXP_MATRIX!$B$1:$Z$1,J$1))),EXP_MATRIX!$B19:$Z19,1))^IF(ISERROR(FIND("2",J$1)),1,2))</f>
        <v/>
      </c>
      <c r="K19" s="1" t="str" cm="1">
        <f t="array" ref="K19">IF(OR(K$1="",EXP_MATRIX!$C19=""),"",PRODUCT(IF(NOT(ISERROR(FIND(EXP_MATRIX!$B$1:$Z$1,K$1))),EXP_MATRIX!$B19:$Z19,1))^IF(ISERROR(FIND("2",K$1)),1,2))</f>
        <v/>
      </c>
      <c r="L19" s="1" t="str" cm="1">
        <f t="array" ref="L19">IF(OR(L$1="",EXP_MATRIX!$C19=""),"",PRODUCT(IF(NOT(ISERROR(FIND(EXP_MATRIX!$B$1:$Z$1,L$1))),EXP_MATRIX!$B19:$Z19,1))^IF(ISERROR(FIND("2",L$1)),1,2))</f>
        <v/>
      </c>
      <c r="M19" s="1" t="str" cm="1">
        <f t="array" ref="M19">IF(OR(M$1="",EXP_MATRIX!$C19=""),"",PRODUCT(IF(NOT(ISERROR(FIND(EXP_MATRIX!$B$1:$Z$1,M$1))),EXP_MATRIX!$B19:$Z19,1))^IF(ISERROR(FIND("2",M$1)),1,2))</f>
        <v/>
      </c>
      <c r="N19" s="1" t="str" cm="1">
        <f t="array" ref="N19">IF(OR(N$1="",EXP_MATRIX!$C19=""),"",PRODUCT(IF(NOT(ISERROR(FIND(EXP_MATRIX!$B$1:$Z$1,N$1))),EXP_MATRIX!$B19:$Z19,1))^IF(ISERROR(FIND("2",N$1)),1,2))</f>
        <v/>
      </c>
      <c r="O19" s="1" t="str" cm="1">
        <f t="array" ref="O19">IF(OR(O$1="",EXP_MATRIX!$C19=""),"",PRODUCT(IF(NOT(ISERROR(FIND(EXP_MATRIX!$B$1:$Z$1,O$1))),EXP_MATRIX!$B19:$Z19,1))^IF(ISERROR(FIND("2",O$1)),1,2))</f>
        <v/>
      </c>
      <c r="P19" s="1" t="str" cm="1">
        <f t="array" ref="P19">IF(OR(P$1="",EXP_MATRIX!$C19=""),"",PRODUCT(IF(NOT(ISERROR(FIND(EXP_MATRIX!$B$1:$Z$1,P$1))),EXP_MATRIX!$B19:$Z19,1))^IF(ISERROR(FIND("2",P$1)),1,2))</f>
        <v/>
      </c>
      <c r="Q19" s="1" t="str" cm="1">
        <f t="array" ref="Q19">IF(OR(Q$1="",EXP_MATRIX!$C19=""),"",PRODUCT(IF(NOT(ISERROR(FIND(EXP_MATRIX!$B$1:$Z$1,Q$1))),EXP_MATRIX!$B19:$Z19,1))^IF(ISERROR(FIND("2",Q$1)),1,2))</f>
        <v/>
      </c>
      <c r="R19" s="1" t="str" cm="1">
        <f t="array" ref="R19">IF(OR(R$1="",EXP_MATRIX!$C19=""),"",PRODUCT(IF(NOT(ISERROR(FIND(EXP_MATRIX!$B$1:$Z$1,R$1))),EXP_MATRIX!$B19:$Z19,1))^IF(ISERROR(FIND("2",R$1)),1,2))</f>
        <v/>
      </c>
      <c r="S19" s="1" t="str" cm="1">
        <f t="array" ref="S19">IF(OR(S$1="",EXP_MATRIX!$C19=""),"",PRODUCT(IF(NOT(ISERROR(FIND(EXP_MATRIX!$B$1:$Z$1,S$1))),EXP_MATRIX!$B19:$Z19,1))^IF(ISERROR(FIND("2",S$1)),1,2))</f>
        <v/>
      </c>
      <c r="T19" s="1" t="str" cm="1">
        <f t="array" ref="T19">IF(OR(T$1="",EXP_MATRIX!$C19=""),"",PRODUCT(IF(NOT(ISERROR(FIND(EXP_MATRIX!$B$1:$Z$1,T$1))),EXP_MATRIX!$B19:$Z19,1))^IF(ISERROR(FIND("2",T$1)),1,2))</f>
        <v/>
      </c>
      <c r="U19" s="1" t="str" cm="1">
        <f t="array" ref="U19">IF(OR(U$1="",EXP_MATRIX!$C19=""),"",PRODUCT(IF(NOT(ISERROR(FIND(EXP_MATRIX!$B$1:$Z$1,U$1))),EXP_MATRIX!$B19:$Z19,1))^IF(ISERROR(FIND("2",U$1)),1,2))</f>
        <v/>
      </c>
      <c r="V19" s="1" t="str" cm="1">
        <f t="array" ref="V19">IF(OR(V$1="",EXP_MATRIX!$C19=""),"",PRODUCT(IF(NOT(ISERROR(FIND(EXP_MATRIX!$B$1:$Z$1,V$1))),EXP_MATRIX!$B19:$Z19,1))^IF(ISERROR(FIND("2",V$1)),1,2))</f>
        <v/>
      </c>
      <c r="W19" s="1" t="str" cm="1">
        <f t="array" ref="W19">IF(OR(W$1="",EXP_MATRIX!$C19=""),"",PRODUCT(IF(NOT(ISERROR(FIND(EXP_MATRIX!$B$1:$Z$1,W$1))),EXP_MATRIX!$B19:$Z19,1))^IF(ISERROR(FIND("2",W$1)),1,2))</f>
        <v/>
      </c>
      <c r="X19" s="1" t="str" cm="1">
        <f t="array" ref="X19">IF(OR(X$1="",EXP_MATRIX!$C19=""),"",PRODUCT(IF(NOT(ISERROR(FIND(EXP_MATRIX!$B$1:$Z$1,X$1))),EXP_MATRIX!$B19:$Z19,1))^IF(ISERROR(FIND("2",X$1)),1,2))</f>
        <v/>
      </c>
      <c r="Y19" s="1" t="str" cm="1">
        <f t="array" ref="Y19">IF(OR(Y$1="",EXP_MATRIX!$C19=""),"",PRODUCT(IF(NOT(ISERROR(FIND(EXP_MATRIX!$B$1:$Z$1,Y$1))),EXP_MATRIX!$B19:$Z19,1))^IF(ISERROR(FIND("2",Y$1)),1,2))</f>
        <v/>
      </c>
      <c r="Z19" s="1" t="str" cm="1">
        <f t="array" ref="Z19">IF(OR(Z$1="",EXP_MATRIX!$C19=""),"",PRODUCT(IF(NOT(ISERROR(FIND(EXP_MATRIX!$B$1:$Z$1,Z$1))),EXP_MATRIX!$B19:$Z19,1))^IF(ISERROR(FIND("2",Z$1)),1,2))</f>
        <v/>
      </c>
      <c r="AA19" s="1" t="str" cm="1">
        <f t="array" ref="AA19">IF(OR(AA$1="",EXP_MATRIX!$C19=""),"",PRODUCT(IF(NOT(ISERROR(FIND(EXP_MATRIX!$B$1:$Z$1,AA$1))),EXP_MATRIX!$B19:$Z19,1))^IF(ISERROR(FIND("2",AA$1)),1,2))</f>
        <v/>
      </c>
    </row>
    <row r="20" spans="1:27" x14ac:dyDescent="0.25">
      <c r="A20">
        <v>19</v>
      </c>
      <c r="B20" s="1" cm="1">
        <f t="array" ref="B20">IF(OR(B$1="",EXP_MATRIX!$C20=""),"",PRODUCT(IF(NOT(ISERROR(FIND(EXP_MATRIX!$B$1:$Z$1,B$1))),EXP_MATRIX!$B20:$Z20,1))^IF(ISERROR(FIND("2",B$1)),1,2))</f>
        <v>5.8781730187500001</v>
      </c>
      <c r="C20" s="1" cm="1">
        <f t="array" ref="C20">IF(OR(C$1="",EXP_MATRIX!$C20=""),"",PRODUCT(IF(NOT(ISERROR(FIND(EXP_MATRIX!$B$1:$Z$1,C$1))),EXP_MATRIX!$B20:$Z20,1))^IF(ISERROR(FIND("2",C$1)),1,2))</f>
        <v>-1</v>
      </c>
      <c r="D20" s="1" cm="1">
        <f t="array" ref="D20">IF(OR(D$1="",EXP_MATRIX!$C20=""),"",PRODUCT(IF(NOT(ISERROR(FIND(EXP_MATRIX!$B$1:$Z$1,D$1))),EXP_MATRIX!$B20:$Z20,1))^IF(ISERROR(FIND("2",D$1)),1,2))</f>
        <v>-1</v>
      </c>
      <c r="E20" s="1" cm="1">
        <f t="array" ref="E20">IF(OR(E$1="",EXP_MATRIX!$C20=""),"",PRODUCT(IF(NOT(ISERROR(FIND(EXP_MATRIX!$B$1:$Z$1,E$1))),EXP_MATRIX!$B20:$Z20,1))^IF(ISERROR(FIND("2",E$1)),1,2))</f>
        <v>1</v>
      </c>
      <c r="F20" s="1" cm="1">
        <f t="array" ref="F20">IF(OR(F$1="",EXP_MATRIX!$C20=""),"",PRODUCT(IF(NOT(ISERROR(FIND(EXP_MATRIX!$B$1:$Z$1,F$1))),EXP_MATRIX!$B20:$Z20,1))^IF(ISERROR(FIND("2",F$1)),1,2))</f>
        <v>1</v>
      </c>
      <c r="G20" s="1" cm="1">
        <f t="array" ref="G20">IF(OR(G$1="",EXP_MATRIX!$C20=""),"",PRODUCT(IF(NOT(ISERROR(FIND(EXP_MATRIX!$B$1:$Z$1,G$1))),EXP_MATRIX!$B20:$Z20,1))^IF(ISERROR(FIND("2",G$1)),1,2))</f>
        <v>-1</v>
      </c>
      <c r="H20" s="1" t="str" cm="1">
        <f t="array" ref="H20">IF(OR(H$1="",EXP_MATRIX!$C20=""),"",PRODUCT(IF(NOT(ISERROR(FIND(EXP_MATRIX!$B$1:$Z$1,H$1))),EXP_MATRIX!$B20:$Z20,1))^IF(ISERROR(FIND("2",H$1)),1,2))</f>
        <v/>
      </c>
      <c r="I20" s="1" t="str" cm="1">
        <f t="array" ref="I20">IF(OR(I$1="",EXP_MATRIX!$C20=""),"",PRODUCT(IF(NOT(ISERROR(FIND(EXP_MATRIX!$B$1:$Z$1,I$1))),EXP_MATRIX!$B20:$Z20,1))^IF(ISERROR(FIND("2",I$1)),1,2))</f>
        <v/>
      </c>
      <c r="J20" s="1" t="str" cm="1">
        <f t="array" ref="J20">IF(OR(J$1="",EXP_MATRIX!$C20=""),"",PRODUCT(IF(NOT(ISERROR(FIND(EXP_MATRIX!$B$1:$Z$1,J$1))),EXP_MATRIX!$B20:$Z20,1))^IF(ISERROR(FIND("2",J$1)),1,2))</f>
        <v/>
      </c>
      <c r="K20" s="1" t="str" cm="1">
        <f t="array" ref="K20">IF(OR(K$1="",EXP_MATRIX!$C20=""),"",PRODUCT(IF(NOT(ISERROR(FIND(EXP_MATRIX!$B$1:$Z$1,K$1))),EXP_MATRIX!$B20:$Z20,1))^IF(ISERROR(FIND("2",K$1)),1,2))</f>
        <v/>
      </c>
      <c r="L20" s="1" t="str" cm="1">
        <f t="array" ref="L20">IF(OR(L$1="",EXP_MATRIX!$C20=""),"",PRODUCT(IF(NOT(ISERROR(FIND(EXP_MATRIX!$B$1:$Z$1,L$1))),EXP_MATRIX!$B20:$Z20,1))^IF(ISERROR(FIND("2",L$1)),1,2))</f>
        <v/>
      </c>
      <c r="M20" s="1" t="str" cm="1">
        <f t="array" ref="M20">IF(OR(M$1="",EXP_MATRIX!$C20=""),"",PRODUCT(IF(NOT(ISERROR(FIND(EXP_MATRIX!$B$1:$Z$1,M$1))),EXP_MATRIX!$B20:$Z20,1))^IF(ISERROR(FIND("2",M$1)),1,2))</f>
        <v/>
      </c>
      <c r="N20" s="1" t="str" cm="1">
        <f t="array" ref="N20">IF(OR(N$1="",EXP_MATRIX!$C20=""),"",PRODUCT(IF(NOT(ISERROR(FIND(EXP_MATRIX!$B$1:$Z$1,N$1))),EXP_MATRIX!$B20:$Z20,1))^IF(ISERROR(FIND("2",N$1)),1,2))</f>
        <v/>
      </c>
      <c r="O20" s="1" t="str" cm="1">
        <f t="array" ref="O20">IF(OR(O$1="",EXP_MATRIX!$C20=""),"",PRODUCT(IF(NOT(ISERROR(FIND(EXP_MATRIX!$B$1:$Z$1,O$1))),EXP_MATRIX!$B20:$Z20,1))^IF(ISERROR(FIND("2",O$1)),1,2))</f>
        <v/>
      </c>
      <c r="P20" s="1" t="str" cm="1">
        <f t="array" ref="P20">IF(OR(P$1="",EXP_MATRIX!$C20=""),"",PRODUCT(IF(NOT(ISERROR(FIND(EXP_MATRIX!$B$1:$Z$1,P$1))),EXP_MATRIX!$B20:$Z20,1))^IF(ISERROR(FIND("2",P$1)),1,2))</f>
        <v/>
      </c>
      <c r="Q20" s="1" t="str" cm="1">
        <f t="array" ref="Q20">IF(OR(Q$1="",EXP_MATRIX!$C20=""),"",PRODUCT(IF(NOT(ISERROR(FIND(EXP_MATRIX!$B$1:$Z$1,Q$1))),EXP_MATRIX!$B20:$Z20,1))^IF(ISERROR(FIND("2",Q$1)),1,2))</f>
        <v/>
      </c>
      <c r="R20" s="1" t="str" cm="1">
        <f t="array" ref="R20">IF(OR(R$1="",EXP_MATRIX!$C20=""),"",PRODUCT(IF(NOT(ISERROR(FIND(EXP_MATRIX!$B$1:$Z$1,R$1))),EXP_MATRIX!$B20:$Z20,1))^IF(ISERROR(FIND("2",R$1)),1,2))</f>
        <v/>
      </c>
      <c r="S20" s="1" t="str" cm="1">
        <f t="array" ref="S20">IF(OR(S$1="",EXP_MATRIX!$C20=""),"",PRODUCT(IF(NOT(ISERROR(FIND(EXP_MATRIX!$B$1:$Z$1,S$1))),EXP_MATRIX!$B20:$Z20,1))^IF(ISERROR(FIND("2",S$1)),1,2))</f>
        <v/>
      </c>
      <c r="T20" s="1" t="str" cm="1">
        <f t="array" ref="T20">IF(OR(T$1="",EXP_MATRIX!$C20=""),"",PRODUCT(IF(NOT(ISERROR(FIND(EXP_MATRIX!$B$1:$Z$1,T$1))),EXP_MATRIX!$B20:$Z20,1))^IF(ISERROR(FIND("2",T$1)),1,2))</f>
        <v/>
      </c>
      <c r="U20" s="1" t="str" cm="1">
        <f t="array" ref="U20">IF(OR(U$1="",EXP_MATRIX!$C20=""),"",PRODUCT(IF(NOT(ISERROR(FIND(EXP_MATRIX!$B$1:$Z$1,U$1))),EXP_MATRIX!$B20:$Z20,1))^IF(ISERROR(FIND("2",U$1)),1,2))</f>
        <v/>
      </c>
      <c r="V20" s="1" t="str" cm="1">
        <f t="array" ref="V20">IF(OR(V$1="",EXP_MATRIX!$C20=""),"",PRODUCT(IF(NOT(ISERROR(FIND(EXP_MATRIX!$B$1:$Z$1,V$1))),EXP_MATRIX!$B20:$Z20,1))^IF(ISERROR(FIND("2",V$1)),1,2))</f>
        <v/>
      </c>
      <c r="W20" s="1" t="str" cm="1">
        <f t="array" ref="W20">IF(OR(W$1="",EXP_MATRIX!$C20=""),"",PRODUCT(IF(NOT(ISERROR(FIND(EXP_MATRIX!$B$1:$Z$1,W$1))),EXP_MATRIX!$B20:$Z20,1))^IF(ISERROR(FIND("2",W$1)),1,2))</f>
        <v/>
      </c>
      <c r="X20" s="1" t="str" cm="1">
        <f t="array" ref="X20">IF(OR(X$1="",EXP_MATRIX!$C20=""),"",PRODUCT(IF(NOT(ISERROR(FIND(EXP_MATRIX!$B$1:$Z$1,X$1))),EXP_MATRIX!$B20:$Z20,1))^IF(ISERROR(FIND("2",X$1)),1,2))</f>
        <v/>
      </c>
      <c r="Y20" s="1" t="str" cm="1">
        <f t="array" ref="Y20">IF(OR(Y$1="",EXP_MATRIX!$C20=""),"",PRODUCT(IF(NOT(ISERROR(FIND(EXP_MATRIX!$B$1:$Z$1,Y$1))),EXP_MATRIX!$B20:$Z20,1))^IF(ISERROR(FIND("2",Y$1)),1,2))</f>
        <v/>
      </c>
      <c r="Z20" s="1" t="str" cm="1">
        <f t="array" ref="Z20">IF(OR(Z$1="",EXP_MATRIX!$C20=""),"",PRODUCT(IF(NOT(ISERROR(FIND(EXP_MATRIX!$B$1:$Z$1,Z$1))),EXP_MATRIX!$B20:$Z20,1))^IF(ISERROR(FIND("2",Z$1)),1,2))</f>
        <v/>
      </c>
      <c r="AA20" s="1" t="str" cm="1">
        <f t="array" ref="AA20">IF(OR(AA$1="",EXP_MATRIX!$C20=""),"",PRODUCT(IF(NOT(ISERROR(FIND(EXP_MATRIX!$B$1:$Z$1,AA$1))),EXP_MATRIX!$B20:$Z20,1))^IF(ISERROR(FIND("2",AA$1)),1,2))</f>
        <v/>
      </c>
    </row>
    <row r="21" spans="1:27" x14ac:dyDescent="0.25">
      <c r="A21">
        <v>20</v>
      </c>
      <c r="B21" s="1" cm="1">
        <f t="array" ref="B21">IF(OR(B$1="",EXP_MATRIX!$C21=""),"",PRODUCT(IF(NOT(ISERROR(FIND(EXP_MATRIX!$B$1:$Z$1,B$1))),EXP_MATRIX!$B21:$Z21,1))^IF(ISERROR(FIND("2",B$1)),1,2))</f>
        <v>5.2625435187500003</v>
      </c>
      <c r="C21" s="1" cm="1">
        <f t="array" ref="C21">IF(OR(C$1="",EXP_MATRIX!$C21=""),"",PRODUCT(IF(NOT(ISERROR(FIND(EXP_MATRIX!$B$1:$Z$1,C$1))),EXP_MATRIX!$B21:$Z21,1))^IF(ISERROR(FIND("2",C$1)),1,2))</f>
        <v>1</v>
      </c>
      <c r="D21" s="1" cm="1">
        <f t="array" ref="D21">IF(OR(D$1="",EXP_MATRIX!$C21=""),"",PRODUCT(IF(NOT(ISERROR(FIND(EXP_MATRIX!$B$1:$Z$1,D$1))),EXP_MATRIX!$B21:$Z21,1))^IF(ISERROR(FIND("2",D$1)),1,2))</f>
        <v>-1</v>
      </c>
      <c r="E21" s="1" cm="1">
        <f t="array" ref="E21">IF(OR(E$1="",EXP_MATRIX!$C21=""),"",PRODUCT(IF(NOT(ISERROR(FIND(EXP_MATRIX!$B$1:$Z$1,E$1))),EXP_MATRIX!$B21:$Z21,1))^IF(ISERROR(FIND("2",E$1)),1,2))</f>
        <v>1</v>
      </c>
      <c r="F21" s="1" cm="1">
        <f t="array" ref="F21">IF(OR(F$1="",EXP_MATRIX!$C21=""),"",PRODUCT(IF(NOT(ISERROR(FIND(EXP_MATRIX!$B$1:$Z$1,F$1))),EXP_MATRIX!$B21:$Z21,1))^IF(ISERROR(FIND("2",F$1)),1,2))</f>
        <v>-1</v>
      </c>
      <c r="G21" s="1" cm="1">
        <f t="array" ref="G21">IF(OR(G$1="",EXP_MATRIX!$C21=""),"",PRODUCT(IF(NOT(ISERROR(FIND(EXP_MATRIX!$B$1:$Z$1,G$1))),EXP_MATRIX!$B21:$Z21,1))^IF(ISERROR(FIND("2",G$1)),1,2))</f>
        <v>1</v>
      </c>
      <c r="H21" s="1" t="str" cm="1">
        <f t="array" ref="H21">IF(OR(H$1="",EXP_MATRIX!$C21=""),"",PRODUCT(IF(NOT(ISERROR(FIND(EXP_MATRIX!$B$1:$Z$1,H$1))),EXP_MATRIX!$B21:$Z21,1))^IF(ISERROR(FIND("2",H$1)),1,2))</f>
        <v/>
      </c>
      <c r="I21" s="1" t="str" cm="1">
        <f t="array" ref="I21">IF(OR(I$1="",EXP_MATRIX!$C21=""),"",PRODUCT(IF(NOT(ISERROR(FIND(EXP_MATRIX!$B$1:$Z$1,I$1))),EXP_MATRIX!$B21:$Z21,1))^IF(ISERROR(FIND("2",I$1)),1,2))</f>
        <v/>
      </c>
      <c r="J21" s="1" t="str" cm="1">
        <f t="array" ref="J21">IF(OR(J$1="",EXP_MATRIX!$C21=""),"",PRODUCT(IF(NOT(ISERROR(FIND(EXP_MATRIX!$B$1:$Z$1,J$1))),EXP_MATRIX!$B21:$Z21,1))^IF(ISERROR(FIND("2",J$1)),1,2))</f>
        <v/>
      </c>
      <c r="K21" s="1" t="str" cm="1">
        <f t="array" ref="K21">IF(OR(K$1="",EXP_MATRIX!$C21=""),"",PRODUCT(IF(NOT(ISERROR(FIND(EXP_MATRIX!$B$1:$Z$1,K$1))),EXP_MATRIX!$B21:$Z21,1))^IF(ISERROR(FIND("2",K$1)),1,2))</f>
        <v/>
      </c>
      <c r="L21" s="1" t="str" cm="1">
        <f t="array" ref="L21">IF(OR(L$1="",EXP_MATRIX!$C21=""),"",PRODUCT(IF(NOT(ISERROR(FIND(EXP_MATRIX!$B$1:$Z$1,L$1))),EXP_MATRIX!$B21:$Z21,1))^IF(ISERROR(FIND("2",L$1)),1,2))</f>
        <v/>
      </c>
      <c r="M21" s="1" t="str" cm="1">
        <f t="array" ref="M21">IF(OR(M$1="",EXP_MATRIX!$C21=""),"",PRODUCT(IF(NOT(ISERROR(FIND(EXP_MATRIX!$B$1:$Z$1,M$1))),EXP_MATRIX!$B21:$Z21,1))^IF(ISERROR(FIND("2",M$1)),1,2))</f>
        <v/>
      </c>
      <c r="N21" s="1" t="str" cm="1">
        <f t="array" ref="N21">IF(OR(N$1="",EXP_MATRIX!$C21=""),"",PRODUCT(IF(NOT(ISERROR(FIND(EXP_MATRIX!$B$1:$Z$1,N$1))),EXP_MATRIX!$B21:$Z21,1))^IF(ISERROR(FIND("2",N$1)),1,2))</f>
        <v/>
      </c>
      <c r="O21" s="1" t="str" cm="1">
        <f t="array" ref="O21">IF(OR(O$1="",EXP_MATRIX!$C21=""),"",PRODUCT(IF(NOT(ISERROR(FIND(EXP_MATRIX!$B$1:$Z$1,O$1))),EXP_MATRIX!$B21:$Z21,1))^IF(ISERROR(FIND("2",O$1)),1,2))</f>
        <v/>
      </c>
      <c r="P21" s="1" t="str" cm="1">
        <f t="array" ref="P21">IF(OR(P$1="",EXP_MATRIX!$C21=""),"",PRODUCT(IF(NOT(ISERROR(FIND(EXP_MATRIX!$B$1:$Z$1,P$1))),EXP_MATRIX!$B21:$Z21,1))^IF(ISERROR(FIND("2",P$1)),1,2))</f>
        <v/>
      </c>
      <c r="Q21" s="1" t="str" cm="1">
        <f t="array" ref="Q21">IF(OR(Q$1="",EXP_MATRIX!$C21=""),"",PRODUCT(IF(NOT(ISERROR(FIND(EXP_MATRIX!$B$1:$Z$1,Q$1))),EXP_MATRIX!$B21:$Z21,1))^IF(ISERROR(FIND("2",Q$1)),1,2))</f>
        <v/>
      </c>
      <c r="R21" s="1" t="str" cm="1">
        <f t="array" ref="R21">IF(OR(R$1="",EXP_MATRIX!$C21=""),"",PRODUCT(IF(NOT(ISERROR(FIND(EXP_MATRIX!$B$1:$Z$1,R$1))),EXP_MATRIX!$B21:$Z21,1))^IF(ISERROR(FIND("2",R$1)),1,2))</f>
        <v/>
      </c>
      <c r="S21" s="1" t="str" cm="1">
        <f t="array" ref="S21">IF(OR(S$1="",EXP_MATRIX!$C21=""),"",PRODUCT(IF(NOT(ISERROR(FIND(EXP_MATRIX!$B$1:$Z$1,S$1))),EXP_MATRIX!$B21:$Z21,1))^IF(ISERROR(FIND("2",S$1)),1,2))</f>
        <v/>
      </c>
      <c r="T21" s="1" t="str" cm="1">
        <f t="array" ref="T21">IF(OR(T$1="",EXP_MATRIX!$C21=""),"",PRODUCT(IF(NOT(ISERROR(FIND(EXP_MATRIX!$B$1:$Z$1,T$1))),EXP_MATRIX!$B21:$Z21,1))^IF(ISERROR(FIND("2",T$1)),1,2))</f>
        <v/>
      </c>
      <c r="U21" s="1" t="str" cm="1">
        <f t="array" ref="U21">IF(OR(U$1="",EXP_MATRIX!$C21=""),"",PRODUCT(IF(NOT(ISERROR(FIND(EXP_MATRIX!$B$1:$Z$1,U$1))),EXP_MATRIX!$B21:$Z21,1))^IF(ISERROR(FIND("2",U$1)),1,2))</f>
        <v/>
      </c>
      <c r="V21" s="1" t="str" cm="1">
        <f t="array" ref="V21">IF(OR(V$1="",EXP_MATRIX!$C21=""),"",PRODUCT(IF(NOT(ISERROR(FIND(EXP_MATRIX!$B$1:$Z$1,V$1))),EXP_MATRIX!$B21:$Z21,1))^IF(ISERROR(FIND("2",V$1)),1,2))</f>
        <v/>
      </c>
      <c r="W21" s="1" t="str" cm="1">
        <f t="array" ref="W21">IF(OR(W$1="",EXP_MATRIX!$C21=""),"",PRODUCT(IF(NOT(ISERROR(FIND(EXP_MATRIX!$B$1:$Z$1,W$1))),EXP_MATRIX!$B21:$Z21,1))^IF(ISERROR(FIND("2",W$1)),1,2))</f>
        <v/>
      </c>
      <c r="X21" s="1" t="str" cm="1">
        <f t="array" ref="X21">IF(OR(X$1="",EXP_MATRIX!$C21=""),"",PRODUCT(IF(NOT(ISERROR(FIND(EXP_MATRIX!$B$1:$Z$1,X$1))),EXP_MATRIX!$B21:$Z21,1))^IF(ISERROR(FIND("2",X$1)),1,2))</f>
        <v/>
      </c>
      <c r="Y21" s="1" t="str" cm="1">
        <f t="array" ref="Y21">IF(OR(Y$1="",EXP_MATRIX!$C21=""),"",PRODUCT(IF(NOT(ISERROR(FIND(EXP_MATRIX!$B$1:$Z$1,Y$1))),EXP_MATRIX!$B21:$Z21,1))^IF(ISERROR(FIND("2",Y$1)),1,2))</f>
        <v/>
      </c>
      <c r="Z21" s="1" t="str" cm="1">
        <f t="array" ref="Z21">IF(OR(Z$1="",EXP_MATRIX!$C21=""),"",PRODUCT(IF(NOT(ISERROR(FIND(EXP_MATRIX!$B$1:$Z$1,Z$1))),EXP_MATRIX!$B21:$Z21,1))^IF(ISERROR(FIND("2",Z$1)),1,2))</f>
        <v/>
      </c>
      <c r="AA21" s="1" t="str" cm="1">
        <f t="array" ref="AA21">IF(OR(AA$1="",EXP_MATRIX!$C21=""),"",PRODUCT(IF(NOT(ISERROR(FIND(EXP_MATRIX!$B$1:$Z$1,AA$1))),EXP_MATRIX!$B21:$Z21,1))^IF(ISERROR(FIND("2",AA$1)),1,2))</f>
        <v/>
      </c>
    </row>
    <row r="22" spans="1:27" x14ac:dyDescent="0.25">
      <c r="A22">
        <v>21</v>
      </c>
      <c r="B22" s="1" cm="1">
        <f t="array" ref="B22">IF(OR(B$1="",EXP_MATRIX!$C22=""),"",PRODUCT(IF(NOT(ISERROR(FIND(EXP_MATRIX!$B$1:$Z$1,B$1))),EXP_MATRIX!$B22:$Z22,1))^IF(ISERROR(FIND("2",B$1)),1,2))</f>
        <v>6.6597015187500004</v>
      </c>
      <c r="C22" s="1" cm="1">
        <f t="array" ref="C22">IF(OR(C$1="",EXP_MATRIX!$C22=""),"",PRODUCT(IF(NOT(ISERROR(FIND(EXP_MATRIX!$B$1:$Z$1,C$1))),EXP_MATRIX!$B22:$Z22,1))^IF(ISERROR(FIND("2",C$1)),1,2))</f>
        <v>-1</v>
      </c>
      <c r="D22" s="1" cm="1">
        <f t="array" ref="D22">IF(OR(D$1="",EXP_MATRIX!$C22=""),"",PRODUCT(IF(NOT(ISERROR(FIND(EXP_MATRIX!$B$1:$Z$1,D$1))),EXP_MATRIX!$B22:$Z22,1))^IF(ISERROR(FIND("2",D$1)),1,2))</f>
        <v>1</v>
      </c>
      <c r="E22" s="1" cm="1">
        <f t="array" ref="E22">IF(OR(E$1="",EXP_MATRIX!$C22=""),"",PRODUCT(IF(NOT(ISERROR(FIND(EXP_MATRIX!$B$1:$Z$1,E$1))),EXP_MATRIX!$B22:$Z22,1))^IF(ISERROR(FIND("2",E$1)),1,2))</f>
        <v>1</v>
      </c>
      <c r="F22" s="1" cm="1">
        <f t="array" ref="F22">IF(OR(F$1="",EXP_MATRIX!$C22=""),"",PRODUCT(IF(NOT(ISERROR(FIND(EXP_MATRIX!$B$1:$Z$1,F$1))),EXP_MATRIX!$B22:$Z22,1))^IF(ISERROR(FIND("2",F$1)),1,2))</f>
        <v>-1</v>
      </c>
      <c r="G22" s="1" cm="1">
        <f t="array" ref="G22">IF(OR(G$1="",EXP_MATRIX!$C22=""),"",PRODUCT(IF(NOT(ISERROR(FIND(EXP_MATRIX!$B$1:$Z$1,G$1))),EXP_MATRIX!$B22:$Z22,1))^IF(ISERROR(FIND("2",G$1)),1,2))</f>
        <v>-1</v>
      </c>
      <c r="H22" s="1" t="str" cm="1">
        <f t="array" ref="H22">IF(OR(H$1="",EXP_MATRIX!$C22=""),"",PRODUCT(IF(NOT(ISERROR(FIND(EXP_MATRIX!$B$1:$Z$1,H$1))),EXP_MATRIX!$B22:$Z22,1))^IF(ISERROR(FIND("2",H$1)),1,2))</f>
        <v/>
      </c>
      <c r="I22" s="1" t="str" cm="1">
        <f t="array" ref="I22">IF(OR(I$1="",EXP_MATRIX!$C22=""),"",PRODUCT(IF(NOT(ISERROR(FIND(EXP_MATRIX!$B$1:$Z$1,I$1))),EXP_MATRIX!$B22:$Z22,1))^IF(ISERROR(FIND("2",I$1)),1,2))</f>
        <v/>
      </c>
      <c r="J22" s="1" t="str" cm="1">
        <f t="array" ref="J22">IF(OR(J$1="",EXP_MATRIX!$C22=""),"",PRODUCT(IF(NOT(ISERROR(FIND(EXP_MATRIX!$B$1:$Z$1,J$1))),EXP_MATRIX!$B22:$Z22,1))^IF(ISERROR(FIND("2",J$1)),1,2))</f>
        <v/>
      </c>
      <c r="K22" s="1" t="str" cm="1">
        <f t="array" ref="K22">IF(OR(K$1="",EXP_MATRIX!$C22=""),"",PRODUCT(IF(NOT(ISERROR(FIND(EXP_MATRIX!$B$1:$Z$1,K$1))),EXP_MATRIX!$B22:$Z22,1))^IF(ISERROR(FIND("2",K$1)),1,2))</f>
        <v/>
      </c>
      <c r="L22" s="1" t="str" cm="1">
        <f t="array" ref="L22">IF(OR(L$1="",EXP_MATRIX!$C22=""),"",PRODUCT(IF(NOT(ISERROR(FIND(EXP_MATRIX!$B$1:$Z$1,L$1))),EXP_MATRIX!$B22:$Z22,1))^IF(ISERROR(FIND("2",L$1)),1,2))</f>
        <v/>
      </c>
      <c r="M22" s="1" t="str" cm="1">
        <f t="array" ref="M22">IF(OR(M$1="",EXP_MATRIX!$C22=""),"",PRODUCT(IF(NOT(ISERROR(FIND(EXP_MATRIX!$B$1:$Z$1,M$1))),EXP_MATRIX!$B22:$Z22,1))^IF(ISERROR(FIND("2",M$1)),1,2))</f>
        <v/>
      </c>
      <c r="N22" s="1" t="str" cm="1">
        <f t="array" ref="N22">IF(OR(N$1="",EXP_MATRIX!$C22=""),"",PRODUCT(IF(NOT(ISERROR(FIND(EXP_MATRIX!$B$1:$Z$1,N$1))),EXP_MATRIX!$B22:$Z22,1))^IF(ISERROR(FIND("2",N$1)),1,2))</f>
        <v/>
      </c>
      <c r="O22" s="1" t="str" cm="1">
        <f t="array" ref="O22">IF(OR(O$1="",EXP_MATRIX!$C22=""),"",PRODUCT(IF(NOT(ISERROR(FIND(EXP_MATRIX!$B$1:$Z$1,O$1))),EXP_MATRIX!$B22:$Z22,1))^IF(ISERROR(FIND("2",O$1)),1,2))</f>
        <v/>
      </c>
      <c r="P22" s="1" t="str" cm="1">
        <f t="array" ref="P22">IF(OR(P$1="",EXP_MATRIX!$C22=""),"",PRODUCT(IF(NOT(ISERROR(FIND(EXP_MATRIX!$B$1:$Z$1,P$1))),EXP_MATRIX!$B22:$Z22,1))^IF(ISERROR(FIND("2",P$1)),1,2))</f>
        <v/>
      </c>
      <c r="Q22" s="1" t="str" cm="1">
        <f t="array" ref="Q22">IF(OR(Q$1="",EXP_MATRIX!$C22=""),"",PRODUCT(IF(NOT(ISERROR(FIND(EXP_MATRIX!$B$1:$Z$1,Q$1))),EXP_MATRIX!$B22:$Z22,1))^IF(ISERROR(FIND("2",Q$1)),1,2))</f>
        <v/>
      </c>
      <c r="R22" s="1" t="str" cm="1">
        <f t="array" ref="R22">IF(OR(R$1="",EXP_MATRIX!$C22=""),"",PRODUCT(IF(NOT(ISERROR(FIND(EXP_MATRIX!$B$1:$Z$1,R$1))),EXP_MATRIX!$B22:$Z22,1))^IF(ISERROR(FIND("2",R$1)),1,2))</f>
        <v/>
      </c>
      <c r="S22" s="1" t="str" cm="1">
        <f t="array" ref="S22">IF(OR(S$1="",EXP_MATRIX!$C22=""),"",PRODUCT(IF(NOT(ISERROR(FIND(EXP_MATRIX!$B$1:$Z$1,S$1))),EXP_MATRIX!$B22:$Z22,1))^IF(ISERROR(FIND("2",S$1)),1,2))</f>
        <v/>
      </c>
      <c r="T22" s="1" t="str" cm="1">
        <f t="array" ref="T22">IF(OR(T$1="",EXP_MATRIX!$C22=""),"",PRODUCT(IF(NOT(ISERROR(FIND(EXP_MATRIX!$B$1:$Z$1,T$1))),EXP_MATRIX!$B22:$Z22,1))^IF(ISERROR(FIND("2",T$1)),1,2))</f>
        <v/>
      </c>
      <c r="U22" s="1" t="str" cm="1">
        <f t="array" ref="U22">IF(OR(U$1="",EXP_MATRIX!$C22=""),"",PRODUCT(IF(NOT(ISERROR(FIND(EXP_MATRIX!$B$1:$Z$1,U$1))),EXP_MATRIX!$B22:$Z22,1))^IF(ISERROR(FIND("2",U$1)),1,2))</f>
        <v/>
      </c>
      <c r="V22" s="1" t="str" cm="1">
        <f t="array" ref="V22">IF(OR(V$1="",EXP_MATRIX!$C22=""),"",PRODUCT(IF(NOT(ISERROR(FIND(EXP_MATRIX!$B$1:$Z$1,V$1))),EXP_MATRIX!$B22:$Z22,1))^IF(ISERROR(FIND("2",V$1)),1,2))</f>
        <v/>
      </c>
      <c r="W22" s="1" t="str" cm="1">
        <f t="array" ref="W22">IF(OR(W$1="",EXP_MATRIX!$C22=""),"",PRODUCT(IF(NOT(ISERROR(FIND(EXP_MATRIX!$B$1:$Z$1,W$1))),EXP_MATRIX!$B22:$Z22,1))^IF(ISERROR(FIND("2",W$1)),1,2))</f>
        <v/>
      </c>
      <c r="X22" s="1" t="str" cm="1">
        <f t="array" ref="X22">IF(OR(X$1="",EXP_MATRIX!$C22=""),"",PRODUCT(IF(NOT(ISERROR(FIND(EXP_MATRIX!$B$1:$Z$1,X$1))),EXP_MATRIX!$B22:$Z22,1))^IF(ISERROR(FIND("2",X$1)),1,2))</f>
        <v/>
      </c>
      <c r="Y22" s="1" t="str" cm="1">
        <f t="array" ref="Y22">IF(OR(Y$1="",EXP_MATRIX!$C22=""),"",PRODUCT(IF(NOT(ISERROR(FIND(EXP_MATRIX!$B$1:$Z$1,Y$1))),EXP_MATRIX!$B22:$Z22,1))^IF(ISERROR(FIND("2",Y$1)),1,2))</f>
        <v/>
      </c>
      <c r="Z22" s="1" t="str" cm="1">
        <f t="array" ref="Z22">IF(OR(Z$1="",EXP_MATRIX!$C22=""),"",PRODUCT(IF(NOT(ISERROR(FIND(EXP_MATRIX!$B$1:$Z$1,Z$1))),EXP_MATRIX!$B22:$Z22,1))^IF(ISERROR(FIND("2",Z$1)),1,2))</f>
        <v/>
      </c>
      <c r="AA22" s="1" t="str" cm="1">
        <f t="array" ref="AA22">IF(OR(AA$1="",EXP_MATRIX!$C22=""),"",PRODUCT(IF(NOT(ISERROR(FIND(EXP_MATRIX!$B$1:$Z$1,AA$1))),EXP_MATRIX!$B22:$Z22,1))^IF(ISERROR(FIND("2",AA$1)),1,2))</f>
        <v/>
      </c>
    </row>
    <row r="23" spans="1:27" x14ac:dyDescent="0.25">
      <c r="A23">
        <v>22</v>
      </c>
      <c r="B23" s="1" cm="1">
        <f t="array" ref="B23">IF(OR(B$1="",EXP_MATRIX!$C23=""),"",PRODUCT(IF(NOT(ISERROR(FIND(EXP_MATRIX!$B$1:$Z$1,B$1))),EXP_MATRIX!$B23:$Z23,1))^IF(ISERROR(FIND("2",B$1)),1,2))</f>
        <v>8.10153251875</v>
      </c>
      <c r="C23" s="1" cm="1">
        <f t="array" ref="C23">IF(OR(C$1="",EXP_MATRIX!$C23=""),"",PRODUCT(IF(NOT(ISERROR(FIND(EXP_MATRIX!$B$1:$Z$1,C$1))),EXP_MATRIX!$B23:$Z23,1))^IF(ISERROR(FIND("2",C$1)),1,2))</f>
        <v>1</v>
      </c>
      <c r="D23" s="1" cm="1">
        <f t="array" ref="D23">IF(OR(D$1="",EXP_MATRIX!$C23=""),"",PRODUCT(IF(NOT(ISERROR(FIND(EXP_MATRIX!$B$1:$Z$1,D$1))),EXP_MATRIX!$B23:$Z23,1))^IF(ISERROR(FIND("2",D$1)),1,2))</f>
        <v>1</v>
      </c>
      <c r="E23" s="1" cm="1">
        <f t="array" ref="E23">IF(OR(E$1="",EXP_MATRIX!$C23=""),"",PRODUCT(IF(NOT(ISERROR(FIND(EXP_MATRIX!$B$1:$Z$1,E$1))),EXP_MATRIX!$B23:$Z23,1))^IF(ISERROR(FIND("2",E$1)),1,2))</f>
        <v>1</v>
      </c>
      <c r="F23" s="1" cm="1">
        <f t="array" ref="F23">IF(OR(F$1="",EXP_MATRIX!$C23=""),"",PRODUCT(IF(NOT(ISERROR(FIND(EXP_MATRIX!$B$1:$Z$1,F$1))),EXP_MATRIX!$B23:$Z23,1))^IF(ISERROR(FIND("2",F$1)),1,2))</f>
        <v>1</v>
      </c>
      <c r="G23" s="1" cm="1">
        <f t="array" ref="G23">IF(OR(G$1="",EXP_MATRIX!$C23=""),"",PRODUCT(IF(NOT(ISERROR(FIND(EXP_MATRIX!$B$1:$Z$1,G$1))),EXP_MATRIX!$B23:$Z23,1))^IF(ISERROR(FIND("2",G$1)),1,2))</f>
        <v>1</v>
      </c>
      <c r="H23" s="1" t="str" cm="1">
        <f t="array" ref="H23">IF(OR(H$1="",EXP_MATRIX!$C23=""),"",PRODUCT(IF(NOT(ISERROR(FIND(EXP_MATRIX!$B$1:$Z$1,H$1))),EXP_MATRIX!$B23:$Z23,1))^IF(ISERROR(FIND("2",H$1)),1,2))</f>
        <v/>
      </c>
      <c r="I23" s="1" t="str" cm="1">
        <f t="array" ref="I23">IF(OR(I$1="",EXP_MATRIX!$C23=""),"",PRODUCT(IF(NOT(ISERROR(FIND(EXP_MATRIX!$B$1:$Z$1,I$1))),EXP_MATRIX!$B23:$Z23,1))^IF(ISERROR(FIND("2",I$1)),1,2))</f>
        <v/>
      </c>
      <c r="J23" s="1" t="str" cm="1">
        <f t="array" ref="J23">IF(OR(J$1="",EXP_MATRIX!$C23=""),"",PRODUCT(IF(NOT(ISERROR(FIND(EXP_MATRIX!$B$1:$Z$1,J$1))),EXP_MATRIX!$B23:$Z23,1))^IF(ISERROR(FIND("2",J$1)),1,2))</f>
        <v/>
      </c>
      <c r="K23" s="1" t="str" cm="1">
        <f t="array" ref="K23">IF(OR(K$1="",EXP_MATRIX!$C23=""),"",PRODUCT(IF(NOT(ISERROR(FIND(EXP_MATRIX!$B$1:$Z$1,K$1))),EXP_MATRIX!$B23:$Z23,1))^IF(ISERROR(FIND("2",K$1)),1,2))</f>
        <v/>
      </c>
      <c r="L23" s="1" t="str" cm="1">
        <f t="array" ref="L23">IF(OR(L$1="",EXP_MATRIX!$C23=""),"",PRODUCT(IF(NOT(ISERROR(FIND(EXP_MATRIX!$B$1:$Z$1,L$1))),EXP_MATRIX!$B23:$Z23,1))^IF(ISERROR(FIND("2",L$1)),1,2))</f>
        <v/>
      </c>
      <c r="M23" s="1" t="str" cm="1">
        <f t="array" ref="M23">IF(OR(M$1="",EXP_MATRIX!$C23=""),"",PRODUCT(IF(NOT(ISERROR(FIND(EXP_MATRIX!$B$1:$Z$1,M$1))),EXP_MATRIX!$B23:$Z23,1))^IF(ISERROR(FIND("2",M$1)),1,2))</f>
        <v/>
      </c>
      <c r="N23" s="1" t="str" cm="1">
        <f t="array" ref="N23">IF(OR(N$1="",EXP_MATRIX!$C23=""),"",PRODUCT(IF(NOT(ISERROR(FIND(EXP_MATRIX!$B$1:$Z$1,N$1))),EXP_MATRIX!$B23:$Z23,1))^IF(ISERROR(FIND("2",N$1)),1,2))</f>
        <v/>
      </c>
      <c r="O23" s="1" t="str" cm="1">
        <f t="array" ref="O23">IF(OR(O$1="",EXP_MATRIX!$C23=""),"",PRODUCT(IF(NOT(ISERROR(FIND(EXP_MATRIX!$B$1:$Z$1,O$1))),EXP_MATRIX!$B23:$Z23,1))^IF(ISERROR(FIND("2",O$1)),1,2))</f>
        <v/>
      </c>
      <c r="P23" s="1" t="str" cm="1">
        <f t="array" ref="P23">IF(OR(P$1="",EXP_MATRIX!$C23=""),"",PRODUCT(IF(NOT(ISERROR(FIND(EXP_MATRIX!$B$1:$Z$1,P$1))),EXP_MATRIX!$B23:$Z23,1))^IF(ISERROR(FIND("2",P$1)),1,2))</f>
        <v/>
      </c>
      <c r="Q23" s="1" t="str" cm="1">
        <f t="array" ref="Q23">IF(OR(Q$1="",EXP_MATRIX!$C23=""),"",PRODUCT(IF(NOT(ISERROR(FIND(EXP_MATRIX!$B$1:$Z$1,Q$1))),EXP_MATRIX!$B23:$Z23,1))^IF(ISERROR(FIND("2",Q$1)),1,2))</f>
        <v/>
      </c>
      <c r="R23" s="1" t="str" cm="1">
        <f t="array" ref="R23">IF(OR(R$1="",EXP_MATRIX!$C23=""),"",PRODUCT(IF(NOT(ISERROR(FIND(EXP_MATRIX!$B$1:$Z$1,R$1))),EXP_MATRIX!$B23:$Z23,1))^IF(ISERROR(FIND("2",R$1)),1,2))</f>
        <v/>
      </c>
      <c r="S23" s="1" t="str" cm="1">
        <f t="array" ref="S23">IF(OR(S$1="",EXP_MATRIX!$C23=""),"",PRODUCT(IF(NOT(ISERROR(FIND(EXP_MATRIX!$B$1:$Z$1,S$1))),EXP_MATRIX!$B23:$Z23,1))^IF(ISERROR(FIND("2",S$1)),1,2))</f>
        <v/>
      </c>
      <c r="T23" s="1" t="str" cm="1">
        <f t="array" ref="T23">IF(OR(T$1="",EXP_MATRIX!$C23=""),"",PRODUCT(IF(NOT(ISERROR(FIND(EXP_MATRIX!$B$1:$Z$1,T$1))),EXP_MATRIX!$B23:$Z23,1))^IF(ISERROR(FIND("2",T$1)),1,2))</f>
        <v/>
      </c>
      <c r="U23" s="1" t="str" cm="1">
        <f t="array" ref="U23">IF(OR(U$1="",EXP_MATRIX!$C23=""),"",PRODUCT(IF(NOT(ISERROR(FIND(EXP_MATRIX!$B$1:$Z$1,U$1))),EXP_MATRIX!$B23:$Z23,1))^IF(ISERROR(FIND("2",U$1)),1,2))</f>
        <v/>
      </c>
      <c r="V23" s="1" t="str" cm="1">
        <f t="array" ref="V23">IF(OR(V$1="",EXP_MATRIX!$C23=""),"",PRODUCT(IF(NOT(ISERROR(FIND(EXP_MATRIX!$B$1:$Z$1,V$1))),EXP_MATRIX!$B23:$Z23,1))^IF(ISERROR(FIND("2",V$1)),1,2))</f>
        <v/>
      </c>
      <c r="W23" s="1" t="str" cm="1">
        <f t="array" ref="W23">IF(OR(W$1="",EXP_MATRIX!$C23=""),"",PRODUCT(IF(NOT(ISERROR(FIND(EXP_MATRIX!$B$1:$Z$1,W$1))),EXP_MATRIX!$B23:$Z23,1))^IF(ISERROR(FIND("2",W$1)),1,2))</f>
        <v/>
      </c>
      <c r="X23" s="1" t="str" cm="1">
        <f t="array" ref="X23">IF(OR(X$1="",EXP_MATRIX!$C23=""),"",PRODUCT(IF(NOT(ISERROR(FIND(EXP_MATRIX!$B$1:$Z$1,X$1))),EXP_MATRIX!$B23:$Z23,1))^IF(ISERROR(FIND("2",X$1)),1,2))</f>
        <v/>
      </c>
      <c r="Y23" s="1" t="str" cm="1">
        <f t="array" ref="Y23">IF(OR(Y$1="",EXP_MATRIX!$C23=""),"",PRODUCT(IF(NOT(ISERROR(FIND(EXP_MATRIX!$B$1:$Z$1,Y$1))),EXP_MATRIX!$B23:$Z23,1))^IF(ISERROR(FIND("2",Y$1)),1,2))</f>
        <v/>
      </c>
      <c r="Z23" s="1" t="str" cm="1">
        <f t="array" ref="Z23">IF(OR(Z$1="",EXP_MATRIX!$C23=""),"",PRODUCT(IF(NOT(ISERROR(FIND(EXP_MATRIX!$B$1:$Z$1,Z$1))),EXP_MATRIX!$B23:$Z23,1))^IF(ISERROR(FIND("2",Z$1)),1,2))</f>
        <v/>
      </c>
      <c r="AA23" s="1" t="str" cm="1">
        <f t="array" ref="AA23">IF(OR(AA$1="",EXP_MATRIX!$C23=""),"",PRODUCT(IF(NOT(ISERROR(FIND(EXP_MATRIX!$B$1:$Z$1,AA$1))),EXP_MATRIX!$B23:$Z23,1))^IF(ISERROR(FIND("2",AA$1)),1,2))</f>
        <v/>
      </c>
    </row>
    <row r="24" spans="1:27" x14ac:dyDescent="0.25">
      <c r="A24">
        <v>23</v>
      </c>
      <c r="B24" s="1" cm="1">
        <f t="array" ref="B24">IF(OR(B$1="",EXP_MATRIX!$C24=""),"",PRODUCT(IF(NOT(ISERROR(FIND(EXP_MATRIX!$B$1:$Z$1,B$1))),EXP_MATRIX!$B24:$Z24,1))^IF(ISERROR(FIND("2",B$1)),1,2))</f>
        <v>8.9268260187500008</v>
      </c>
      <c r="C24" s="1" cm="1">
        <f t="array" ref="C24">IF(OR(C$1="",EXP_MATRIX!$C24=""),"",PRODUCT(IF(NOT(ISERROR(FIND(EXP_MATRIX!$B$1:$Z$1,C$1))),EXP_MATRIX!$B24:$Z24,1))^IF(ISERROR(FIND("2",C$1)),1,2))</f>
        <v>-1</v>
      </c>
      <c r="D24" s="1" cm="1">
        <f t="array" ref="D24">IF(OR(D$1="",EXP_MATRIX!$C24=""),"",PRODUCT(IF(NOT(ISERROR(FIND(EXP_MATRIX!$B$1:$Z$1,D$1))),EXP_MATRIX!$B24:$Z24,1))^IF(ISERROR(FIND("2",D$1)),1,2))</f>
        <v>1</v>
      </c>
      <c r="E24" s="1" cm="1">
        <f t="array" ref="E24">IF(OR(E$1="",EXP_MATRIX!$C24=""),"",PRODUCT(IF(NOT(ISERROR(FIND(EXP_MATRIX!$B$1:$Z$1,E$1))),EXP_MATRIX!$B24:$Z24,1))^IF(ISERROR(FIND("2",E$1)),1,2))</f>
        <v>1</v>
      </c>
      <c r="F24" s="1" cm="1">
        <f t="array" ref="F24">IF(OR(F$1="",EXP_MATRIX!$C24=""),"",PRODUCT(IF(NOT(ISERROR(FIND(EXP_MATRIX!$B$1:$Z$1,F$1))),EXP_MATRIX!$B24:$Z24,1))^IF(ISERROR(FIND("2",F$1)),1,2))</f>
        <v>-1</v>
      </c>
      <c r="G24" s="1" cm="1">
        <f t="array" ref="G24">IF(OR(G$1="",EXP_MATRIX!$C24=""),"",PRODUCT(IF(NOT(ISERROR(FIND(EXP_MATRIX!$B$1:$Z$1,G$1))),EXP_MATRIX!$B24:$Z24,1))^IF(ISERROR(FIND("2",G$1)),1,2))</f>
        <v>-1</v>
      </c>
      <c r="H24" s="1" t="str" cm="1">
        <f t="array" ref="H24">IF(OR(H$1="",EXP_MATRIX!$C24=""),"",PRODUCT(IF(NOT(ISERROR(FIND(EXP_MATRIX!$B$1:$Z$1,H$1))),EXP_MATRIX!$B24:$Z24,1))^IF(ISERROR(FIND("2",H$1)),1,2))</f>
        <v/>
      </c>
      <c r="I24" s="1" t="str" cm="1">
        <f t="array" ref="I24">IF(OR(I$1="",EXP_MATRIX!$C24=""),"",PRODUCT(IF(NOT(ISERROR(FIND(EXP_MATRIX!$B$1:$Z$1,I$1))),EXP_MATRIX!$B24:$Z24,1))^IF(ISERROR(FIND("2",I$1)),1,2))</f>
        <v/>
      </c>
      <c r="J24" s="1" t="str" cm="1">
        <f t="array" ref="J24">IF(OR(J$1="",EXP_MATRIX!$C24=""),"",PRODUCT(IF(NOT(ISERROR(FIND(EXP_MATRIX!$B$1:$Z$1,J$1))),EXP_MATRIX!$B24:$Z24,1))^IF(ISERROR(FIND("2",J$1)),1,2))</f>
        <v/>
      </c>
      <c r="K24" s="1" t="str" cm="1">
        <f t="array" ref="K24">IF(OR(K$1="",EXP_MATRIX!$C24=""),"",PRODUCT(IF(NOT(ISERROR(FIND(EXP_MATRIX!$B$1:$Z$1,K$1))),EXP_MATRIX!$B24:$Z24,1))^IF(ISERROR(FIND("2",K$1)),1,2))</f>
        <v/>
      </c>
      <c r="L24" s="1" t="str" cm="1">
        <f t="array" ref="L24">IF(OR(L$1="",EXP_MATRIX!$C24=""),"",PRODUCT(IF(NOT(ISERROR(FIND(EXP_MATRIX!$B$1:$Z$1,L$1))),EXP_MATRIX!$B24:$Z24,1))^IF(ISERROR(FIND("2",L$1)),1,2))</f>
        <v/>
      </c>
      <c r="M24" s="1" t="str" cm="1">
        <f t="array" ref="M24">IF(OR(M$1="",EXP_MATRIX!$C24=""),"",PRODUCT(IF(NOT(ISERROR(FIND(EXP_MATRIX!$B$1:$Z$1,M$1))),EXP_MATRIX!$B24:$Z24,1))^IF(ISERROR(FIND("2",M$1)),1,2))</f>
        <v/>
      </c>
      <c r="N24" s="1" t="str" cm="1">
        <f t="array" ref="N24">IF(OR(N$1="",EXP_MATRIX!$C24=""),"",PRODUCT(IF(NOT(ISERROR(FIND(EXP_MATRIX!$B$1:$Z$1,N$1))),EXP_MATRIX!$B24:$Z24,1))^IF(ISERROR(FIND("2",N$1)),1,2))</f>
        <v/>
      </c>
      <c r="O24" s="1" t="str" cm="1">
        <f t="array" ref="O24">IF(OR(O$1="",EXP_MATRIX!$C24=""),"",PRODUCT(IF(NOT(ISERROR(FIND(EXP_MATRIX!$B$1:$Z$1,O$1))),EXP_MATRIX!$B24:$Z24,1))^IF(ISERROR(FIND("2",O$1)),1,2))</f>
        <v/>
      </c>
      <c r="P24" s="1" t="str" cm="1">
        <f t="array" ref="P24">IF(OR(P$1="",EXP_MATRIX!$C24=""),"",PRODUCT(IF(NOT(ISERROR(FIND(EXP_MATRIX!$B$1:$Z$1,P$1))),EXP_MATRIX!$B24:$Z24,1))^IF(ISERROR(FIND("2",P$1)),1,2))</f>
        <v/>
      </c>
      <c r="Q24" s="1" t="str" cm="1">
        <f t="array" ref="Q24">IF(OR(Q$1="",EXP_MATRIX!$C24=""),"",PRODUCT(IF(NOT(ISERROR(FIND(EXP_MATRIX!$B$1:$Z$1,Q$1))),EXP_MATRIX!$B24:$Z24,1))^IF(ISERROR(FIND("2",Q$1)),1,2))</f>
        <v/>
      </c>
      <c r="R24" s="1" t="str" cm="1">
        <f t="array" ref="R24">IF(OR(R$1="",EXP_MATRIX!$C24=""),"",PRODUCT(IF(NOT(ISERROR(FIND(EXP_MATRIX!$B$1:$Z$1,R$1))),EXP_MATRIX!$B24:$Z24,1))^IF(ISERROR(FIND("2",R$1)),1,2))</f>
        <v/>
      </c>
      <c r="S24" s="1" t="str" cm="1">
        <f t="array" ref="S24">IF(OR(S$1="",EXP_MATRIX!$C24=""),"",PRODUCT(IF(NOT(ISERROR(FIND(EXP_MATRIX!$B$1:$Z$1,S$1))),EXP_MATRIX!$B24:$Z24,1))^IF(ISERROR(FIND("2",S$1)),1,2))</f>
        <v/>
      </c>
      <c r="T24" s="1" t="str" cm="1">
        <f t="array" ref="T24">IF(OR(T$1="",EXP_MATRIX!$C24=""),"",PRODUCT(IF(NOT(ISERROR(FIND(EXP_MATRIX!$B$1:$Z$1,T$1))),EXP_MATRIX!$B24:$Z24,1))^IF(ISERROR(FIND("2",T$1)),1,2))</f>
        <v/>
      </c>
      <c r="U24" s="1" t="str" cm="1">
        <f t="array" ref="U24">IF(OR(U$1="",EXP_MATRIX!$C24=""),"",PRODUCT(IF(NOT(ISERROR(FIND(EXP_MATRIX!$B$1:$Z$1,U$1))),EXP_MATRIX!$B24:$Z24,1))^IF(ISERROR(FIND("2",U$1)),1,2))</f>
        <v/>
      </c>
      <c r="V24" s="1" t="str" cm="1">
        <f t="array" ref="V24">IF(OR(V$1="",EXP_MATRIX!$C24=""),"",PRODUCT(IF(NOT(ISERROR(FIND(EXP_MATRIX!$B$1:$Z$1,V$1))),EXP_MATRIX!$B24:$Z24,1))^IF(ISERROR(FIND("2",V$1)),1,2))</f>
        <v/>
      </c>
      <c r="W24" s="1" t="str" cm="1">
        <f t="array" ref="W24">IF(OR(W$1="",EXP_MATRIX!$C24=""),"",PRODUCT(IF(NOT(ISERROR(FIND(EXP_MATRIX!$B$1:$Z$1,W$1))),EXP_MATRIX!$B24:$Z24,1))^IF(ISERROR(FIND("2",W$1)),1,2))</f>
        <v/>
      </c>
      <c r="X24" s="1" t="str" cm="1">
        <f t="array" ref="X24">IF(OR(X$1="",EXP_MATRIX!$C24=""),"",PRODUCT(IF(NOT(ISERROR(FIND(EXP_MATRIX!$B$1:$Z$1,X$1))),EXP_MATRIX!$B24:$Z24,1))^IF(ISERROR(FIND("2",X$1)),1,2))</f>
        <v/>
      </c>
      <c r="Y24" s="1" t="str" cm="1">
        <f t="array" ref="Y24">IF(OR(Y$1="",EXP_MATRIX!$C24=""),"",PRODUCT(IF(NOT(ISERROR(FIND(EXP_MATRIX!$B$1:$Z$1,Y$1))),EXP_MATRIX!$B24:$Z24,1))^IF(ISERROR(FIND("2",Y$1)),1,2))</f>
        <v/>
      </c>
      <c r="Z24" s="1" t="str" cm="1">
        <f t="array" ref="Z24">IF(OR(Z$1="",EXP_MATRIX!$C24=""),"",PRODUCT(IF(NOT(ISERROR(FIND(EXP_MATRIX!$B$1:$Z$1,Z$1))),EXP_MATRIX!$B24:$Z24,1))^IF(ISERROR(FIND("2",Z$1)),1,2))</f>
        <v/>
      </c>
      <c r="AA24" s="1" t="str" cm="1">
        <f t="array" ref="AA24">IF(OR(AA$1="",EXP_MATRIX!$C24=""),"",PRODUCT(IF(NOT(ISERROR(FIND(EXP_MATRIX!$B$1:$Z$1,AA$1))),EXP_MATRIX!$B24:$Z24,1))^IF(ISERROR(FIND("2",AA$1)),1,2))</f>
        <v/>
      </c>
    </row>
    <row r="25" spans="1:27" x14ac:dyDescent="0.25">
      <c r="A25">
        <v>24</v>
      </c>
      <c r="B25" s="1" cm="1">
        <f t="array" ref="B25">IF(OR(B$1="",EXP_MATRIX!$C25=""),"",PRODUCT(IF(NOT(ISERROR(FIND(EXP_MATRIX!$B$1:$Z$1,B$1))),EXP_MATRIX!$B25:$Z25,1))^IF(ISERROR(FIND("2",B$1)),1,2))</f>
        <v>7.0592920187499999</v>
      </c>
      <c r="C25" s="1" cm="1">
        <f t="array" ref="C25">IF(OR(C$1="",EXP_MATRIX!$C25=""),"",PRODUCT(IF(NOT(ISERROR(FIND(EXP_MATRIX!$B$1:$Z$1,C$1))),EXP_MATRIX!$B25:$Z25,1))^IF(ISERROR(FIND("2",C$1)),1,2))</f>
        <v>1</v>
      </c>
      <c r="D25" s="1" cm="1">
        <f t="array" ref="D25">IF(OR(D$1="",EXP_MATRIX!$C25=""),"",PRODUCT(IF(NOT(ISERROR(FIND(EXP_MATRIX!$B$1:$Z$1,D$1))),EXP_MATRIX!$B25:$Z25,1))^IF(ISERROR(FIND("2",D$1)),1,2))</f>
        <v>1</v>
      </c>
      <c r="E25" s="1" cm="1">
        <f t="array" ref="E25">IF(OR(E$1="",EXP_MATRIX!$C25=""),"",PRODUCT(IF(NOT(ISERROR(FIND(EXP_MATRIX!$B$1:$Z$1,E$1))),EXP_MATRIX!$B25:$Z25,1))^IF(ISERROR(FIND("2",E$1)),1,2))</f>
        <v>1</v>
      </c>
      <c r="F25" s="1" cm="1">
        <f t="array" ref="F25">IF(OR(F$1="",EXP_MATRIX!$C25=""),"",PRODUCT(IF(NOT(ISERROR(FIND(EXP_MATRIX!$B$1:$Z$1,F$1))),EXP_MATRIX!$B25:$Z25,1))^IF(ISERROR(FIND("2",F$1)),1,2))</f>
        <v>1</v>
      </c>
      <c r="G25" s="1" cm="1">
        <f t="array" ref="G25">IF(OR(G$1="",EXP_MATRIX!$C25=""),"",PRODUCT(IF(NOT(ISERROR(FIND(EXP_MATRIX!$B$1:$Z$1,G$1))),EXP_MATRIX!$B25:$Z25,1))^IF(ISERROR(FIND("2",G$1)),1,2))</f>
        <v>1</v>
      </c>
      <c r="H25" s="1" t="str" cm="1">
        <f t="array" ref="H25">IF(OR(H$1="",EXP_MATRIX!$C25=""),"",PRODUCT(IF(NOT(ISERROR(FIND(EXP_MATRIX!$B$1:$Z$1,H$1))),EXP_MATRIX!$B25:$Z25,1))^IF(ISERROR(FIND("2",H$1)),1,2))</f>
        <v/>
      </c>
      <c r="I25" s="1" t="str" cm="1">
        <f t="array" ref="I25">IF(OR(I$1="",EXP_MATRIX!$C25=""),"",PRODUCT(IF(NOT(ISERROR(FIND(EXP_MATRIX!$B$1:$Z$1,I$1))),EXP_MATRIX!$B25:$Z25,1))^IF(ISERROR(FIND("2",I$1)),1,2))</f>
        <v/>
      </c>
      <c r="J25" s="1" t="str" cm="1">
        <f t="array" ref="J25">IF(OR(J$1="",EXP_MATRIX!$C25=""),"",PRODUCT(IF(NOT(ISERROR(FIND(EXP_MATRIX!$B$1:$Z$1,J$1))),EXP_MATRIX!$B25:$Z25,1))^IF(ISERROR(FIND("2",J$1)),1,2))</f>
        <v/>
      </c>
      <c r="K25" s="1" t="str" cm="1">
        <f t="array" ref="K25">IF(OR(K$1="",EXP_MATRIX!$C25=""),"",PRODUCT(IF(NOT(ISERROR(FIND(EXP_MATRIX!$B$1:$Z$1,K$1))),EXP_MATRIX!$B25:$Z25,1))^IF(ISERROR(FIND("2",K$1)),1,2))</f>
        <v/>
      </c>
      <c r="L25" s="1" t="str" cm="1">
        <f t="array" ref="L25">IF(OR(L$1="",EXP_MATRIX!$C25=""),"",PRODUCT(IF(NOT(ISERROR(FIND(EXP_MATRIX!$B$1:$Z$1,L$1))),EXP_MATRIX!$B25:$Z25,1))^IF(ISERROR(FIND("2",L$1)),1,2))</f>
        <v/>
      </c>
      <c r="M25" s="1" t="str" cm="1">
        <f t="array" ref="M25">IF(OR(M$1="",EXP_MATRIX!$C25=""),"",PRODUCT(IF(NOT(ISERROR(FIND(EXP_MATRIX!$B$1:$Z$1,M$1))),EXP_MATRIX!$B25:$Z25,1))^IF(ISERROR(FIND("2",M$1)),1,2))</f>
        <v/>
      </c>
      <c r="N25" s="1" t="str" cm="1">
        <f t="array" ref="N25">IF(OR(N$1="",EXP_MATRIX!$C25=""),"",PRODUCT(IF(NOT(ISERROR(FIND(EXP_MATRIX!$B$1:$Z$1,N$1))),EXP_MATRIX!$B25:$Z25,1))^IF(ISERROR(FIND("2",N$1)),1,2))</f>
        <v/>
      </c>
      <c r="O25" s="1" t="str" cm="1">
        <f t="array" ref="O25">IF(OR(O$1="",EXP_MATRIX!$C25=""),"",PRODUCT(IF(NOT(ISERROR(FIND(EXP_MATRIX!$B$1:$Z$1,O$1))),EXP_MATRIX!$B25:$Z25,1))^IF(ISERROR(FIND("2",O$1)),1,2))</f>
        <v/>
      </c>
      <c r="P25" s="1" t="str" cm="1">
        <f t="array" ref="P25">IF(OR(P$1="",EXP_MATRIX!$C25=""),"",PRODUCT(IF(NOT(ISERROR(FIND(EXP_MATRIX!$B$1:$Z$1,P$1))),EXP_MATRIX!$B25:$Z25,1))^IF(ISERROR(FIND("2",P$1)),1,2))</f>
        <v/>
      </c>
      <c r="Q25" s="1" t="str" cm="1">
        <f t="array" ref="Q25">IF(OR(Q$1="",EXP_MATRIX!$C25=""),"",PRODUCT(IF(NOT(ISERROR(FIND(EXP_MATRIX!$B$1:$Z$1,Q$1))),EXP_MATRIX!$B25:$Z25,1))^IF(ISERROR(FIND("2",Q$1)),1,2))</f>
        <v/>
      </c>
      <c r="R25" s="1" t="str" cm="1">
        <f t="array" ref="R25">IF(OR(R$1="",EXP_MATRIX!$C25=""),"",PRODUCT(IF(NOT(ISERROR(FIND(EXP_MATRIX!$B$1:$Z$1,R$1))),EXP_MATRIX!$B25:$Z25,1))^IF(ISERROR(FIND("2",R$1)),1,2))</f>
        <v/>
      </c>
      <c r="S25" s="1" t="str" cm="1">
        <f t="array" ref="S25">IF(OR(S$1="",EXP_MATRIX!$C25=""),"",PRODUCT(IF(NOT(ISERROR(FIND(EXP_MATRIX!$B$1:$Z$1,S$1))),EXP_MATRIX!$B25:$Z25,1))^IF(ISERROR(FIND("2",S$1)),1,2))</f>
        <v/>
      </c>
      <c r="T25" s="1" t="str" cm="1">
        <f t="array" ref="T25">IF(OR(T$1="",EXP_MATRIX!$C25=""),"",PRODUCT(IF(NOT(ISERROR(FIND(EXP_MATRIX!$B$1:$Z$1,T$1))),EXP_MATRIX!$B25:$Z25,1))^IF(ISERROR(FIND("2",T$1)),1,2))</f>
        <v/>
      </c>
      <c r="U25" s="1" t="str" cm="1">
        <f t="array" ref="U25">IF(OR(U$1="",EXP_MATRIX!$C25=""),"",PRODUCT(IF(NOT(ISERROR(FIND(EXP_MATRIX!$B$1:$Z$1,U$1))),EXP_MATRIX!$B25:$Z25,1))^IF(ISERROR(FIND("2",U$1)),1,2))</f>
        <v/>
      </c>
      <c r="V25" s="1" t="str" cm="1">
        <f t="array" ref="V25">IF(OR(V$1="",EXP_MATRIX!$C25=""),"",PRODUCT(IF(NOT(ISERROR(FIND(EXP_MATRIX!$B$1:$Z$1,V$1))),EXP_MATRIX!$B25:$Z25,1))^IF(ISERROR(FIND("2",V$1)),1,2))</f>
        <v/>
      </c>
      <c r="W25" s="1" t="str" cm="1">
        <f t="array" ref="W25">IF(OR(W$1="",EXP_MATRIX!$C25=""),"",PRODUCT(IF(NOT(ISERROR(FIND(EXP_MATRIX!$B$1:$Z$1,W$1))),EXP_MATRIX!$B25:$Z25,1))^IF(ISERROR(FIND("2",W$1)),1,2))</f>
        <v/>
      </c>
      <c r="X25" s="1" t="str" cm="1">
        <f t="array" ref="X25">IF(OR(X$1="",EXP_MATRIX!$C25=""),"",PRODUCT(IF(NOT(ISERROR(FIND(EXP_MATRIX!$B$1:$Z$1,X$1))),EXP_MATRIX!$B25:$Z25,1))^IF(ISERROR(FIND("2",X$1)),1,2))</f>
        <v/>
      </c>
      <c r="Y25" s="1" t="str" cm="1">
        <f t="array" ref="Y25">IF(OR(Y$1="",EXP_MATRIX!$C25=""),"",PRODUCT(IF(NOT(ISERROR(FIND(EXP_MATRIX!$B$1:$Z$1,Y$1))),EXP_MATRIX!$B25:$Z25,1))^IF(ISERROR(FIND("2",Y$1)),1,2))</f>
        <v/>
      </c>
      <c r="Z25" s="1" t="str" cm="1">
        <f t="array" ref="Z25">IF(OR(Z$1="",EXP_MATRIX!$C25=""),"",PRODUCT(IF(NOT(ISERROR(FIND(EXP_MATRIX!$B$1:$Z$1,Z$1))),EXP_MATRIX!$B25:$Z25,1))^IF(ISERROR(FIND("2",Z$1)),1,2))</f>
        <v/>
      </c>
      <c r="AA25" s="1" t="str" cm="1">
        <f t="array" ref="AA25">IF(OR(AA$1="",EXP_MATRIX!$C25=""),"",PRODUCT(IF(NOT(ISERROR(FIND(EXP_MATRIX!$B$1:$Z$1,AA$1))),EXP_MATRIX!$B25:$Z25,1))^IF(ISERROR(FIND("2",AA$1)),1,2))</f>
        <v/>
      </c>
    </row>
    <row r="26" spans="1:27" x14ac:dyDescent="0.25">
      <c r="A26">
        <v>25</v>
      </c>
      <c r="B26" s="1" cm="1">
        <f t="array" ref="B26">IF(OR(B$1="",EXP_MATRIX!$C26=""),"",PRODUCT(IF(NOT(ISERROR(FIND(EXP_MATRIX!$B$1:$Z$1,B$1))),EXP_MATRIX!$B26:$Z26,1))^IF(ISERROR(FIND("2",B$1)),1,2))</f>
        <v>4.4412020187500003</v>
      </c>
      <c r="C26" s="1" cm="1">
        <f t="array" ref="C26">IF(OR(C$1="",EXP_MATRIX!$C26=""),"",PRODUCT(IF(NOT(ISERROR(FIND(EXP_MATRIX!$B$1:$Z$1,C$1))),EXP_MATRIX!$B26:$Z26,1))^IF(ISERROR(FIND("2",C$1)),1,2))</f>
        <v>-1</v>
      </c>
      <c r="D26" s="1" cm="1">
        <f t="array" ref="D26">IF(OR(D$1="",EXP_MATRIX!$C26=""),"",PRODUCT(IF(NOT(ISERROR(FIND(EXP_MATRIX!$B$1:$Z$1,D$1))),EXP_MATRIX!$B26:$Z26,1))^IF(ISERROR(FIND("2",D$1)),1,2))</f>
        <v>-1</v>
      </c>
      <c r="E26" s="1" cm="1">
        <f t="array" ref="E26">IF(OR(E$1="",EXP_MATRIX!$C26=""),"",PRODUCT(IF(NOT(ISERROR(FIND(EXP_MATRIX!$B$1:$Z$1,E$1))),EXP_MATRIX!$B26:$Z26,1))^IF(ISERROR(FIND("2",E$1)),1,2))</f>
        <v>1</v>
      </c>
      <c r="F26" s="1" cm="1">
        <f t="array" ref="F26">IF(OR(F$1="",EXP_MATRIX!$C26=""),"",PRODUCT(IF(NOT(ISERROR(FIND(EXP_MATRIX!$B$1:$Z$1,F$1))),EXP_MATRIX!$B26:$Z26,1))^IF(ISERROR(FIND("2",F$1)),1,2))</f>
        <v>1</v>
      </c>
      <c r="G26" s="1" cm="1">
        <f t="array" ref="G26">IF(OR(G$1="",EXP_MATRIX!$C26=""),"",PRODUCT(IF(NOT(ISERROR(FIND(EXP_MATRIX!$B$1:$Z$1,G$1))),EXP_MATRIX!$B26:$Z26,1))^IF(ISERROR(FIND("2",G$1)),1,2))</f>
        <v>-1</v>
      </c>
      <c r="H26" s="1" t="str" cm="1">
        <f t="array" ref="H26">IF(OR(H$1="",EXP_MATRIX!$C26=""),"",PRODUCT(IF(NOT(ISERROR(FIND(EXP_MATRIX!$B$1:$Z$1,H$1))),EXP_MATRIX!$B26:$Z26,1))^IF(ISERROR(FIND("2",H$1)),1,2))</f>
        <v/>
      </c>
      <c r="I26" s="1" t="str" cm="1">
        <f t="array" ref="I26">IF(OR(I$1="",EXP_MATRIX!$C26=""),"",PRODUCT(IF(NOT(ISERROR(FIND(EXP_MATRIX!$B$1:$Z$1,I$1))),EXP_MATRIX!$B26:$Z26,1))^IF(ISERROR(FIND("2",I$1)),1,2))</f>
        <v/>
      </c>
      <c r="J26" s="1" t="str" cm="1">
        <f t="array" ref="J26">IF(OR(J$1="",EXP_MATRIX!$C26=""),"",PRODUCT(IF(NOT(ISERROR(FIND(EXP_MATRIX!$B$1:$Z$1,J$1))),EXP_MATRIX!$B26:$Z26,1))^IF(ISERROR(FIND("2",J$1)),1,2))</f>
        <v/>
      </c>
      <c r="K26" s="1" t="str" cm="1">
        <f t="array" ref="K26">IF(OR(K$1="",EXP_MATRIX!$C26=""),"",PRODUCT(IF(NOT(ISERROR(FIND(EXP_MATRIX!$B$1:$Z$1,K$1))),EXP_MATRIX!$B26:$Z26,1))^IF(ISERROR(FIND("2",K$1)),1,2))</f>
        <v/>
      </c>
      <c r="L26" s="1" t="str" cm="1">
        <f t="array" ref="L26">IF(OR(L$1="",EXP_MATRIX!$C26=""),"",PRODUCT(IF(NOT(ISERROR(FIND(EXP_MATRIX!$B$1:$Z$1,L$1))),EXP_MATRIX!$B26:$Z26,1))^IF(ISERROR(FIND("2",L$1)),1,2))</f>
        <v/>
      </c>
      <c r="M26" s="1" t="str" cm="1">
        <f t="array" ref="M26">IF(OR(M$1="",EXP_MATRIX!$C26=""),"",PRODUCT(IF(NOT(ISERROR(FIND(EXP_MATRIX!$B$1:$Z$1,M$1))),EXP_MATRIX!$B26:$Z26,1))^IF(ISERROR(FIND("2",M$1)),1,2))</f>
        <v/>
      </c>
      <c r="N26" s="1" t="str" cm="1">
        <f t="array" ref="N26">IF(OR(N$1="",EXP_MATRIX!$C26=""),"",PRODUCT(IF(NOT(ISERROR(FIND(EXP_MATRIX!$B$1:$Z$1,N$1))),EXP_MATRIX!$B26:$Z26,1))^IF(ISERROR(FIND("2",N$1)),1,2))</f>
        <v/>
      </c>
      <c r="O26" s="1" t="str" cm="1">
        <f t="array" ref="O26">IF(OR(O$1="",EXP_MATRIX!$C26=""),"",PRODUCT(IF(NOT(ISERROR(FIND(EXP_MATRIX!$B$1:$Z$1,O$1))),EXP_MATRIX!$B26:$Z26,1))^IF(ISERROR(FIND("2",O$1)),1,2))</f>
        <v/>
      </c>
      <c r="P26" s="1" t="str" cm="1">
        <f t="array" ref="P26">IF(OR(P$1="",EXP_MATRIX!$C26=""),"",PRODUCT(IF(NOT(ISERROR(FIND(EXP_MATRIX!$B$1:$Z$1,P$1))),EXP_MATRIX!$B26:$Z26,1))^IF(ISERROR(FIND("2",P$1)),1,2))</f>
        <v/>
      </c>
      <c r="Q26" s="1" t="str" cm="1">
        <f t="array" ref="Q26">IF(OR(Q$1="",EXP_MATRIX!$C26=""),"",PRODUCT(IF(NOT(ISERROR(FIND(EXP_MATRIX!$B$1:$Z$1,Q$1))),EXP_MATRIX!$B26:$Z26,1))^IF(ISERROR(FIND("2",Q$1)),1,2))</f>
        <v/>
      </c>
      <c r="R26" s="1" t="str" cm="1">
        <f t="array" ref="R26">IF(OR(R$1="",EXP_MATRIX!$C26=""),"",PRODUCT(IF(NOT(ISERROR(FIND(EXP_MATRIX!$B$1:$Z$1,R$1))),EXP_MATRIX!$B26:$Z26,1))^IF(ISERROR(FIND("2",R$1)),1,2))</f>
        <v/>
      </c>
      <c r="S26" s="1" t="str" cm="1">
        <f t="array" ref="S26">IF(OR(S$1="",EXP_MATRIX!$C26=""),"",PRODUCT(IF(NOT(ISERROR(FIND(EXP_MATRIX!$B$1:$Z$1,S$1))),EXP_MATRIX!$B26:$Z26,1))^IF(ISERROR(FIND("2",S$1)),1,2))</f>
        <v/>
      </c>
      <c r="T26" s="1" t="str" cm="1">
        <f t="array" ref="T26">IF(OR(T$1="",EXP_MATRIX!$C26=""),"",PRODUCT(IF(NOT(ISERROR(FIND(EXP_MATRIX!$B$1:$Z$1,T$1))),EXP_MATRIX!$B26:$Z26,1))^IF(ISERROR(FIND("2",T$1)),1,2))</f>
        <v/>
      </c>
      <c r="U26" s="1" t="str" cm="1">
        <f t="array" ref="U26">IF(OR(U$1="",EXP_MATRIX!$C26=""),"",PRODUCT(IF(NOT(ISERROR(FIND(EXP_MATRIX!$B$1:$Z$1,U$1))),EXP_MATRIX!$B26:$Z26,1))^IF(ISERROR(FIND("2",U$1)),1,2))</f>
        <v/>
      </c>
      <c r="V26" s="1" t="str" cm="1">
        <f t="array" ref="V26">IF(OR(V$1="",EXP_MATRIX!$C26=""),"",PRODUCT(IF(NOT(ISERROR(FIND(EXP_MATRIX!$B$1:$Z$1,V$1))),EXP_MATRIX!$B26:$Z26,1))^IF(ISERROR(FIND("2",V$1)),1,2))</f>
        <v/>
      </c>
      <c r="W26" s="1" t="str" cm="1">
        <f t="array" ref="W26">IF(OR(W$1="",EXP_MATRIX!$C26=""),"",PRODUCT(IF(NOT(ISERROR(FIND(EXP_MATRIX!$B$1:$Z$1,W$1))),EXP_MATRIX!$B26:$Z26,1))^IF(ISERROR(FIND("2",W$1)),1,2))</f>
        <v/>
      </c>
      <c r="X26" s="1" t="str" cm="1">
        <f t="array" ref="X26">IF(OR(X$1="",EXP_MATRIX!$C26=""),"",PRODUCT(IF(NOT(ISERROR(FIND(EXP_MATRIX!$B$1:$Z$1,X$1))),EXP_MATRIX!$B26:$Z26,1))^IF(ISERROR(FIND("2",X$1)),1,2))</f>
        <v/>
      </c>
      <c r="Y26" s="1" t="str" cm="1">
        <f t="array" ref="Y26">IF(OR(Y$1="",EXP_MATRIX!$C26=""),"",PRODUCT(IF(NOT(ISERROR(FIND(EXP_MATRIX!$B$1:$Z$1,Y$1))),EXP_MATRIX!$B26:$Z26,1))^IF(ISERROR(FIND("2",Y$1)),1,2))</f>
        <v/>
      </c>
      <c r="Z26" s="1" t="str" cm="1">
        <f t="array" ref="Z26">IF(OR(Z$1="",EXP_MATRIX!$C26=""),"",PRODUCT(IF(NOT(ISERROR(FIND(EXP_MATRIX!$B$1:$Z$1,Z$1))),EXP_MATRIX!$B26:$Z26,1))^IF(ISERROR(FIND("2",Z$1)),1,2))</f>
        <v/>
      </c>
      <c r="AA26" s="1" t="str" cm="1">
        <f t="array" ref="AA26">IF(OR(AA$1="",EXP_MATRIX!$C26=""),"",PRODUCT(IF(NOT(ISERROR(FIND(EXP_MATRIX!$B$1:$Z$1,AA$1))),EXP_MATRIX!$B26:$Z26,1))^IF(ISERROR(FIND("2",AA$1)),1,2))</f>
        <v/>
      </c>
    </row>
    <row r="27" spans="1:27" x14ac:dyDescent="0.25">
      <c r="A27">
        <v>26</v>
      </c>
      <c r="B27" s="1" cm="1">
        <f t="array" ref="B27">IF(OR(B$1="",EXP_MATRIX!$C27=""),"",PRODUCT(IF(NOT(ISERROR(FIND(EXP_MATRIX!$B$1:$Z$1,B$1))),EXP_MATRIX!$B27:$Z27,1))^IF(ISERROR(FIND("2",B$1)),1,2))</f>
        <v>4.1802867687500003</v>
      </c>
      <c r="C27" s="1" cm="1">
        <f t="array" ref="C27">IF(OR(C$1="",EXP_MATRIX!$C27=""),"",PRODUCT(IF(NOT(ISERROR(FIND(EXP_MATRIX!$B$1:$Z$1,C$1))),EXP_MATRIX!$B27:$Z27,1))^IF(ISERROR(FIND("2",C$1)),1,2))</f>
        <v>1</v>
      </c>
      <c r="D27" s="1" cm="1">
        <f t="array" ref="D27">IF(OR(D$1="",EXP_MATRIX!$C27=""),"",PRODUCT(IF(NOT(ISERROR(FIND(EXP_MATRIX!$B$1:$Z$1,D$1))),EXP_MATRIX!$B27:$Z27,1))^IF(ISERROR(FIND("2",D$1)),1,2))</f>
        <v>-1</v>
      </c>
      <c r="E27" s="1" cm="1">
        <f t="array" ref="E27">IF(OR(E$1="",EXP_MATRIX!$C27=""),"",PRODUCT(IF(NOT(ISERROR(FIND(EXP_MATRIX!$B$1:$Z$1,E$1))),EXP_MATRIX!$B27:$Z27,1))^IF(ISERROR(FIND("2",E$1)),1,2))</f>
        <v>1</v>
      </c>
      <c r="F27" s="1" cm="1">
        <f t="array" ref="F27">IF(OR(F$1="",EXP_MATRIX!$C27=""),"",PRODUCT(IF(NOT(ISERROR(FIND(EXP_MATRIX!$B$1:$Z$1,F$1))),EXP_MATRIX!$B27:$Z27,1))^IF(ISERROR(FIND("2",F$1)),1,2))</f>
        <v>-1</v>
      </c>
      <c r="G27" s="1" cm="1">
        <f t="array" ref="G27">IF(OR(G$1="",EXP_MATRIX!$C27=""),"",PRODUCT(IF(NOT(ISERROR(FIND(EXP_MATRIX!$B$1:$Z$1,G$1))),EXP_MATRIX!$B27:$Z27,1))^IF(ISERROR(FIND("2",G$1)),1,2))</f>
        <v>1</v>
      </c>
      <c r="H27" s="1" t="str" cm="1">
        <f t="array" ref="H27">IF(OR(H$1="",EXP_MATRIX!$C27=""),"",PRODUCT(IF(NOT(ISERROR(FIND(EXP_MATRIX!$B$1:$Z$1,H$1))),EXP_MATRIX!$B27:$Z27,1))^IF(ISERROR(FIND("2",H$1)),1,2))</f>
        <v/>
      </c>
      <c r="I27" s="1" t="str" cm="1">
        <f t="array" ref="I27">IF(OR(I$1="",EXP_MATRIX!$C27=""),"",PRODUCT(IF(NOT(ISERROR(FIND(EXP_MATRIX!$B$1:$Z$1,I$1))),EXP_MATRIX!$B27:$Z27,1))^IF(ISERROR(FIND("2",I$1)),1,2))</f>
        <v/>
      </c>
      <c r="J27" s="1" t="str" cm="1">
        <f t="array" ref="J27">IF(OR(J$1="",EXP_MATRIX!$C27=""),"",PRODUCT(IF(NOT(ISERROR(FIND(EXP_MATRIX!$B$1:$Z$1,J$1))),EXP_MATRIX!$B27:$Z27,1))^IF(ISERROR(FIND("2",J$1)),1,2))</f>
        <v/>
      </c>
      <c r="K27" s="1" t="str" cm="1">
        <f t="array" ref="K27">IF(OR(K$1="",EXP_MATRIX!$C27=""),"",PRODUCT(IF(NOT(ISERROR(FIND(EXP_MATRIX!$B$1:$Z$1,K$1))),EXP_MATRIX!$B27:$Z27,1))^IF(ISERROR(FIND("2",K$1)),1,2))</f>
        <v/>
      </c>
      <c r="L27" s="1" t="str" cm="1">
        <f t="array" ref="L27">IF(OR(L$1="",EXP_MATRIX!$C27=""),"",PRODUCT(IF(NOT(ISERROR(FIND(EXP_MATRIX!$B$1:$Z$1,L$1))),EXP_MATRIX!$B27:$Z27,1))^IF(ISERROR(FIND("2",L$1)),1,2))</f>
        <v/>
      </c>
      <c r="M27" s="1" t="str" cm="1">
        <f t="array" ref="M27">IF(OR(M$1="",EXP_MATRIX!$C27=""),"",PRODUCT(IF(NOT(ISERROR(FIND(EXP_MATRIX!$B$1:$Z$1,M$1))),EXP_MATRIX!$B27:$Z27,1))^IF(ISERROR(FIND("2",M$1)),1,2))</f>
        <v/>
      </c>
      <c r="N27" s="1" t="str" cm="1">
        <f t="array" ref="N27">IF(OR(N$1="",EXP_MATRIX!$C27=""),"",PRODUCT(IF(NOT(ISERROR(FIND(EXP_MATRIX!$B$1:$Z$1,N$1))),EXP_MATRIX!$B27:$Z27,1))^IF(ISERROR(FIND("2",N$1)),1,2))</f>
        <v/>
      </c>
      <c r="O27" s="1" t="str" cm="1">
        <f t="array" ref="O27">IF(OR(O$1="",EXP_MATRIX!$C27=""),"",PRODUCT(IF(NOT(ISERROR(FIND(EXP_MATRIX!$B$1:$Z$1,O$1))),EXP_MATRIX!$B27:$Z27,1))^IF(ISERROR(FIND("2",O$1)),1,2))</f>
        <v/>
      </c>
      <c r="P27" s="1" t="str" cm="1">
        <f t="array" ref="P27">IF(OR(P$1="",EXP_MATRIX!$C27=""),"",PRODUCT(IF(NOT(ISERROR(FIND(EXP_MATRIX!$B$1:$Z$1,P$1))),EXP_MATRIX!$B27:$Z27,1))^IF(ISERROR(FIND("2",P$1)),1,2))</f>
        <v/>
      </c>
      <c r="Q27" s="1" t="str" cm="1">
        <f t="array" ref="Q27">IF(OR(Q$1="",EXP_MATRIX!$C27=""),"",PRODUCT(IF(NOT(ISERROR(FIND(EXP_MATRIX!$B$1:$Z$1,Q$1))),EXP_MATRIX!$B27:$Z27,1))^IF(ISERROR(FIND("2",Q$1)),1,2))</f>
        <v/>
      </c>
      <c r="R27" s="1" t="str" cm="1">
        <f t="array" ref="R27">IF(OR(R$1="",EXP_MATRIX!$C27=""),"",PRODUCT(IF(NOT(ISERROR(FIND(EXP_MATRIX!$B$1:$Z$1,R$1))),EXP_MATRIX!$B27:$Z27,1))^IF(ISERROR(FIND("2",R$1)),1,2))</f>
        <v/>
      </c>
      <c r="S27" s="1" t="str" cm="1">
        <f t="array" ref="S27">IF(OR(S$1="",EXP_MATRIX!$C27=""),"",PRODUCT(IF(NOT(ISERROR(FIND(EXP_MATRIX!$B$1:$Z$1,S$1))),EXP_MATRIX!$B27:$Z27,1))^IF(ISERROR(FIND("2",S$1)),1,2))</f>
        <v/>
      </c>
      <c r="T27" s="1" t="str" cm="1">
        <f t="array" ref="T27">IF(OR(T$1="",EXP_MATRIX!$C27=""),"",PRODUCT(IF(NOT(ISERROR(FIND(EXP_MATRIX!$B$1:$Z$1,T$1))),EXP_MATRIX!$B27:$Z27,1))^IF(ISERROR(FIND("2",T$1)),1,2))</f>
        <v/>
      </c>
      <c r="U27" s="1" t="str" cm="1">
        <f t="array" ref="U27">IF(OR(U$1="",EXP_MATRIX!$C27=""),"",PRODUCT(IF(NOT(ISERROR(FIND(EXP_MATRIX!$B$1:$Z$1,U$1))),EXP_MATRIX!$B27:$Z27,1))^IF(ISERROR(FIND("2",U$1)),1,2))</f>
        <v/>
      </c>
      <c r="V27" s="1" t="str" cm="1">
        <f t="array" ref="V27">IF(OR(V$1="",EXP_MATRIX!$C27=""),"",PRODUCT(IF(NOT(ISERROR(FIND(EXP_MATRIX!$B$1:$Z$1,V$1))),EXP_MATRIX!$B27:$Z27,1))^IF(ISERROR(FIND("2",V$1)),1,2))</f>
        <v/>
      </c>
      <c r="W27" s="1" t="str" cm="1">
        <f t="array" ref="W27">IF(OR(W$1="",EXP_MATRIX!$C27=""),"",PRODUCT(IF(NOT(ISERROR(FIND(EXP_MATRIX!$B$1:$Z$1,W$1))),EXP_MATRIX!$B27:$Z27,1))^IF(ISERROR(FIND("2",W$1)),1,2))</f>
        <v/>
      </c>
      <c r="X27" s="1" t="str" cm="1">
        <f t="array" ref="X27">IF(OR(X$1="",EXP_MATRIX!$C27=""),"",PRODUCT(IF(NOT(ISERROR(FIND(EXP_MATRIX!$B$1:$Z$1,X$1))),EXP_MATRIX!$B27:$Z27,1))^IF(ISERROR(FIND("2",X$1)),1,2))</f>
        <v/>
      </c>
      <c r="Y27" s="1" t="str" cm="1">
        <f t="array" ref="Y27">IF(OR(Y$1="",EXP_MATRIX!$C27=""),"",PRODUCT(IF(NOT(ISERROR(FIND(EXP_MATRIX!$B$1:$Z$1,Y$1))),EXP_MATRIX!$B27:$Z27,1))^IF(ISERROR(FIND("2",Y$1)),1,2))</f>
        <v/>
      </c>
      <c r="Z27" s="1" t="str" cm="1">
        <f t="array" ref="Z27">IF(OR(Z$1="",EXP_MATRIX!$C27=""),"",PRODUCT(IF(NOT(ISERROR(FIND(EXP_MATRIX!$B$1:$Z$1,Z$1))),EXP_MATRIX!$B27:$Z27,1))^IF(ISERROR(FIND("2",Z$1)),1,2))</f>
        <v/>
      </c>
      <c r="AA27" s="1" t="str" cm="1">
        <f t="array" ref="AA27">IF(OR(AA$1="",EXP_MATRIX!$C27=""),"",PRODUCT(IF(NOT(ISERROR(FIND(EXP_MATRIX!$B$1:$Z$1,AA$1))),EXP_MATRIX!$B27:$Z27,1))^IF(ISERROR(FIND("2",AA$1)),1,2))</f>
        <v/>
      </c>
    </row>
    <row r="28" spans="1:27" x14ac:dyDescent="0.25">
      <c r="A28">
        <v>27</v>
      </c>
      <c r="B28" s="1" cm="1">
        <f t="array" ref="B28">IF(OR(B$1="",EXP_MATRIX!$C28=""),"",PRODUCT(IF(NOT(ISERROR(FIND(EXP_MATRIX!$B$1:$Z$1,B$1))),EXP_MATRIX!$B28:$Z28,1))^IF(ISERROR(FIND("2",B$1)),1,2))</f>
        <v>5.6820480187499998</v>
      </c>
      <c r="C28" s="1" cm="1">
        <f t="array" ref="C28">IF(OR(C$1="",EXP_MATRIX!$C28=""),"",PRODUCT(IF(NOT(ISERROR(FIND(EXP_MATRIX!$B$1:$Z$1,C$1))),EXP_MATRIX!$B28:$Z28,1))^IF(ISERROR(FIND("2",C$1)),1,2))</f>
        <v>-1</v>
      </c>
      <c r="D28" s="1" cm="1">
        <f t="array" ref="D28">IF(OR(D$1="",EXP_MATRIX!$C28=""),"",PRODUCT(IF(NOT(ISERROR(FIND(EXP_MATRIX!$B$1:$Z$1,D$1))),EXP_MATRIX!$B28:$Z28,1))^IF(ISERROR(FIND("2",D$1)),1,2))</f>
        <v>-1</v>
      </c>
      <c r="E28" s="1" cm="1">
        <f t="array" ref="E28">IF(OR(E$1="",EXP_MATRIX!$C28=""),"",PRODUCT(IF(NOT(ISERROR(FIND(EXP_MATRIX!$B$1:$Z$1,E$1))),EXP_MATRIX!$B28:$Z28,1))^IF(ISERROR(FIND("2",E$1)),1,2))</f>
        <v>1</v>
      </c>
      <c r="F28" s="1" cm="1">
        <f t="array" ref="F28">IF(OR(F$1="",EXP_MATRIX!$C28=""),"",PRODUCT(IF(NOT(ISERROR(FIND(EXP_MATRIX!$B$1:$Z$1,F$1))),EXP_MATRIX!$B28:$Z28,1))^IF(ISERROR(FIND("2",F$1)),1,2))</f>
        <v>1</v>
      </c>
      <c r="G28" s="1" cm="1">
        <f t="array" ref="G28">IF(OR(G$1="",EXP_MATRIX!$C28=""),"",PRODUCT(IF(NOT(ISERROR(FIND(EXP_MATRIX!$B$1:$Z$1,G$1))),EXP_MATRIX!$B28:$Z28,1))^IF(ISERROR(FIND("2",G$1)),1,2))</f>
        <v>-1</v>
      </c>
      <c r="H28" s="1" t="str" cm="1">
        <f t="array" ref="H28">IF(OR(H$1="",EXP_MATRIX!$C28=""),"",PRODUCT(IF(NOT(ISERROR(FIND(EXP_MATRIX!$B$1:$Z$1,H$1))),EXP_MATRIX!$B28:$Z28,1))^IF(ISERROR(FIND("2",H$1)),1,2))</f>
        <v/>
      </c>
      <c r="I28" s="1" t="str" cm="1">
        <f t="array" ref="I28">IF(OR(I$1="",EXP_MATRIX!$C28=""),"",PRODUCT(IF(NOT(ISERROR(FIND(EXP_MATRIX!$B$1:$Z$1,I$1))),EXP_MATRIX!$B28:$Z28,1))^IF(ISERROR(FIND("2",I$1)),1,2))</f>
        <v/>
      </c>
      <c r="J28" s="1" t="str" cm="1">
        <f t="array" ref="J28">IF(OR(J$1="",EXP_MATRIX!$C28=""),"",PRODUCT(IF(NOT(ISERROR(FIND(EXP_MATRIX!$B$1:$Z$1,J$1))),EXP_MATRIX!$B28:$Z28,1))^IF(ISERROR(FIND("2",J$1)),1,2))</f>
        <v/>
      </c>
      <c r="K28" s="1" t="str" cm="1">
        <f t="array" ref="K28">IF(OR(K$1="",EXP_MATRIX!$C28=""),"",PRODUCT(IF(NOT(ISERROR(FIND(EXP_MATRIX!$B$1:$Z$1,K$1))),EXP_MATRIX!$B28:$Z28,1))^IF(ISERROR(FIND("2",K$1)),1,2))</f>
        <v/>
      </c>
      <c r="L28" s="1" t="str" cm="1">
        <f t="array" ref="L28">IF(OR(L$1="",EXP_MATRIX!$C28=""),"",PRODUCT(IF(NOT(ISERROR(FIND(EXP_MATRIX!$B$1:$Z$1,L$1))),EXP_MATRIX!$B28:$Z28,1))^IF(ISERROR(FIND("2",L$1)),1,2))</f>
        <v/>
      </c>
      <c r="M28" s="1" t="str" cm="1">
        <f t="array" ref="M28">IF(OR(M$1="",EXP_MATRIX!$C28=""),"",PRODUCT(IF(NOT(ISERROR(FIND(EXP_MATRIX!$B$1:$Z$1,M$1))),EXP_MATRIX!$B28:$Z28,1))^IF(ISERROR(FIND("2",M$1)),1,2))</f>
        <v/>
      </c>
      <c r="N28" s="1" t="str" cm="1">
        <f t="array" ref="N28">IF(OR(N$1="",EXP_MATRIX!$C28=""),"",PRODUCT(IF(NOT(ISERROR(FIND(EXP_MATRIX!$B$1:$Z$1,N$1))),EXP_MATRIX!$B28:$Z28,1))^IF(ISERROR(FIND("2",N$1)),1,2))</f>
        <v/>
      </c>
      <c r="O28" s="1" t="str" cm="1">
        <f t="array" ref="O28">IF(OR(O$1="",EXP_MATRIX!$C28=""),"",PRODUCT(IF(NOT(ISERROR(FIND(EXP_MATRIX!$B$1:$Z$1,O$1))),EXP_MATRIX!$B28:$Z28,1))^IF(ISERROR(FIND("2",O$1)),1,2))</f>
        <v/>
      </c>
      <c r="P28" s="1" t="str" cm="1">
        <f t="array" ref="P28">IF(OR(P$1="",EXP_MATRIX!$C28=""),"",PRODUCT(IF(NOT(ISERROR(FIND(EXP_MATRIX!$B$1:$Z$1,P$1))),EXP_MATRIX!$B28:$Z28,1))^IF(ISERROR(FIND("2",P$1)),1,2))</f>
        <v/>
      </c>
      <c r="Q28" s="1" t="str" cm="1">
        <f t="array" ref="Q28">IF(OR(Q$1="",EXP_MATRIX!$C28=""),"",PRODUCT(IF(NOT(ISERROR(FIND(EXP_MATRIX!$B$1:$Z$1,Q$1))),EXP_MATRIX!$B28:$Z28,1))^IF(ISERROR(FIND("2",Q$1)),1,2))</f>
        <v/>
      </c>
      <c r="R28" s="1" t="str" cm="1">
        <f t="array" ref="R28">IF(OR(R$1="",EXP_MATRIX!$C28=""),"",PRODUCT(IF(NOT(ISERROR(FIND(EXP_MATRIX!$B$1:$Z$1,R$1))),EXP_MATRIX!$B28:$Z28,1))^IF(ISERROR(FIND("2",R$1)),1,2))</f>
        <v/>
      </c>
      <c r="S28" s="1" t="str" cm="1">
        <f t="array" ref="S28">IF(OR(S$1="",EXP_MATRIX!$C28=""),"",PRODUCT(IF(NOT(ISERROR(FIND(EXP_MATRIX!$B$1:$Z$1,S$1))),EXP_MATRIX!$B28:$Z28,1))^IF(ISERROR(FIND("2",S$1)),1,2))</f>
        <v/>
      </c>
      <c r="T28" s="1" t="str" cm="1">
        <f t="array" ref="T28">IF(OR(T$1="",EXP_MATRIX!$C28=""),"",PRODUCT(IF(NOT(ISERROR(FIND(EXP_MATRIX!$B$1:$Z$1,T$1))),EXP_MATRIX!$B28:$Z28,1))^IF(ISERROR(FIND("2",T$1)),1,2))</f>
        <v/>
      </c>
      <c r="U28" s="1" t="str" cm="1">
        <f t="array" ref="U28">IF(OR(U$1="",EXP_MATRIX!$C28=""),"",PRODUCT(IF(NOT(ISERROR(FIND(EXP_MATRIX!$B$1:$Z$1,U$1))),EXP_MATRIX!$B28:$Z28,1))^IF(ISERROR(FIND("2",U$1)),1,2))</f>
        <v/>
      </c>
      <c r="V28" s="1" t="str" cm="1">
        <f t="array" ref="V28">IF(OR(V$1="",EXP_MATRIX!$C28=""),"",PRODUCT(IF(NOT(ISERROR(FIND(EXP_MATRIX!$B$1:$Z$1,V$1))),EXP_MATRIX!$B28:$Z28,1))^IF(ISERROR(FIND("2",V$1)),1,2))</f>
        <v/>
      </c>
      <c r="W28" s="1" t="str" cm="1">
        <f t="array" ref="W28">IF(OR(W$1="",EXP_MATRIX!$C28=""),"",PRODUCT(IF(NOT(ISERROR(FIND(EXP_MATRIX!$B$1:$Z$1,W$1))),EXP_MATRIX!$B28:$Z28,1))^IF(ISERROR(FIND("2",W$1)),1,2))</f>
        <v/>
      </c>
      <c r="X28" s="1" t="str" cm="1">
        <f t="array" ref="X28">IF(OR(X$1="",EXP_MATRIX!$C28=""),"",PRODUCT(IF(NOT(ISERROR(FIND(EXP_MATRIX!$B$1:$Z$1,X$1))),EXP_MATRIX!$B28:$Z28,1))^IF(ISERROR(FIND("2",X$1)),1,2))</f>
        <v/>
      </c>
      <c r="Y28" s="1" t="str" cm="1">
        <f t="array" ref="Y28">IF(OR(Y$1="",EXP_MATRIX!$C28=""),"",PRODUCT(IF(NOT(ISERROR(FIND(EXP_MATRIX!$B$1:$Z$1,Y$1))),EXP_MATRIX!$B28:$Z28,1))^IF(ISERROR(FIND("2",Y$1)),1,2))</f>
        <v/>
      </c>
      <c r="Z28" s="1" t="str" cm="1">
        <f t="array" ref="Z28">IF(OR(Z$1="",EXP_MATRIX!$C28=""),"",PRODUCT(IF(NOT(ISERROR(FIND(EXP_MATRIX!$B$1:$Z$1,Z$1))),EXP_MATRIX!$B28:$Z28,1))^IF(ISERROR(FIND("2",Z$1)),1,2))</f>
        <v/>
      </c>
      <c r="AA28" s="1" t="str" cm="1">
        <f t="array" ref="AA28">IF(OR(AA$1="",EXP_MATRIX!$C28=""),"",PRODUCT(IF(NOT(ISERROR(FIND(EXP_MATRIX!$B$1:$Z$1,AA$1))),EXP_MATRIX!$B28:$Z28,1))^IF(ISERROR(FIND("2",AA$1)),1,2))</f>
        <v/>
      </c>
    </row>
    <row r="29" spans="1:27" x14ac:dyDescent="0.25">
      <c r="A29">
        <v>28</v>
      </c>
      <c r="B29" s="1" cm="1">
        <f t="array" ref="B29">IF(OR(B$1="",EXP_MATRIX!$C29=""),"",PRODUCT(IF(NOT(ISERROR(FIND(EXP_MATRIX!$B$1:$Z$1,B$1))),EXP_MATRIX!$B29:$Z29,1))^IF(ISERROR(FIND("2",B$1)),1,2))</f>
        <v>5.7801725187499997</v>
      </c>
      <c r="C29" s="1" cm="1">
        <f t="array" ref="C29">IF(OR(C$1="",EXP_MATRIX!$C29=""),"",PRODUCT(IF(NOT(ISERROR(FIND(EXP_MATRIX!$B$1:$Z$1,C$1))),EXP_MATRIX!$B29:$Z29,1))^IF(ISERROR(FIND("2",C$1)),1,2))</f>
        <v>1</v>
      </c>
      <c r="D29" s="1" cm="1">
        <f t="array" ref="D29">IF(OR(D$1="",EXP_MATRIX!$C29=""),"",PRODUCT(IF(NOT(ISERROR(FIND(EXP_MATRIX!$B$1:$Z$1,D$1))),EXP_MATRIX!$B29:$Z29,1))^IF(ISERROR(FIND("2",D$1)),1,2))</f>
        <v>-1</v>
      </c>
      <c r="E29" s="1" cm="1">
        <f t="array" ref="E29">IF(OR(E$1="",EXP_MATRIX!$C29=""),"",PRODUCT(IF(NOT(ISERROR(FIND(EXP_MATRIX!$B$1:$Z$1,E$1))),EXP_MATRIX!$B29:$Z29,1))^IF(ISERROR(FIND("2",E$1)),1,2))</f>
        <v>1</v>
      </c>
      <c r="F29" s="1" cm="1">
        <f t="array" ref="F29">IF(OR(F$1="",EXP_MATRIX!$C29=""),"",PRODUCT(IF(NOT(ISERROR(FIND(EXP_MATRIX!$B$1:$Z$1,F$1))),EXP_MATRIX!$B29:$Z29,1))^IF(ISERROR(FIND("2",F$1)),1,2))</f>
        <v>-1</v>
      </c>
      <c r="G29" s="1" cm="1">
        <f t="array" ref="G29">IF(OR(G$1="",EXP_MATRIX!$C29=""),"",PRODUCT(IF(NOT(ISERROR(FIND(EXP_MATRIX!$B$1:$Z$1,G$1))),EXP_MATRIX!$B29:$Z29,1))^IF(ISERROR(FIND("2",G$1)),1,2))</f>
        <v>1</v>
      </c>
      <c r="H29" s="1" t="str" cm="1">
        <f t="array" ref="H29">IF(OR(H$1="",EXP_MATRIX!$C29=""),"",PRODUCT(IF(NOT(ISERROR(FIND(EXP_MATRIX!$B$1:$Z$1,H$1))),EXP_MATRIX!$B29:$Z29,1))^IF(ISERROR(FIND("2",H$1)),1,2))</f>
        <v/>
      </c>
      <c r="I29" s="1" t="str" cm="1">
        <f t="array" ref="I29">IF(OR(I$1="",EXP_MATRIX!$C29=""),"",PRODUCT(IF(NOT(ISERROR(FIND(EXP_MATRIX!$B$1:$Z$1,I$1))),EXP_MATRIX!$B29:$Z29,1))^IF(ISERROR(FIND("2",I$1)),1,2))</f>
        <v/>
      </c>
      <c r="J29" s="1" t="str" cm="1">
        <f t="array" ref="J29">IF(OR(J$1="",EXP_MATRIX!$C29=""),"",PRODUCT(IF(NOT(ISERROR(FIND(EXP_MATRIX!$B$1:$Z$1,J$1))),EXP_MATRIX!$B29:$Z29,1))^IF(ISERROR(FIND("2",J$1)),1,2))</f>
        <v/>
      </c>
      <c r="K29" s="1" t="str" cm="1">
        <f t="array" ref="K29">IF(OR(K$1="",EXP_MATRIX!$C29=""),"",PRODUCT(IF(NOT(ISERROR(FIND(EXP_MATRIX!$B$1:$Z$1,K$1))),EXP_MATRIX!$B29:$Z29,1))^IF(ISERROR(FIND("2",K$1)),1,2))</f>
        <v/>
      </c>
      <c r="L29" s="1" t="str" cm="1">
        <f t="array" ref="L29">IF(OR(L$1="",EXP_MATRIX!$C29=""),"",PRODUCT(IF(NOT(ISERROR(FIND(EXP_MATRIX!$B$1:$Z$1,L$1))),EXP_MATRIX!$B29:$Z29,1))^IF(ISERROR(FIND("2",L$1)),1,2))</f>
        <v/>
      </c>
      <c r="M29" s="1" t="str" cm="1">
        <f t="array" ref="M29">IF(OR(M$1="",EXP_MATRIX!$C29=""),"",PRODUCT(IF(NOT(ISERROR(FIND(EXP_MATRIX!$B$1:$Z$1,M$1))),EXP_MATRIX!$B29:$Z29,1))^IF(ISERROR(FIND("2",M$1)),1,2))</f>
        <v/>
      </c>
      <c r="N29" s="1" t="str" cm="1">
        <f t="array" ref="N29">IF(OR(N$1="",EXP_MATRIX!$C29=""),"",PRODUCT(IF(NOT(ISERROR(FIND(EXP_MATRIX!$B$1:$Z$1,N$1))),EXP_MATRIX!$B29:$Z29,1))^IF(ISERROR(FIND("2",N$1)),1,2))</f>
        <v/>
      </c>
      <c r="O29" s="1" t="str" cm="1">
        <f t="array" ref="O29">IF(OR(O$1="",EXP_MATRIX!$C29=""),"",PRODUCT(IF(NOT(ISERROR(FIND(EXP_MATRIX!$B$1:$Z$1,O$1))),EXP_MATRIX!$B29:$Z29,1))^IF(ISERROR(FIND("2",O$1)),1,2))</f>
        <v/>
      </c>
      <c r="P29" s="1" t="str" cm="1">
        <f t="array" ref="P29">IF(OR(P$1="",EXP_MATRIX!$C29=""),"",PRODUCT(IF(NOT(ISERROR(FIND(EXP_MATRIX!$B$1:$Z$1,P$1))),EXP_MATRIX!$B29:$Z29,1))^IF(ISERROR(FIND("2",P$1)),1,2))</f>
        <v/>
      </c>
      <c r="Q29" s="1" t="str" cm="1">
        <f t="array" ref="Q29">IF(OR(Q$1="",EXP_MATRIX!$C29=""),"",PRODUCT(IF(NOT(ISERROR(FIND(EXP_MATRIX!$B$1:$Z$1,Q$1))),EXP_MATRIX!$B29:$Z29,1))^IF(ISERROR(FIND("2",Q$1)),1,2))</f>
        <v/>
      </c>
      <c r="R29" s="1" t="str" cm="1">
        <f t="array" ref="R29">IF(OR(R$1="",EXP_MATRIX!$C29=""),"",PRODUCT(IF(NOT(ISERROR(FIND(EXP_MATRIX!$B$1:$Z$1,R$1))),EXP_MATRIX!$B29:$Z29,1))^IF(ISERROR(FIND("2",R$1)),1,2))</f>
        <v/>
      </c>
      <c r="S29" s="1" t="str" cm="1">
        <f t="array" ref="S29">IF(OR(S$1="",EXP_MATRIX!$C29=""),"",PRODUCT(IF(NOT(ISERROR(FIND(EXP_MATRIX!$B$1:$Z$1,S$1))),EXP_MATRIX!$B29:$Z29,1))^IF(ISERROR(FIND("2",S$1)),1,2))</f>
        <v/>
      </c>
      <c r="T29" s="1" t="str" cm="1">
        <f t="array" ref="T29">IF(OR(T$1="",EXP_MATRIX!$C29=""),"",PRODUCT(IF(NOT(ISERROR(FIND(EXP_MATRIX!$B$1:$Z$1,T$1))),EXP_MATRIX!$B29:$Z29,1))^IF(ISERROR(FIND("2",T$1)),1,2))</f>
        <v/>
      </c>
      <c r="U29" s="1" t="str" cm="1">
        <f t="array" ref="U29">IF(OR(U$1="",EXP_MATRIX!$C29=""),"",PRODUCT(IF(NOT(ISERROR(FIND(EXP_MATRIX!$B$1:$Z$1,U$1))),EXP_MATRIX!$B29:$Z29,1))^IF(ISERROR(FIND("2",U$1)),1,2))</f>
        <v/>
      </c>
      <c r="V29" s="1" t="str" cm="1">
        <f t="array" ref="V29">IF(OR(V$1="",EXP_MATRIX!$C29=""),"",PRODUCT(IF(NOT(ISERROR(FIND(EXP_MATRIX!$B$1:$Z$1,V$1))),EXP_MATRIX!$B29:$Z29,1))^IF(ISERROR(FIND("2",V$1)),1,2))</f>
        <v/>
      </c>
      <c r="W29" s="1" t="str" cm="1">
        <f t="array" ref="W29">IF(OR(W$1="",EXP_MATRIX!$C29=""),"",PRODUCT(IF(NOT(ISERROR(FIND(EXP_MATRIX!$B$1:$Z$1,W$1))),EXP_MATRIX!$B29:$Z29,1))^IF(ISERROR(FIND("2",W$1)),1,2))</f>
        <v/>
      </c>
      <c r="X29" s="1" t="str" cm="1">
        <f t="array" ref="X29">IF(OR(X$1="",EXP_MATRIX!$C29=""),"",PRODUCT(IF(NOT(ISERROR(FIND(EXP_MATRIX!$B$1:$Z$1,X$1))),EXP_MATRIX!$B29:$Z29,1))^IF(ISERROR(FIND("2",X$1)),1,2))</f>
        <v/>
      </c>
      <c r="Y29" s="1" t="str" cm="1">
        <f t="array" ref="Y29">IF(OR(Y$1="",EXP_MATRIX!$C29=""),"",PRODUCT(IF(NOT(ISERROR(FIND(EXP_MATRIX!$B$1:$Z$1,Y$1))),EXP_MATRIX!$B29:$Z29,1))^IF(ISERROR(FIND("2",Y$1)),1,2))</f>
        <v/>
      </c>
      <c r="Z29" s="1" t="str" cm="1">
        <f t="array" ref="Z29">IF(OR(Z$1="",EXP_MATRIX!$C29=""),"",PRODUCT(IF(NOT(ISERROR(FIND(EXP_MATRIX!$B$1:$Z$1,Z$1))),EXP_MATRIX!$B29:$Z29,1))^IF(ISERROR(FIND("2",Z$1)),1,2))</f>
        <v/>
      </c>
      <c r="AA29" s="1" t="str" cm="1">
        <f t="array" ref="AA29">IF(OR(AA$1="",EXP_MATRIX!$C29=""),"",PRODUCT(IF(NOT(ISERROR(FIND(EXP_MATRIX!$B$1:$Z$1,AA$1))),EXP_MATRIX!$B29:$Z29,1))^IF(ISERROR(FIND("2",AA$1)),1,2))</f>
        <v/>
      </c>
    </row>
    <row r="30" spans="1:27" x14ac:dyDescent="0.25">
      <c r="A30">
        <v>29</v>
      </c>
      <c r="B30" s="1" cm="1">
        <f t="array" ref="B30">IF(OR(B$1="",EXP_MATRIX!$C30=""),"",PRODUCT(IF(NOT(ISERROR(FIND(EXP_MATRIX!$B$1:$Z$1,B$1))),EXP_MATRIX!$B30:$Z30,1))^IF(ISERROR(FIND("2",B$1)),1,2))</f>
        <v>8.7397320187500007</v>
      </c>
      <c r="C30" s="1" cm="1">
        <f t="array" ref="C30">IF(OR(C$1="",EXP_MATRIX!$C30=""),"",PRODUCT(IF(NOT(ISERROR(FIND(EXP_MATRIX!$B$1:$Z$1,C$1))),EXP_MATRIX!$B30:$Z30,1))^IF(ISERROR(FIND("2",C$1)),1,2))</f>
        <v>-1</v>
      </c>
      <c r="D30" s="1" cm="1">
        <f t="array" ref="D30">IF(OR(D$1="",EXP_MATRIX!$C30=""),"",PRODUCT(IF(NOT(ISERROR(FIND(EXP_MATRIX!$B$1:$Z$1,D$1))),EXP_MATRIX!$B30:$Z30,1))^IF(ISERROR(FIND("2",D$1)),1,2))</f>
        <v>1</v>
      </c>
      <c r="E30" s="1" cm="1">
        <f t="array" ref="E30">IF(OR(E$1="",EXP_MATRIX!$C30=""),"",PRODUCT(IF(NOT(ISERROR(FIND(EXP_MATRIX!$B$1:$Z$1,E$1))),EXP_MATRIX!$B30:$Z30,1))^IF(ISERROR(FIND("2",E$1)),1,2))</f>
        <v>1</v>
      </c>
      <c r="F30" s="1" cm="1">
        <f t="array" ref="F30">IF(OR(F$1="",EXP_MATRIX!$C30=""),"",PRODUCT(IF(NOT(ISERROR(FIND(EXP_MATRIX!$B$1:$Z$1,F$1))),EXP_MATRIX!$B30:$Z30,1))^IF(ISERROR(FIND("2",F$1)),1,2))</f>
        <v>-1</v>
      </c>
      <c r="G30" s="1" cm="1">
        <f t="array" ref="G30">IF(OR(G$1="",EXP_MATRIX!$C30=""),"",PRODUCT(IF(NOT(ISERROR(FIND(EXP_MATRIX!$B$1:$Z$1,G$1))),EXP_MATRIX!$B30:$Z30,1))^IF(ISERROR(FIND("2",G$1)),1,2))</f>
        <v>-1</v>
      </c>
      <c r="H30" s="1" t="str" cm="1">
        <f t="array" ref="H30">IF(OR(H$1="",EXP_MATRIX!$C30=""),"",PRODUCT(IF(NOT(ISERROR(FIND(EXP_MATRIX!$B$1:$Z$1,H$1))),EXP_MATRIX!$B30:$Z30,1))^IF(ISERROR(FIND("2",H$1)),1,2))</f>
        <v/>
      </c>
      <c r="I30" s="1" t="str" cm="1">
        <f t="array" ref="I30">IF(OR(I$1="",EXP_MATRIX!$C30=""),"",PRODUCT(IF(NOT(ISERROR(FIND(EXP_MATRIX!$B$1:$Z$1,I$1))),EXP_MATRIX!$B30:$Z30,1))^IF(ISERROR(FIND("2",I$1)),1,2))</f>
        <v/>
      </c>
      <c r="J30" s="1" t="str" cm="1">
        <f t="array" ref="J30">IF(OR(J$1="",EXP_MATRIX!$C30=""),"",PRODUCT(IF(NOT(ISERROR(FIND(EXP_MATRIX!$B$1:$Z$1,J$1))),EXP_MATRIX!$B30:$Z30,1))^IF(ISERROR(FIND("2",J$1)),1,2))</f>
        <v/>
      </c>
      <c r="K30" s="1" t="str" cm="1">
        <f t="array" ref="K30">IF(OR(K$1="",EXP_MATRIX!$C30=""),"",PRODUCT(IF(NOT(ISERROR(FIND(EXP_MATRIX!$B$1:$Z$1,K$1))),EXP_MATRIX!$B30:$Z30,1))^IF(ISERROR(FIND("2",K$1)),1,2))</f>
        <v/>
      </c>
      <c r="L30" s="1" t="str" cm="1">
        <f t="array" ref="L30">IF(OR(L$1="",EXP_MATRIX!$C30=""),"",PRODUCT(IF(NOT(ISERROR(FIND(EXP_MATRIX!$B$1:$Z$1,L$1))),EXP_MATRIX!$B30:$Z30,1))^IF(ISERROR(FIND("2",L$1)),1,2))</f>
        <v/>
      </c>
      <c r="M30" s="1" t="str" cm="1">
        <f t="array" ref="M30">IF(OR(M$1="",EXP_MATRIX!$C30=""),"",PRODUCT(IF(NOT(ISERROR(FIND(EXP_MATRIX!$B$1:$Z$1,M$1))),EXP_MATRIX!$B30:$Z30,1))^IF(ISERROR(FIND("2",M$1)),1,2))</f>
        <v/>
      </c>
      <c r="N30" s="1" t="str" cm="1">
        <f t="array" ref="N30">IF(OR(N$1="",EXP_MATRIX!$C30=""),"",PRODUCT(IF(NOT(ISERROR(FIND(EXP_MATRIX!$B$1:$Z$1,N$1))),EXP_MATRIX!$B30:$Z30,1))^IF(ISERROR(FIND("2",N$1)),1,2))</f>
        <v/>
      </c>
      <c r="O30" s="1" t="str" cm="1">
        <f t="array" ref="O30">IF(OR(O$1="",EXP_MATRIX!$C30=""),"",PRODUCT(IF(NOT(ISERROR(FIND(EXP_MATRIX!$B$1:$Z$1,O$1))),EXP_MATRIX!$B30:$Z30,1))^IF(ISERROR(FIND("2",O$1)),1,2))</f>
        <v/>
      </c>
      <c r="P30" s="1" t="str" cm="1">
        <f t="array" ref="P30">IF(OR(P$1="",EXP_MATRIX!$C30=""),"",PRODUCT(IF(NOT(ISERROR(FIND(EXP_MATRIX!$B$1:$Z$1,P$1))),EXP_MATRIX!$B30:$Z30,1))^IF(ISERROR(FIND("2",P$1)),1,2))</f>
        <v/>
      </c>
      <c r="Q30" s="1" t="str" cm="1">
        <f t="array" ref="Q30">IF(OR(Q$1="",EXP_MATRIX!$C30=""),"",PRODUCT(IF(NOT(ISERROR(FIND(EXP_MATRIX!$B$1:$Z$1,Q$1))),EXP_MATRIX!$B30:$Z30,1))^IF(ISERROR(FIND("2",Q$1)),1,2))</f>
        <v/>
      </c>
      <c r="R30" s="1" t="str" cm="1">
        <f t="array" ref="R30">IF(OR(R$1="",EXP_MATRIX!$C30=""),"",PRODUCT(IF(NOT(ISERROR(FIND(EXP_MATRIX!$B$1:$Z$1,R$1))),EXP_MATRIX!$B30:$Z30,1))^IF(ISERROR(FIND("2",R$1)),1,2))</f>
        <v/>
      </c>
      <c r="S30" s="1" t="str" cm="1">
        <f t="array" ref="S30">IF(OR(S$1="",EXP_MATRIX!$C30=""),"",PRODUCT(IF(NOT(ISERROR(FIND(EXP_MATRIX!$B$1:$Z$1,S$1))),EXP_MATRIX!$B30:$Z30,1))^IF(ISERROR(FIND("2",S$1)),1,2))</f>
        <v/>
      </c>
      <c r="T30" s="1" t="str" cm="1">
        <f t="array" ref="T30">IF(OR(T$1="",EXP_MATRIX!$C30=""),"",PRODUCT(IF(NOT(ISERROR(FIND(EXP_MATRIX!$B$1:$Z$1,T$1))),EXP_MATRIX!$B30:$Z30,1))^IF(ISERROR(FIND("2",T$1)),1,2))</f>
        <v/>
      </c>
      <c r="U30" s="1" t="str" cm="1">
        <f t="array" ref="U30">IF(OR(U$1="",EXP_MATRIX!$C30=""),"",PRODUCT(IF(NOT(ISERROR(FIND(EXP_MATRIX!$B$1:$Z$1,U$1))),EXP_MATRIX!$B30:$Z30,1))^IF(ISERROR(FIND("2",U$1)),1,2))</f>
        <v/>
      </c>
      <c r="V30" s="1" t="str" cm="1">
        <f t="array" ref="V30">IF(OR(V$1="",EXP_MATRIX!$C30=""),"",PRODUCT(IF(NOT(ISERROR(FIND(EXP_MATRIX!$B$1:$Z$1,V$1))),EXP_MATRIX!$B30:$Z30,1))^IF(ISERROR(FIND("2",V$1)),1,2))</f>
        <v/>
      </c>
      <c r="W30" s="1" t="str" cm="1">
        <f t="array" ref="W30">IF(OR(W$1="",EXP_MATRIX!$C30=""),"",PRODUCT(IF(NOT(ISERROR(FIND(EXP_MATRIX!$B$1:$Z$1,W$1))),EXP_MATRIX!$B30:$Z30,1))^IF(ISERROR(FIND("2",W$1)),1,2))</f>
        <v/>
      </c>
      <c r="X30" s="1" t="str" cm="1">
        <f t="array" ref="X30">IF(OR(X$1="",EXP_MATRIX!$C30=""),"",PRODUCT(IF(NOT(ISERROR(FIND(EXP_MATRIX!$B$1:$Z$1,X$1))),EXP_MATRIX!$B30:$Z30,1))^IF(ISERROR(FIND("2",X$1)),1,2))</f>
        <v/>
      </c>
      <c r="Y30" s="1" t="str" cm="1">
        <f t="array" ref="Y30">IF(OR(Y$1="",EXP_MATRIX!$C30=""),"",PRODUCT(IF(NOT(ISERROR(FIND(EXP_MATRIX!$B$1:$Z$1,Y$1))),EXP_MATRIX!$B30:$Z30,1))^IF(ISERROR(FIND("2",Y$1)),1,2))</f>
        <v/>
      </c>
      <c r="Z30" s="1" t="str" cm="1">
        <f t="array" ref="Z30">IF(OR(Z$1="",EXP_MATRIX!$C30=""),"",PRODUCT(IF(NOT(ISERROR(FIND(EXP_MATRIX!$B$1:$Z$1,Z$1))),EXP_MATRIX!$B30:$Z30,1))^IF(ISERROR(FIND("2",Z$1)),1,2))</f>
        <v/>
      </c>
      <c r="AA30" s="1" t="str" cm="1">
        <f t="array" ref="AA30">IF(OR(AA$1="",EXP_MATRIX!$C30=""),"",PRODUCT(IF(NOT(ISERROR(FIND(EXP_MATRIX!$B$1:$Z$1,AA$1))),EXP_MATRIX!$B30:$Z30,1))^IF(ISERROR(FIND("2",AA$1)),1,2))</f>
        <v/>
      </c>
    </row>
    <row r="31" spans="1:27" x14ac:dyDescent="0.25">
      <c r="A31">
        <v>30</v>
      </c>
      <c r="B31" s="1" cm="1">
        <f t="array" ref="B31">IF(OR(B$1="",EXP_MATRIX!$C31=""),"",PRODUCT(IF(NOT(ISERROR(FIND(EXP_MATRIX!$B$1:$Z$1,B$1))),EXP_MATRIX!$B31:$Z31,1))^IF(ISERROR(FIND("2",B$1)),1,2))</f>
        <v>7.8388045187499999</v>
      </c>
      <c r="C31" s="1" cm="1">
        <f t="array" ref="C31">IF(OR(C$1="",EXP_MATRIX!$C31=""),"",PRODUCT(IF(NOT(ISERROR(FIND(EXP_MATRIX!$B$1:$Z$1,C$1))),EXP_MATRIX!$B31:$Z31,1))^IF(ISERROR(FIND("2",C$1)),1,2))</f>
        <v>1</v>
      </c>
      <c r="D31" s="1" cm="1">
        <f t="array" ref="D31">IF(OR(D$1="",EXP_MATRIX!$C31=""),"",PRODUCT(IF(NOT(ISERROR(FIND(EXP_MATRIX!$B$1:$Z$1,D$1))),EXP_MATRIX!$B31:$Z31,1))^IF(ISERROR(FIND("2",D$1)),1,2))</f>
        <v>1</v>
      </c>
      <c r="E31" s="1" cm="1">
        <f t="array" ref="E31">IF(OR(E$1="",EXP_MATRIX!$C31=""),"",PRODUCT(IF(NOT(ISERROR(FIND(EXP_MATRIX!$B$1:$Z$1,E$1))),EXP_MATRIX!$B31:$Z31,1))^IF(ISERROR(FIND("2",E$1)),1,2))</f>
        <v>1</v>
      </c>
      <c r="F31" s="1" cm="1">
        <f t="array" ref="F31">IF(OR(F$1="",EXP_MATRIX!$C31=""),"",PRODUCT(IF(NOT(ISERROR(FIND(EXP_MATRIX!$B$1:$Z$1,F$1))),EXP_MATRIX!$B31:$Z31,1))^IF(ISERROR(FIND("2",F$1)),1,2))</f>
        <v>1</v>
      </c>
      <c r="G31" s="1" cm="1">
        <f t="array" ref="G31">IF(OR(G$1="",EXP_MATRIX!$C31=""),"",PRODUCT(IF(NOT(ISERROR(FIND(EXP_MATRIX!$B$1:$Z$1,G$1))),EXP_MATRIX!$B31:$Z31,1))^IF(ISERROR(FIND("2",G$1)),1,2))</f>
        <v>1</v>
      </c>
      <c r="H31" s="1" t="str" cm="1">
        <f t="array" ref="H31">IF(OR(H$1="",EXP_MATRIX!$C31=""),"",PRODUCT(IF(NOT(ISERROR(FIND(EXP_MATRIX!$B$1:$Z$1,H$1))),EXP_MATRIX!$B31:$Z31,1))^IF(ISERROR(FIND("2",H$1)),1,2))</f>
        <v/>
      </c>
      <c r="I31" s="1" t="str" cm="1">
        <f t="array" ref="I31">IF(OR(I$1="",EXP_MATRIX!$C31=""),"",PRODUCT(IF(NOT(ISERROR(FIND(EXP_MATRIX!$B$1:$Z$1,I$1))),EXP_MATRIX!$B31:$Z31,1))^IF(ISERROR(FIND("2",I$1)),1,2))</f>
        <v/>
      </c>
      <c r="J31" s="1" t="str" cm="1">
        <f t="array" ref="J31">IF(OR(J$1="",EXP_MATRIX!$C31=""),"",PRODUCT(IF(NOT(ISERROR(FIND(EXP_MATRIX!$B$1:$Z$1,J$1))),EXP_MATRIX!$B31:$Z31,1))^IF(ISERROR(FIND("2",J$1)),1,2))</f>
        <v/>
      </c>
      <c r="K31" s="1" t="str" cm="1">
        <f t="array" ref="K31">IF(OR(K$1="",EXP_MATRIX!$C31=""),"",PRODUCT(IF(NOT(ISERROR(FIND(EXP_MATRIX!$B$1:$Z$1,K$1))),EXP_MATRIX!$B31:$Z31,1))^IF(ISERROR(FIND("2",K$1)),1,2))</f>
        <v/>
      </c>
      <c r="L31" s="1" t="str" cm="1">
        <f t="array" ref="L31">IF(OR(L$1="",EXP_MATRIX!$C31=""),"",PRODUCT(IF(NOT(ISERROR(FIND(EXP_MATRIX!$B$1:$Z$1,L$1))),EXP_MATRIX!$B31:$Z31,1))^IF(ISERROR(FIND("2",L$1)),1,2))</f>
        <v/>
      </c>
      <c r="M31" s="1" t="str" cm="1">
        <f t="array" ref="M31">IF(OR(M$1="",EXP_MATRIX!$C31=""),"",PRODUCT(IF(NOT(ISERROR(FIND(EXP_MATRIX!$B$1:$Z$1,M$1))),EXP_MATRIX!$B31:$Z31,1))^IF(ISERROR(FIND("2",M$1)),1,2))</f>
        <v/>
      </c>
      <c r="N31" s="1" t="str" cm="1">
        <f t="array" ref="N31">IF(OR(N$1="",EXP_MATRIX!$C31=""),"",PRODUCT(IF(NOT(ISERROR(FIND(EXP_MATRIX!$B$1:$Z$1,N$1))),EXP_MATRIX!$B31:$Z31,1))^IF(ISERROR(FIND("2",N$1)),1,2))</f>
        <v/>
      </c>
      <c r="O31" s="1" t="str" cm="1">
        <f t="array" ref="O31">IF(OR(O$1="",EXP_MATRIX!$C31=""),"",PRODUCT(IF(NOT(ISERROR(FIND(EXP_MATRIX!$B$1:$Z$1,O$1))),EXP_MATRIX!$B31:$Z31,1))^IF(ISERROR(FIND("2",O$1)),1,2))</f>
        <v/>
      </c>
      <c r="P31" s="1" t="str" cm="1">
        <f t="array" ref="P31">IF(OR(P$1="",EXP_MATRIX!$C31=""),"",PRODUCT(IF(NOT(ISERROR(FIND(EXP_MATRIX!$B$1:$Z$1,P$1))),EXP_MATRIX!$B31:$Z31,1))^IF(ISERROR(FIND("2",P$1)),1,2))</f>
        <v/>
      </c>
      <c r="Q31" s="1" t="str" cm="1">
        <f t="array" ref="Q31">IF(OR(Q$1="",EXP_MATRIX!$C31=""),"",PRODUCT(IF(NOT(ISERROR(FIND(EXP_MATRIX!$B$1:$Z$1,Q$1))),EXP_MATRIX!$B31:$Z31,1))^IF(ISERROR(FIND("2",Q$1)),1,2))</f>
        <v/>
      </c>
      <c r="R31" s="1" t="str" cm="1">
        <f t="array" ref="R31">IF(OR(R$1="",EXP_MATRIX!$C31=""),"",PRODUCT(IF(NOT(ISERROR(FIND(EXP_MATRIX!$B$1:$Z$1,R$1))),EXP_MATRIX!$B31:$Z31,1))^IF(ISERROR(FIND("2",R$1)),1,2))</f>
        <v/>
      </c>
      <c r="S31" s="1" t="str" cm="1">
        <f t="array" ref="S31">IF(OR(S$1="",EXP_MATRIX!$C31=""),"",PRODUCT(IF(NOT(ISERROR(FIND(EXP_MATRIX!$B$1:$Z$1,S$1))),EXP_MATRIX!$B31:$Z31,1))^IF(ISERROR(FIND("2",S$1)),1,2))</f>
        <v/>
      </c>
      <c r="T31" s="1" t="str" cm="1">
        <f t="array" ref="T31">IF(OR(T$1="",EXP_MATRIX!$C31=""),"",PRODUCT(IF(NOT(ISERROR(FIND(EXP_MATRIX!$B$1:$Z$1,T$1))),EXP_MATRIX!$B31:$Z31,1))^IF(ISERROR(FIND("2",T$1)),1,2))</f>
        <v/>
      </c>
      <c r="U31" s="1" t="str" cm="1">
        <f t="array" ref="U31">IF(OR(U$1="",EXP_MATRIX!$C31=""),"",PRODUCT(IF(NOT(ISERROR(FIND(EXP_MATRIX!$B$1:$Z$1,U$1))),EXP_MATRIX!$B31:$Z31,1))^IF(ISERROR(FIND("2",U$1)),1,2))</f>
        <v/>
      </c>
      <c r="V31" s="1" t="str" cm="1">
        <f t="array" ref="V31">IF(OR(V$1="",EXP_MATRIX!$C31=""),"",PRODUCT(IF(NOT(ISERROR(FIND(EXP_MATRIX!$B$1:$Z$1,V$1))),EXP_MATRIX!$B31:$Z31,1))^IF(ISERROR(FIND("2",V$1)),1,2))</f>
        <v/>
      </c>
      <c r="W31" s="1" t="str" cm="1">
        <f t="array" ref="W31">IF(OR(W$1="",EXP_MATRIX!$C31=""),"",PRODUCT(IF(NOT(ISERROR(FIND(EXP_MATRIX!$B$1:$Z$1,W$1))),EXP_MATRIX!$B31:$Z31,1))^IF(ISERROR(FIND("2",W$1)),1,2))</f>
        <v/>
      </c>
      <c r="X31" s="1" t="str" cm="1">
        <f t="array" ref="X31">IF(OR(X$1="",EXP_MATRIX!$C31=""),"",PRODUCT(IF(NOT(ISERROR(FIND(EXP_MATRIX!$B$1:$Z$1,X$1))),EXP_MATRIX!$B31:$Z31,1))^IF(ISERROR(FIND("2",X$1)),1,2))</f>
        <v/>
      </c>
      <c r="Y31" s="1" t="str" cm="1">
        <f t="array" ref="Y31">IF(OR(Y$1="",EXP_MATRIX!$C31=""),"",PRODUCT(IF(NOT(ISERROR(FIND(EXP_MATRIX!$B$1:$Z$1,Y$1))),EXP_MATRIX!$B31:$Z31,1))^IF(ISERROR(FIND("2",Y$1)),1,2))</f>
        <v/>
      </c>
      <c r="Z31" s="1" t="str" cm="1">
        <f t="array" ref="Z31">IF(OR(Z$1="",EXP_MATRIX!$C31=""),"",PRODUCT(IF(NOT(ISERROR(FIND(EXP_MATRIX!$B$1:$Z$1,Z$1))),EXP_MATRIX!$B31:$Z31,1))^IF(ISERROR(FIND("2",Z$1)),1,2))</f>
        <v/>
      </c>
      <c r="AA31" s="1" t="str" cm="1">
        <f t="array" ref="AA31">IF(OR(AA$1="",EXP_MATRIX!$C31=""),"",PRODUCT(IF(NOT(ISERROR(FIND(EXP_MATRIX!$B$1:$Z$1,AA$1))),EXP_MATRIX!$B31:$Z31,1))^IF(ISERROR(FIND("2",AA$1)),1,2))</f>
        <v/>
      </c>
    </row>
    <row r="32" spans="1:27" x14ac:dyDescent="0.25">
      <c r="A32">
        <v>31</v>
      </c>
      <c r="B32" s="1" cm="1">
        <f t="array" ref="B32">IF(OR(B$1="",EXP_MATRIX!$C32=""),"",PRODUCT(IF(NOT(ISERROR(FIND(EXP_MATRIX!$B$1:$Z$1,B$1))),EXP_MATRIX!$B32:$Z32,1))^IF(ISERROR(FIND("2",B$1)),1,2))</f>
        <v>7.2539075187500002</v>
      </c>
      <c r="C32" s="1" cm="1">
        <f t="array" ref="C32">IF(OR(C$1="",EXP_MATRIX!$C32=""),"",PRODUCT(IF(NOT(ISERROR(FIND(EXP_MATRIX!$B$1:$Z$1,C$1))),EXP_MATRIX!$B32:$Z32,1))^IF(ISERROR(FIND("2",C$1)),1,2))</f>
        <v>-1</v>
      </c>
      <c r="D32" s="1" cm="1">
        <f t="array" ref="D32">IF(OR(D$1="",EXP_MATRIX!$C32=""),"",PRODUCT(IF(NOT(ISERROR(FIND(EXP_MATRIX!$B$1:$Z$1,D$1))),EXP_MATRIX!$B32:$Z32,1))^IF(ISERROR(FIND("2",D$1)),1,2))</f>
        <v>1</v>
      </c>
      <c r="E32" s="1" cm="1">
        <f t="array" ref="E32">IF(OR(E$1="",EXP_MATRIX!$C32=""),"",PRODUCT(IF(NOT(ISERROR(FIND(EXP_MATRIX!$B$1:$Z$1,E$1))),EXP_MATRIX!$B32:$Z32,1))^IF(ISERROR(FIND("2",E$1)),1,2))</f>
        <v>1</v>
      </c>
      <c r="F32" s="1" cm="1">
        <f t="array" ref="F32">IF(OR(F$1="",EXP_MATRIX!$C32=""),"",PRODUCT(IF(NOT(ISERROR(FIND(EXP_MATRIX!$B$1:$Z$1,F$1))),EXP_MATRIX!$B32:$Z32,1))^IF(ISERROR(FIND("2",F$1)),1,2))</f>
        <v>-1</v>
      </c>
      <c r="G32" s="1" cm="1">
        <f t="array" ref="G32">IF(OR(G$1="",EXP_MATRIX!$C32=""),"",PRODUCT(IF(NOT(ISERROR(FIND(EXP_MATRIX!$B$1:$Z$1,G$1))),EXP_MATRIX!$B32:$Z32,1))^IF(ISERROR(FIND("2",G$1)),1,2))</f>
        <v>-1</v>
      </c>
      <c r="H32" s="1" t="str" cm="1">
        <f t="array" ref="H32">IF(OR(H$1="",EXP_MATRIX!$C32=""),"",PRODUCT(IF(NOT(ISERROR(FIND(EXP_MATRIX!$B$1:$Z$1,H$1))),EXP_MATRIX!$B32:$Z32,1))^IF(ISERROR(FIND("2",H$1)),1,2))</f>
        <v/>
      </c>
      <c r="I32" s="1" t="str" cm="1">
        <f t="array" ref="I32">IF(OR(I$1="",EXP_MATRIX!$C32=""),"",PRODUCT(IF(NOT(ISERROR(FIND(EXP_MATRIX!$B$1:$Z$1,I$1))),EXP_MATRIX!$B32:$Z32,1))^IF(ISERROR(FIND("2",I$1)),1,2))</f>
        <v/>
      </c>
      <c r="J32" s="1" t="str" cm="1">
        <f t="array" ref="J32">IF(OR(J$1="",EXP_MATRIX!$C32=""),"",PRODUCT(IF(NOT(ISERROR(FIND(EXP_MATRIX!$B$1:$Z$1,J$1))),EXP_MATRIX!$B32:$Z32,1))^IF(ISERROR(FIND("2",J$1)),1,2))</f>
        <v/>
      </c>
      <c r="K32" s="1" t="str" cm="1">
        <f t="array" ref="K32">IF(OR(K$1="",EXP_MATRIX!$C32=""),"",PRODUCT(IF(NOT(ISERROR(FIND(EXP_MATRIX!$B$1:$Z$1,K$1))),EXP_MATRIX!$B32:$Z32,1))^IF(ISERROR(FIND("2",K$1)),1,2))</f>
        <v/>
      </c>
      <c r="L32" s="1" t="str" cm="1">
        <f t="array" ref="L32">IF(OR(L$1="",EXP_MATRIX!$C32=""),"",PRODUCT(IF(NOT(ISERROR(FIND(EXP_MATRIX!$B$1:$Z$1,L$1))),EXP_MATRIX!$B32:$Z32,1))^IF(ISERROR(FIND("2",L$1)),1,2))</f>
        <v/>
      </c>
      <c r="M32" s="1" t="str" cm="1">
        <f t="array" ref="M32">IF(OR(M$1="",EXP_MATRIX!$C32=""),"",PRODUCT(IF(NOT(ISERROR(FIND(EXP_MATRIX!$B$1:$Z$1,M$1))),EXP_MATRIX!$B32:$Z32,1))^IF(ISERROR(FIND("2",M$1)),1,2))</f>
        <v/>
      </c>
      <c r="N32" s="1" t="str" cm="1">
        <f t="array" ref="N32">IF(OR(N$1="",EXP_MATRIX!$C32=""),"",PRODUCT(IF(NOT(ISERROR(FIND(EXP_MATRIX!$B$1:$Z$1,N$1))),EXP_MATRIX!$B32:$Z32,1))^IF(ISERROR(FIND("2",N$1)),1,2))</f>
        <v/>
      </c>
      <c r="O32" s="1" t="str" cm="1">
        <f t="array" ref="O32">IF(OR(O$1="",EXP_MATRIX!$C32=""),"",PRODUCT(IF(NOT(ISERROR(FIND(EXP_MATRIX!$B$1:$Z$1,O$1))),EXP_MATRIX!$B32:$Z32,1))^IF(ISERROR(FIND("2",O$1)),1,2))</f>
        <v/>
      </c>
      <c r="P32" s="1" t="str" cm="1">
        <f t="array" ref="P32">IF(OR(P$1="",EXP_MATRIX!$C32=""),"",PRODUCT(IF(NOT(ISERROR(FIND(EXP_MATRIX!$B$1:$Z$1,P$1))),EXP_MATRIX!$B32:$Z32,1))^IF(ISERROR(FIND("2",P$1)),1,2))</f>
        <v/>
      </c>
      <c r="Q32" s="1" t="str" cm="1">
        <f t="array" ref="Q32">IF(OR(Q$1="",EXP_MATRIX!$C32=""),"",PRODUCT(IF(NOT(ISERROR(FIND(EXP_MATRIX!$B$1:$Z$1,Q$1))),EXP_MATRIX!$B32:$Z32,1))^IF(ISERROR(FIND("2",Q$1)),1,2))</f>
        <v/>
      </c>
      <c r="R32" s="1" t="str" cm="1">
        <f t="array" ref="R32">IF(OR(R$1="",EXP_MATRIX!$C32=""),"",PRODUCT(IF(NOT(ISERROR(FIND(EXP_MATRIX!$B$1:$Z$1,R$1))),EXP_MATRIX!$B32:$Z32,1))^IF(ISERROR(FIND("2",R$1)),1,2))</f>
        <v/>
      </c>
      <c r="S32" s="1" t="str" cm="1">
        <f t="array" ref="S32">IF(OR(S$1="",EXP_MATRIX!$C32=""),"",PRODUCT(IF(NOT(ISERROR(FIND(EXP_MATRIX!$B$1:$Z$1,S$1))),EXP_MATRIX!$B32:$Z32,1))^IF(ISERROR(FIND("2",S$1)),1,2))</f>
        <v/>
      </c>
      <c r="T32" s="1" t="str" cm="1">
        <f t="array" ref="T32">IF(OR(T$1="",EXP_MATRIX!$C32=""),"",PRODUCT(IF(NOT(ISERROR(FIND(EXP_MATRIX!$B$1:$Z$1,T$1))),EXP_MATRIX!$B32:$Z32,1))^IF(ISERROR(FIND("2",T$1)),1,2))</f>
        <v/>
      </c>
      <c r="U32" s="1" t="str" cm="1">
        <f t="array" ref="U32">IF(OR(U$1="",EXP_MATRIX!$C32=""),"",PRODUCT(IF(NOT(ISERROR(FIND(EXP_MATRIX!$B$1:$Z$1,U$1))),EXP_MATRIX!$B32:$Z32,1))^IF(ISERROR(FIND("2",U$1)),1,2))</f>
        <v/>
      </c>
      <c r="V32" s="1" t="str" cm="1">
        <f t="array" ref="V32">IF(OR(V$1="",EXP_MATRIX!$C32=""),"",PRODUCT(IF(NOT(ISERROR(FIND(EXP_MATRIX!$B$1:$Z$1,V$1))),EXP_MATRIX!$B32:$Z32,1))^IF(ISERROR(FIND("2",V$1)),1,2))</f>
        <v/>
      </c>
      <c r="W32" s="1" t="str" cm="1">
        <f t="array" ref="W32">IF(OR(W$1="",EXP_MATRIX!$C32=""),"",PRODUCT(IF(NOT(ISERROR(FIND(EXP_MATRIX!$B$1:$Z$1,W$1))),EXP_MATRIX!$B32:$Z32,1))^IF(ISERROR(FIND("2",W$1)),1,2))</f>
        <v/>
      </c>
      <c r="X32" s="1" t="str" cm="1">
        <f t="array" ref="X32">IF(OR(X$1="",EXP_MATRIX!$C32=""),"",PRODUCT(IF(NOT(ISERROR(FIND(EXP_MATRIX!$B$1:$Z$1,X$1))),EXP_MATRIX!$B32:$Z32,1))^IF(ISERROR(FIND("2",X$1)),1,2))</f>
        <v/>
      </c>
      <c r="Y32" s="1" t="str" cm="1">
        <f t="array" ref="Y32">IF(OR(Y$1="",EXP_MATRIX!$C32=""),"",PRODUCT(IF(NOT(ISERROR(FIND(EXP_MATRIX!$B$1:$Z$1,Y$1))),EXP_MATRIX!$B32:$Z32,1))^IF(ISERROR(FIND("2",Y$1)),1,2))</f>
        <v/>
      </c>
      <c r="Z32" s="1" t="str" cm="1">
        <f t="array" ref="Z32">IF(OR(Z$1="",EXP_MATRIX!$C32=""),"",PRODUCT(IF(NOT(ISERROR(FIND(EXP_MATRIX!$B$1:$Z$1,Z$1))),EXP_MATRIX!$B32:$Z32,1))^IF(ISERROR(FIND("2",Z$1)),1,2))</f>
        <v/>
      </c>
      <c r="AA32" s="1" t="str" cm="1">
        <f t="array" ref="AA32">IF(OR(AA$1="",EXP_MATRIX!$C32=""),"",PRODUCT(IF(NOT(ISERROR(FIND(EXP_MATRIX!$B$1:$Z$1,AA$1))),EXP_MATRIX!$B32:$Z32,1))^IF(ISERROR(FIND("2",AA$1)),1,2))</f>
        <v/>
      </c>
    </row>
    <row r="33" spans="1:27" x14ac:dyDescent="0.25">
      <c r="A33">
        <v>32</v>
      </c>
      <c r="B33" s="1" cm="1">
        <f t="array" ref="B33">IF(OR(B$1="",EXP_MATRIX!$C33=""),"",PRODUCT(IF(NOT(ISERROR(FIND(EXP_MATRIX!$B$1:$Z$1,B$1))),EXP_MATRIX!$B33:$Z33,1))^IF(ISERROR(FIND("2",B$1)),1,2))</f>
        <v>7.2391970187499997</v>
      </c>
      <c r="C33" s="1" cm="1">
        <f t="array" ref="C33">IF(OR(C$1="",EXP_MATRIX!$C33=""),"",PRODUCT(IF(NOT(ISERROR(FIND(EXP_MATRIX!$B$1:$Z$1,C$1))),EXP_MATRIX!$B33:$Z33,1))^IF(ISERROR(FIND("2",C$1)),1,2))</f>
        <v>1</v>
      </c>
      <c r="D33" s="1" cm="1">
        <f t="array" ref="D33">IF(OR(D$1="",EXP_MATRIX!$C33=""),"",PRODUCT(IF(NOT(ISERROR(FIND(EXP_MATRIX!$B$1:$Z$1,D$1))),EXP_MATRIX!$B33:$Z33,1))^IF(ISERROR(FIND("2",D$1)),1,2))</f>
        <v>1</v>
      </c>
      <c r="E33" s="1" cm="1">
        <f t="array" ref="E33">IF(OR(E$1="",EXP_MATRIX!$C33=""),"",PRODUCT(IF(NOT(ISERROR(FIND(EXP_MATRIX!$B$1:$Z$1,E$1))),EXP_MATRIX!$B33:$Z33,1))^IF(ISERROR(FIND("2",E$1)),1,2))</f>
        <v>1</v>
      </c>
      <c r="F33" s="1" cm="1">
        <f t="array" ref="F33">IF(OR(F$1="",EXP_MATRIX!$C33=""),"",PRODUCT(IF(NOT(ISERROR(FIND(EXP_MATRIX!$B$1:$Z$1,F$1))),EXP_MATRIX!$B33:$Z33,1))^IF(ISERROR(FIND("2",F$1)),1,2))</f>
        <v>1</v>
      </c>
      <c r="G33" s="1" cm="1">
        <f t="array" ref="G33">IF(OR(G$1="",EXP_MATRIX!$C33=""),"",PRODUCT(IF(NOT(ISERROR(FIND(EXP_MATRIX!$B$1:$Z$1,G$1))),EXP_MATRIX!$B33:$Z33,1))^IF(ISERROR(FIND("2",G$1)),1,2))</f>
        <v>1</v>
      </c>
      <c r="H33" s="1" t="str" cm="1">
        <f t="array" ref="H33">IF(OR(H$1="",EXP_MATRIX!$C33=""),"",PRODUCT(IF(NOT(ISERROR(FIND(EXP_MATRIX!$B$1:$Z$1,H$1))),EXP_MATRIX!$B33:$Z33,1))^IF(ISERROR(FIND("2",H$1)),1,2))</f>
        <v/>
      </c>
      <c r="I33" s="1" t="str" cm="1">
        <f t="array" ref="I33">IF(OR(I$1="",EXP_MATRIX!$C33=""),"",PRODUCT(IF(NOT(ISERROR(FIND(EXP_MATRIX!$B$1:$Z$1,I$1))),EXP_MATRIX!$B33:$Z33,1))^IF(ISERROR(FIND("2",I$1)),1,2))</f>
        <v/>
      </c>
      <c r="J33" s="1" t="str" cm="1">
        <f t="array" ref="J33">IF(OR(J$1="",EXP_MATRIX!$C33=""),"",PRODUCT(IF(NOT(ISERROR(FIND(EXP_MATRIX!$B$1:$Z$1,J$1))),EXP_MATRIX!$B33:$Z33,1))^IF(ISERROR(FIND("2",J$1)),1,2))</f>
        <v/>
      </c>
      <c r="K33" s="1" t="str" cm="1">
        <f t="array" ref="K33">IF(OR(K$1="",EXP_MATRIX!$C33=""),"",PRODUCT(IF(NOT(ISERROR(FIND(EXP_MATRIX!$B$1:$Z$1,K$1))),EXP_MATRIX!$B33:$Z33,1))^IF(ISERROR(FIND("2",K$1)),1,2))</f>
        <v/>
      </c>
      <c r="L33" s="1" t="str" cm="1">
        <f t="array" ref="L33">IF(OR(L$1="",EXP_MATRIX!$C33=""),"",PRODUCT(IF(NOT(ISERROR(FIND(EXP_MATRIX!$B$1:$Z$1,L$1))),EXP_MATRIX!$B33:$Z33,1))^IF(ISERROR(FIND("2",L$1)),1,2))</f>
        <v/>
      </c>
      <c r="M33" s="1" t="str" cm="1">
        <f t="array" ref="M33">IF(OR(M$1="",EXP_MATRIX!$C33=""),"",PRODUCT(IF(NOT(ISERROR(FIND(EXP_MATRIX!$B$1:$Z$1,M$1))),EXP_MATRIX!$B33:$Z33,1))^IF(ISERROR(FIND("2",M$1)),1,2))</f>
        <v/>
      </c>
      <c r="N33" s="1" t="str" cm="1">
        <f t="array" ref="N33">IF(OR(N$1="",EXP_MATRIX!$C33=""),"",PRODUCT(IF(NOT(ISERROR(FIND(EXP_MATRIX!$B$1:$Z$1,N$1))),EXP_MATRIX!$B33:$Z33,1))^IF(ISERROR(FIND("2",N$1)),1,2))</f>
        <v/>
      </c>
      <c r="O33" s="1" t="str" cm="1">
        <f t="array" ref="O33">IF(OR(O$1="",EXP_MATRIX!$C33=""),"",PRODUCT(IF(NOT(ISERROR(FIND(EXP_MATRIX!$B$1:$Z$1,O$1))),EXP_MATRIX!$B33:$Z33,1))^IF(ISERROR(FIND("2",O$1)),1,2))</f>
        <v/>
      </c>
      <c r="P33" s="1" t="str" cm="1">
        <f t="array" ref="P33">IF(OR(P$1="",EXP_MATRIX!$C33=""),"",PRODUCT(IF(NOT(ISERROR(FIND(EXP_MATRIX!$B$1:$Z$1,P$1))),EXP_MATRIX!$B33:$Z33,1))^IF(ISERROR(FIND("2",P$1)),1,2))</f>
        <v/>
      </c>
      <c r="Q33" s="1" t="str" cm="1">
        <f t="array" ref="Q33">IF(OR(Q$1="",EXP_MATRIX!$C33=""),"",PRODUCT(IF(NOT(ISERROR(FIND(EXP_MATRIX!$B$1:$Z$1,Q$1))),EXP_MATRIX!$B33:$Z33,1))^IF(ISERROR(FIND("2",Q$1)),1,2))</f>
        <v/>
      </c>
      <c r="R33" s="1" t="str" cm="1">
        <f t="array" ref="R33">IF(OR(R$1="",EXP_MATRIX!$C33=""),"",PRODUCT(IF(NOT(ISERROR(FIND(EXP_MATRIX!$B$1:$Z$1,R$1))),EXP_MATRIX!$B33:$Z33,1))^IF(ISERROR(FIND("2",R$1)),1,2))</f>
        <v/>
      </c>
      <c r="S33" s="1" t="str" cm="1">
        <f t="array" ref="S33">IF(OR(S$1="",EXP_MATRIX!$C33=""),"",PRODUCT(IF(NOT(ISERROR(FIND(EXP_MATRIX!$B$1:$Z$1,S$1))),EXP_MATRIX!$B33:$Z33,1))^IF(ISERROR(FIND("2",S$1)),1,2))</f>
        <v/>
      </c>
      <c r="T33" s="1" t="str" cm="1">
        <f t="array" ref="T33">IF(OR(T$1="",EXP_MATRIX!$C33=""),"",PRODUCT(IF(NOT(ISERROR(FIND(EXP_MATRIX!$B$1:$Z$1,T$1))),EXP_MATRIX!$B33:$Z33,1))^IF(ISERROR(FIND("2",T$1)),1,2))</f>
        <v/>
      </c>
      <c r="U33" s="1" t="str" cm="1">
        <f t="array" ref="U33">IF(OR(U$1="",EXP_MATRIX!$C33=""),"",PRODUCT(IF(NOT(ISERROR(FIND(EXP_MATRIX!$B$1:$Z$1,U$1))),EXP_MATRIX!$B33:$Z33,1))^IF(ISERROR(FIND("2",U$1)),1,2))</f>
        <v/>
      </c>
      <c r="V33" s="1" t="str" cm="1">
        <f t="array" ref="V33">IF(OR(V$1="",EXP_MATRIX!$C33=""),"",PRODUCT(IF(NOT(ISERROR(FIND(EXP_MATRIX!$B$1:$Z$1,V$1))),EXP_MATRIX!$B33:$Z33,1))^IF(ISERROR(FIND("2",V$1)),1,2))</f>
        <v/>
      </c>
      <c r="W33" s="1" t="str" cm="1">
        <f t="array" ref="W33">IF(OR(W$1="",EXP_MATRIX!$C33=""),"",PRODUCT(IF(NOT(ISERROR(FIND(EXP_MATRIX!$B$1:$Z$1,W$1))),EXP_MATRIX!$B33:$Z33,1))^IF(ISERROR(FIND("2",W$1)),1,2))</f>
        <v/>
      </c>
      <c r="X33" s="1" t="str" cm="1">
        <f t="array" ref="X33">IF(OR(X$1="",EXP_MATRIX!$C33=""),"",PRODUCT(IF(NOT(ISERROR(FIND(EXP_MATRIX!$B$1:$Z$1,X$1))),EXP_MATRIX!$B33:$Z33,1))^IF(ISERROR(FIND("2",X$1)),1,2))</f>
        <v/>
      </c>
      <c r="Y33" s="1" t="str" cm="1">
        <f t="array" ref="Y33">IF(OR(Y$1="",EXP_MATRIX!$C33=""),"",PRODUCT(IF(NOT(ISERROR(FIND(EXP_MATRIX!$B$1:$Z$1,Y$1))),EXP_MATRIX!$B33:$Z33,1))^IF(ISERROR(FIND("2",Y$1)),1,2))</f>
        <v/>
      </c>
      <c r="Z33" s="1" t="str" cm="1">
        <f t="array" ref="Z33">IF(OR(Z$1="",EXP_MATRIX!$C33=""),"",PRODUCT(IF(NOT(ISERROR(FIND(EXP_MATRIX!$B$1:$Z$1,Z$1))),EXP_MATRIX!$B33:$Z33,1))^IF(ISERROR(FIND("2",Z$1)),1,2))</f>
        <v/>
      </c>
      <c r="AA33" s="1" t="str" cm="1">
        <f t="array" ref="AA33">IF(OR(AA$1="",EXP_MATRIX!$C33=""),"",PRODUCT(IF(NOT(ISERROR(FIND(EXP_MATRIX!$B$1:$Z$1,AA$1))),EXP_MATRIX!$B33:$Z33,1))^IF(ISERROR(FIND("2",AA$1)),1,2))</f>
        <v/>
      </c>
    </row>
    <row r="34" spans="1:27" x14ac:dyDescent="0.25">
      <c r="A34">
        <v>33</v>
      </c>
      <c r="B34" s="1" t="str" cm="1">
        <f t="array" ref="B34">IF(OR(B$1="",EXP_MATRIX!$C34=""),"",PRODUCT(IF(NOT(ISERROR(FIND(EXP_MATRIX!$B$1:$Z$1,B$1))),EXP_MATRIX!$B34:$Z34,1))^IF(ISERROR(FIND("2",B$1)),1,2))</f>
        <v/>
      </c>
      <c r="C34" s="1" t="str" cm="1">
        <f t="array" ref="C34">IF(OR(C$1="",EXP_MATRIX!$C34=""),"",PRODUCT(IF(NOT(ISERROR(FIND(EXP_MATRIX!$B$1:$Z$1,C$1))),EXP_MATRIX!$B34:$Z34,1))^IF(ISERROR(FIND("2",C$1)),1,2))</f>
        <v/>
      </c>
      <c r="D34" s="1" t="str" cm="1">
        <f t="array" ref="D34">IF(OR(D$1="",EXP_MATRIX!$C34=""),"",PRODUCT(IF(NOT(ISERROR(FIND(EXP_MATRIX!$B$1:$Z$1,D$1))),EXP_MATRIX!$B34:$Z34,1))^IF(ISERROR(FIND("2",D$1)),1,2))</f>
        <v/>
      </c>
      <c r="E34" s="1" t="str" cm="1">
        <f t="array" ref="E34">IF(OR(E$1="",EXP_MATRIX!$C34=""),"",PRODUCT(IF(NOT(ISERROR(FIND(EXP_MATRIX!$B$1:$Z$1,E$1))),EXP_MATRIX!$B34:$Z34,1))^IF(ISERROR(FIND("2",E$1)),1,2))</f>
        <v/>
      </c>
      <c r="F34" s="1" t="str" cm="1">
        <f t="array" ref="F34">IF(OR(F$1="",EXP_MATRIX!$C34=""),"",PRODUCT(IF(NOT(ISERROR(FIND(EXP_MATRIX!$B$1:$Z$1,F$1))),EXP_MATRIX!$B34:$Z34,1))^IF(ISERROR(FIND("2",F$1)),1,2))</f>
        <v/>
      </c>
      <c r="G34" s="1" t="str" cm="1">
        <f t="array" ref="G34">IF(OR(G$1="",EXP_MATRIX!$C34=""),"",PRODUCT(IF(NOT(ISERROR(FIND(EXP_MATRIX!$B$1:$Z$1,G$1))),EXP_MATRIX!$B34:$Z34,1))^IF(ISERROR(FIND("2",G$1)),1,2))</f>
        <v/>
      </c>
      <c r="H34" s="1" t="str" cm="1">
        <f t="array" ref="H34">IF(OR(H$1="",EXP_MATRIX!$C34=""),"",PRODUCT(IF(NOT(ISERROR(FIND(EXP_MATRIX!$B$1:$Z$1,H$1))),EXP_MATRIX!$B34:$Z34,1))^IF(ISERROR(FIND("2",H$1)),1,2))</f>
        <v/>
      </c>
      <c r="I34" s="1" t="str" cm="1">
        <f t="array" ref="I34">IF(OR(I$1="",EXP_MATRIX!$C34=""),"",PRODUCT(IF(NOT(ISERROR(FIND(EXP_MATRIX!$B$1:$Z$1,I$1))),EXP_MATRIX!$B34:$Z34,1))^IF(ISERROR(FIND("2",I$1)),1,2))</f>
        <v/>
      </c>
      <c r="J34" s="1" t="str" cm="1">
        <f t="array" ref="J34">IF(OR(J$1="",EXP_MATRIX!$C34=""),"",PRODUCT(IF(NOT(ISERROR(FIND(EXP_MATRIX!$B$1:$Z$1,J$1))),EXP_MATRIX!$B34:$Z34,1))^IF(ISERROR(FIND("2",J$1)),1,2))</f>
        <v/>
      </c>
      <c r="K34" s="1" t="str" cm="1">
        <f t="array" ref="K34">IF(OR(K$1="",EXP_MATRIX!$C34=""),"",PRODUCT(IF(NOT(ISERROR(FIND(EXP_MATRIX!$B$1:$Z$1,K$1))),EXP_MATRIX!$B34:$Z34,1))^IF(ISERROR(FIND("2",K$1)),1,2))</f>
        <v/>
      </c>
      <c r="L34" s="1" t="str" cm="1">
        <f t="array" ref="L34">IF(OR(L$1="",EXP_MATRIX!$C34=""),"",PRODUCT(IF(NOT(ISERROR(FIND(EXP_MATRIX!$B$1:$Z$1,L$1))),EXP_MATRIX!$B34:$Z34,1))^IF(ISERROR(FIND("2",L$1)),1,2))</f>
        <v/>
      </c>
      <c r="M34" s="1" t="str" cm="1">
        <f t="array" ref="M34">IF(OR(M$1="",EXP_MATRIX!$C34=""),"",PRODUCT(IF(NOT(ISERROR(FIND(EXP_MATRIX!$B$1:$Z$1,M$1))),EXP_MATRIX!$B34:$Z34,1))^IF(ISERROR(FIND("2",M$1)),1,2))</f>
        <v/>
      </c>
      <c r="N34" s="1" t="str" cm="1">
        <f t="array" ref="N34">IF(OR(N$1="",EXP_MATRIX!$C34=""),"",PRODUCT(IF(NOT(ISERROR(FIND(EXP_MATRIX!$B$1:$Z$1,N$1))),EXP_MATRIX!$B34:$Z34,1))^IF(ISERROR(FIND("2",N$1)),1,2))</f>
        <v/>
      </c>
      <c r="O34" s="1" t="str" cm="1">
        <f t="array" ref="O34">IF(OR(O$1="",EXP_MATRIX!$C34=""),"",PRODUCT(IF(NOT(ISERROR(FIND(EXP_MATRIX!$B$1:$Z$1,O$1))),EXP_MATRIX!$B34:$Z34,1))^IF(ISERROR(FIND("2",O$1)),1,2))</f>
        <v/>
      </c>
      <c r="P34" s="1" t="str" cm="1">
        <f t="array" ref="P34">IF(OR(P$1="",EXP_MATRIX!$C34=""),"",PRODUCT(IF(NOT(ISERROR(FIND(EXP_MATRIX!$B$1:$Z$1,P$1))),EXP_MATRIX!$B34:$Z34,1))^IF(ISERROR(FIND("2",P$1)),1,2))</f>
        <v/>
      </c>
      <c r="Q34" s="1" t="str" cm="1">
        <f t="array" ref="Q34">IF(OR(Q$1="",EXP_MATRIX!$C34=""),"",PRODUCT(IF(NOT(ISERROR(FIND(EXP_MATRIX!$B$1:$Z$1,Q$1))),EXP_MATRIX!$B34:$Z34,1))^IF(ISERROR(FIND("2",Q$1)),1,2))</f>
        <v/>
      </c>
      <c r="R34" s="1" t="str" cm="1">
        <f t="array" ref="R34">IF(OR(R$1="",EXP_MATRIX!$C34=""),"",PRODUCT(IF(NOT(ISERROR(FIND(EXP_MATRIX!$B$1:$Z$1,R$1))),EXP_MATRIX!$B34:$Z34,1))^IF(ISERROR(FIND("2",R$1)),1,2))</f>
        <v/>
      </c>
      <c r="S34" s="1" t="str" cm="1">
        <f t="array" ref="S34">IF(OR(S$1="",EXP_MATRIX!$C34=""),"",PRODUCT(IF(NOT(ISERROR(FIND(EXP_MATRIX!$B$1:$Z$1,S$1))),EXP_MATRIX!$B34:$Z34,1))^IF(ISERROR(FIND("2",S$1)),1,2))</f>
        <v/>
      </c>
      <c r="T34" s="1" t="str" cm="1">
        <f t="array" ref="T34">IF(OR(T$1="",EXP_MATRIX!$C34=""),"",PRODUCT(IF(NOT(ISERROR(FIND(EXP_MATRIX!$B$1:$Z$1,T$1))),EXP_MATRIX!$B34:$Z34,1))^IF(ISERROR(FIND("2",T$1)),1,2))</f>
        <v/>
      </c>
      <c r="U34" s="1" t="str" cm="1">
        <f t="array" ref="U34">IF(OR(U$1="",EXP_MATRIX!$C34=""),"",PRODUCT(IF(NOT(ISERROR(FIND(EXP_MATRIX!$B$1:$Z$1,U$1))),EXP_MATRIX!$B34:$Z34,1))^IF(ISERROR(FIND("2",U$1)),1,2))</f>
        <v/>
      </c>
      <c r="V34" s="1" t="str" cm="1">
        <f t="array" ref="V34">IF(OR(V$1="",EXP_MATRIX!$C34=""),"",PRODUCT(IF(NOT(ISERROR(FIND(EXP_MATRIX!$B$1:$Z$1,V$1))),EXP_MATRIX!$B34:$Z34,1))^IF(ISERROR(FIND("2",V$1)),1,2))</f>
        <v/>
      </c>
      <c r="W34" s="1" t="str" cm="1">
        <f t="array" ref="W34">IF(OR(W$1="",EXP_MATRIX!$C34=""),"",PRODUCT(IF(NOT(ISERROR(FIND(EXP_MATRIX!$B$1:$Z$1,W$1))),EXP_MATRIX!$B34:$Z34,1))^IF(ISERROR(FIND("2",W$1)),1,2))</f>
        <v/>
      </c>
      <c r="X34" s="1" t="str" cm="1">
        <f t="array" ref="X34">IF(OR(X$1="",EXP_MATRIX!$C34=""),"",PRODUCT(IF(NOT(ISERROR(FIND(EXP_MATRIX!$B$1:$Z$1,X$1))),EXP_MATRIX!$B34:$Z34,1))^IF(ISERROR(FIND("2",X$1)),1,2))</f>
        <v/>
      </c>
      <c r="Y34" s="1" t="str" cm="1">
        <f t="array" ref="Y34">IF(OR(Y$1="",EXP_MATRIX!$C34=""),"",PRODUCT(IF(NOT(ISERROR(FIND(EXP_MATRIX!$B$1:$Z$1,Y$1))),EXP_MATRIX!$B34:$Z34,1))^IF(ISERROR(FIND("2",Y$1)),1,2))</f>
        <v/>
      </c>
      <c r="Z34" s="1" t="str" cm="1">
        <f t="array" ref="Z34">IF(OR(Z$1="",EXP_MATRIX!$C34=""),"",PRODUCT(IF(NOT(ISERROR(FIND(EXP_MATRIX!$B$1:$Z$1,Z$1))),EXP_MATRIX!$B34:$Z34,1))^IF(ISERROR(FIND("2",Z$1)),1,2))</f>
        <v/>
      </c>
      <c r="AA34" s="1" t="str" cm="1">
        <f t="array" ref="AA34">IF(OR(AA$1="",EXP_MATRIX!$C34=""),"",PRODUCT(IF(NOT(ISERROR(FIND(EXP_MATRIX!$B$1:$Z$1,AA$1))),EXP_MATRIX!$B34:$Z34,1))^IF(ISERROR(FIND("2",AA$1)),1,2))</f>
        <v/>
      </c>
    </row>
    <row r="35" spans="1:27" x14ac:dyDescent="0.25">
      <c r="A35">
        <v>34</v>
      </c>
      <c r="B35" s="1" t="str" cm="1">
        <f t="array" ref="B35">IF(OR(B$1="",EXP_MATRIX!$C35=""),"",PRODUCT(IF(NOT(ISERROR(FIND(EXP_MATRIX!$B$1:$Z$1,B$1))),EXP_MATRIX!$B35:$Z35,1))^IF(ISERROR(FIND("2",B$1)),1,2))</f>
        <v/>
      </c>
      <c r="C35" s="1" t="str" cm="1">
        <f t="array" ref="C35">IF(OR(C$1="",EXP_MATRIX!$C35=""),"",PRODUCT(IF(NOT(ISERROR(FIND(EXP_MATRIX!$B$1:$Z$1,C$1))),EXP_MATRIX!$B35:$Z35,1))^IF(ISERROR(FIND("2",C$1)),1,2))</f>
        <v/>
      </c>
      <c r="D35" s="1" t="str" cm="1">
        <f t="array" ref="D35">IF(OR(D$1="",EXP_MATRIX!$C35=""),"",PRODUCT(IF(NOT(ISERROR(FIND(EXP_MATRIX!$B$1:$Z$1,D$1))),EXP_MATRIX!$B35:$Z35,1))^IF(ISERROR(FIND("2",D$1)),1,2))</f>
        <v/>
      </c>
      <c r="E35" s="1" t="str" cm="1">
        <f t="array" ref="E35">IF(OR(E$1="",EXP_MATRIX!$C35=""),"",PRODUCT(IF(NOT(ISERROR(FIND(EXP_MATRIX!$B$1:$Z$1,E$1))),EXP_MATRIX!$B35:$Z35,1))^IF(ISERROR(FIND("2",E$1)),1,2))</f>
        <v/>
      </c>
      <c r="F35" s="1" t="str" cm="1">
        <f t="array" ref="F35">IF(OR(F$1="",EXP_MATRIX!$C35=""),"",PRODUCT(IF(NOT(ISERROR(FIND(EXP_MATRIX!$B$1:$Z$1,F$1))),EXP_MATRIX!$B35:$Z35,1))^IF(ISERROR(FIND("2",F$1)),1,2))</f>
        <v/>
      </c>
      <c r="G35" s="1" t="str" cm="1">
        <f t="array" ref="G35">IF(OR(G$1="",EXP_MATRIX!$C35=""),"",PRODUCT(IF(NOT(ISERROR(FIND(EXP_MATRIX!$B$1:$Z$1,G$1))),EXP_MATRIX!$B35:$Z35,1))^IF(ISERROR(FIND("2",G$1)),1,2))</f>
        <v/>
      </c>
      <c r="H35" s="1" t="str" cm="1">
        <f t="array" ref="H35">IF(OR(H$1="",EXP_MATRIX!$C35=""),"",PRODUCT(IF(NOT(ISERROR(FIND(EXP_MATRIX!$B$1:$Z$1,H$1))),EXP_MATRIX!$B35:$Z35,1))^IF(ISERROR(FIND("2",H$1)),1,2))</f>
        <v/>
      </c>
      <c r="I35" s="1" t="str" cm="1">
        <f t="array" ref="I35">IF(OR(I$1="",EXP_MATRIX!$C35=""),"",PRODUCT(IF(NOT(ISERROR(FIND(EXP_MATRIX!$B$1:$Z$1,I$1))),EXP_MATRIX!$B35:$Z35,1))^IF(ISERROR(FIND("2",I$1)),1,2))</f>
        <v/>
      </c>
      <c r="J35" s="1" t="str" cm="1">
        <f t="array" ref="J35">IF(OR(J$1="",EXP_MATRIX!$C35=""),"",PRODUCT(IF(NOT(ISERROR(FIND(EXP_MATRIX!$B$1:$Z$1,J$1))),EXP_MATRIX!$B35:$Z35,1))^IF(ISERROR(FIND("2",J$1)),1,2))</f>
        <v/>
      </c>
      <c r="K35" s="1" t="str" cm="1">
        <f t="array" ref="K35">IF(OR(K$1="",EXP_MATRIX!$C35=""),"",PRODUCT(IF(NOT(ISERROR(FIND(EXP_MATRIX!$B$1:$Z$1,K$1))),EXP_MATRIX!$B35:$Z35,1))^IF(ISERROR(FIND("2",K$1)),1,2))</f>
        <v/>
      </c>
      <c r="L35" s="1" t="str" cm="1">
        <f t="array" ref="L35">IF(OR(L$1="",EXP_MATRIX!$C35=""),"",PRODUCT(IF(NOT(ISERROR(FIND(EXP_MATRIX!$B$1:$Z$1,L$1))),EXP_MATRIX!$B35:$Z35,1))^IF(ISERROR(FIND("2",L$1)),1,2))</f>
        <v/>
      </c>
      <c r="M35" s="1" t="str" cm="1">
        <f t="array" ref="M35">IF(OR(M$1="",EXP_MATRIX!$C35=""),"",PRODUCT(IF(NOT(ISERROR(FIND(EXP_MATRIX!$B$1:$Z$1,M$1))),EXP_MATRIX!$B35:$Z35,1))^IF(ISERROR(FIND("2",M$1)),1,2))</f>
        <v/>
      </c>
      <c r="N35" s="1" t="str" cm="1">
        <f t="array" ref="N35">IF(OR(N$1="",EXP_MATRIX!$C35=""),"",PRODUCT(IF(NOT(ISERROR(FIND(EXP_MATRIX!$B$1:$Z$1,N$1))),EXP_MATRIX!$B35:$Z35,1))^IF(ISERROR(FIND("2",N$1)),1,2))</f>
        <v/>
      </c>
      <c r="O35" s="1" t="str" cm="1">
        <f t="array" ref="O35">IF(OR(O$1="",EXP_MATRIX!$C35=""),"",PRODUCT(IF(NOT(ISERROR(FIND(EXP_MATRIX!$B$1:$Z$1,O$1))),EXP_MATRIX!$B35:$Z35,1))^IF(ISERROR(FIND("2",O$1)),1,2))</f>
        <v/>
      </c>
      <c r="P35" s="1" t="str" cm="1">
        <f t="array" ref="P35">IF(OR(P$1="",EXP_MATRIX!$C35=""),"",PRODUCT(IF(NOT(ISERROR(FIND(EXP_MATRIX!$B$1:$Z$1,P$1))),EXP_MATRIX!$B35:$Z35,1))^IF(ISERROR(FIND("2",P$1)),1,2))</f>
        <v/>
      </c>
      <c r="Q35" s="1" t="str" cm="1">
        <f t="array" ref="Q35">IF(OR(Q$1="",EXP_MATRIX!$C35=""),"",PRODUCT(IF(NOT(ISERROR(FIND(EXP_MATRIX!$B$1:$Z$1,Q$1))),EXP_MATRIX!$B35:$Z35,1))^IF(ISERROR(FIND("2",Q$1)),1,2))</f>
        <v/>
      </c>
      <c r="R35" s="1" t="str" cm="1">
        <f t="array" ref="R35">IF(OR(R$1="",EXP_MATRIX!$C35=""),"",PRODUCT(IF(NOT(ISERROR(FIND(EXP_MATRIX!$B$1:$Z$1,R$1))),EXP_MATRIX!$B35:$Z35,1))^IF(ISERROR(FIND("2",R$1)),1,2))</f>
        <v/>
      </c>
      <c r="S35" s="1" t="str" cm="1">
        <f t="array" ref="S35">IF(OR(S$1="",EXP_MATRIX!$C35=""),"",PRODUCT(IF(NOT(ISERROR(FIND(EXP_MATRIX!$B$1:$Z$1,S$1))),EXP_MATRIX!$B35:$Z35,1))^IF(ISERROR(FIND("2",S$1)),1,2))</f>
        <v/>
      </c>
      <c r="T35" s="1" t="str" cm="1">
        <f t="array" ref="T35">IF(OR(T$1="",EXP_MATRIX!$C35=""),"",PRODUCT(IF(NOT(ISERROR(FIND(EXP_MATRIX!$B$1:$Z$1,T$1))),EXP_MATRIX!$B35:$Z35,1))^IF(ISERROR(FIND("2",T$1)),1,2))</f>
        <v/>
      </c>
      <c r="U35" s="1" t="str" cm="1">
        <f t="array" ref="U35">IF(OR(U$1="",EXP_MATRIX!$C35=""),"",PRODUCT(IF(NOT(ISERROR(FIND(EXP_MATRIX!$B$1:$Z$1,U$1))),EXP_MATRIX!$B35:$Z35,1))^IF(ISERROR(FIND("2",U$1)),1,2))</f>
        <v/>
      </c>
      <c r="V35" s="1" t="str" cm="1">
        <f t="array" ref="V35">IF(OR(V$1="",EXP_MATRIX!$C35=""),"",PRODUCT(IF(NOT(ISERROR(FIND(EXP_MATRIX!$B$1:$Z$1,V$1))),EXP_MATRIX!$B35:$Z35,1))^IF(ISERROR(FIND("2",V$1)),1,2))</f>
        <v/>
      </c>
      <c r="W35" s="1" t="str" cm="1">
        <f t="array" ref="W35">IF(OR(W$1="",EXP_MATRIX!$C35=""),"",PRODUCT(IF(NOT(ISERROR(FIND(EXP_MATRIX!$B$1:$Z$1,W$1))),EXP_MATRIX!$B35:$Z35,1))^IF(ISERROR(FIND("2",W$1)),1,2))</f>
        <v/>
      </c>
      <c r="X35" s="1" t="str" cm="1">
        <f t="array" ref="X35">IF(OR(X$1="",EXP_MATRIX!$C35=""),"",PRODUCT(IF(NOT(ISERROR(FIND(EXP_MATRIX!$B$1:$Z$1,X$1))),EXP_MATRIX!$B35:$Z35,1))^IF(ISERROR(FIND("2",X$1)),1,2))</f>
        <v/>
      </c>
      <c r="Y35" s="1" t="str" cm="1">
        <f t="array" ref="Y35">IF(OR(Y$1="",EXP_MATRIX!$C35=""),"",PRODUCT(IF(NOT(ISERROR(FIND(EXP_MATRIX!$B$1:$Z$1,Y$1))),EXP_MATRIX!$B35:$Z35,1))^IF(ISERROR(FIND("2",Y$1)),1,2))</f>
        <v/>
      </c>
      <c r="Z35" s="1" t="str" cm="1">
        <f t="array" ref="Z35">IF(OR(Z$1="",EXP_MATRIX!$C35=""),"",PRODUCT(IF(NOT(ISERROR(FIND(EXP_MATRIX!$B$1:$Z$1,Z$1))),EXP_MATRIX!$B35:$Z35,1))^IF(ISERROR(FIND("2",Z$1)),1,2))</f>
        <v/>
      </c>
      <c r="AA35" s="1" t="str" cm="1">
        <f t="array" ref="AA35">IF(OR(AA$1="",EXP_MATRIX!$C35=""),"",PRODUCT(IF(NOT(ISERROR(FIND(EXP_MATRIX!$B$1:$Z$1,AA$1))),EXP_MATRIX!$B35:$Z35,1))^IF(ISERROR(FIND("2",AA$1)),1,2))</f>
        <v/>
      </c>
    </row>
    <row r="36" spans="1:27" x14ac:dyDescent="0.25">
      <c r="A36">
        <v>35</v>
      </c>
      <c r="B36" s="1" t="str" cm="1">
        <f t="array" ref="B36">IF(OR(B$1="",EXP_MATRIX!$C36=""),"",PRODUCT(IF(NOT(ISERROR(FIND(EXP_MATRIX!$B$1:$Z$1,B$1))),EXP_MATRIX!$B36:$Z36,1))^IF(ISERROR(FIND("2",B$1)),1,2))</f>
        <v/>
      </c>
      <c r="C36" s="1" t="str" cm="1">
        <f t="array" ref="C36">IF(OR(C$1="",EXP_MATRIX!$C36=""),"",PRODUCT(IF(NOT(ISERROR(FIND(EXP_MATRIX!$B$1:$Z$1,C$1))),EXP_MATRIX!$B36:$Z36,1))^IF(ISERROR(FIND("2",C$1)),1,2))</f>
        <v/>
      </c>
      <c r="D36" s="1" t="str" cm="1">
        <f t="array" ref="D36">IF(OR(D$1="",EXP_MATRIX!$C36=""),"",PRODUCT(IF(NOT(ISERROR(FIND(EXP_MATRIX!$B$1:$Z$1,D$1))),EXP_MATRIX!$B36:$Z36,1))^IF(ISERROR(FIND("2",D$1)),1,2))</f>
        <v/>
      </c>
      <c r="E36" s="1" t="str" cm="1">
        <f t="array" ref="E36">IF(OR(E$1="",EXP_MATRIX!$C36=""),"",PRODUCT(IF(NOT(ISERROR(FIND(EXP_MATRIX!$B$1:$Z$1,E$1))),EXP_MATRIX!$B36:$Z36,1))^IF(ISERROR(FIND("2",E$1)),1,2))</f>
        <v/>
      </c>
      <c r="F36" s="1" t="str" cm="1">
        <f t="array" ref="F36">IF(OR(F$1="",EXP_MATRIX!$C36=""),"",PRODUCT(IF(NOT(ISERROR(FIND(EXP_MATRIX!$B$1:$Z$1,F$1))),EXP_MATRIX!$B36:$Z36,1))^IF(ISERROR(FIND("2",F$1)),1,2))</f>
        <v/>
      </c>
      <c r="G36" s="1" t="str" cm="1">
        <f t="array" ref="G36">IF(OR(G$1="",EXP_MATRIX!$C36=""),"",PRODUCT(IF(NOT(ISERROR(FIND(EXP_MATRIX!$B$1:$Z$1,G$1))),EXP_MATRIX!$B36:$Z36,1))^IF(ISERROR(FIND("2",G$1)),1,2))</f>
        <v/>
      </c>
      <c r="H36" s="1" t="str" cm="1">
        <f t="array" ref="H36">IF(OR(H$1="",EXP_MATRIX!$C36=""),"",PRODUCT(IF(NOT(ISERROR(FIND(EXP_MATRIX!$B$1:$Z$1,H$1))),EXP_MATRIX!$B36:$Z36,1))^IF(ISERROR(FIND("2",H$1)),1,2))</f>
        <v/>
      </c>
      <c r="I36" s="1" t="str" cm="1">
        <f t="array" ref="I36">IF(OR(I$1="",EXP_MATRIX!$C36=""),"",PRODUCT(IF(NOT(ISERROR(FIND(EXP_MATRIX!$B$1:$Z$1,I$1))),EXP_MATRIX!$B36:$Z36,1))^IF(ISERROR(FIND("2",I$1)),1,2))</f>
        <v/>
      </c>
      <c r="J36" s="1" t="str" cm="1">
        <f t="array" ref="J36">IF(OR(J$1="",EXP_MATRIX!$C36=""),"",PRODUCT(IF(NOT(ISERROR(FIND(EXP_MATRIX!$B$1:$Z$1,J$1))),EXP_MATRIX!$B36:$Z36,1))^IF(ISERROR(FIND("2",J$1)),1,2))</f>
        <v/>
      </c>
      <c r="K36" s="1" t="str" cm="1">
        <f t="array" ref="K36">IF(OR(K$1="",EXP_MATRIX!$C36=""),"",PRODUCT(IF(NOT(ISERROR(FIND(EXP_MATRIX!$B$1:$Z$1,K$1))),EXP_MATRIX!$B36:$Z36,1))^IF(ISERROR(FIND("2",K$1)),1,2))</f>
        <v/>
      </c>
      <c r="L36" s="1" t="str" cm="1">
        <f t="array" ref="L36">IF(OR(L$1="",EXP_MATRIX!$C36=""),"",PRODUCT(IF(NOT(ISERROR(FIND(EXP_MATRIX!$B$1:$Z$1,L$1))),EXP_MATRIX!$B36:$Z36,1))^IF(ISERROR(FIND("2",L$1)),1,2))</f>
        <v/>
      </c>
      <c r="M36" s="1" t="str" cm="1">
        <f t="array" ref="M36">IF(OR(M$1="",EXP_MATRIX!$C36=""),"",PRODUCT(IF(NOT(ISERROR(FIND(EXP_MATRIX!$B$1:$Z$1,M$1))),EXP_MATRIX!$B36:$Z36,1))^IF(ISERROR(FIND("2",M$1)),1,2))</f>
        <v/>
      </c>
      <c r="N36" s="1" t="str" cm="1">
        <f t="array" ref="N36">IF(OR(N$1="",EXP_MATRIX!$C36=""),"",PRODUCT(IF(NOT(ISERROR(FIND(EXP_MATRIX!$B$1:$Z$1,N$1))),EXP_MATRIX!$B36:$Z36,1))^IF(ISERROR(FIND("2",N$1)),1,2))</f>
        <v/>
      </c>
      <c r="O36" s="1" t="str" cm="1">
        <f t="array" ref="O36">IF(OR(O$1="",EXP_MATRIX!$C36=""),"",PRODUCT(IF(NOT(ISERROR(FIND(EXP_MATRIX!$B$1:$Z$1,O$1))),EXP_MATRIX!$B36:$Z36,1))^IF(ISERROR(FIND("2",O$1)),1,2))</f>
        <v/>
      </c>
      <c r="P36" s="1" t="str" cm="1">
        <f t="array" ref="P36">IF(OR(P$1="",EXP_MATRIX!$C36=""),"",PRODUCT(IF(NOT(ISERROR(FIND(EXP_MATRIX!$B$1:$Z$1,P$1))),EXP_MATRIX!$B36:$Z36,1))^IF(ISERROR(FIND("2",P$1)),1,2))</f>
        <v/>
      </c>
      <c r="Q36" s="1" t="str" cm="1">
        <f t="array" ref="Q36">IF(OR(Q$1="",EXP_MATRIX!$C36=""),"",PRODUCT(IF(NOT(ISERROR(FIND(EXP_MATRIX!$B$1:$Z$1,Q$1))),EXP_MATRIX!$B36:$Z36,1))^IF(ISERROR(FIND("2",Q$1)),1,2))</f>
        <v/>
      </c>
      <c r="R36" s="1" t="str" cm="1">
        <f t="array" ref="R36">IF(OR(R$1="",EXP_MATRIX!$C36=""),"",PRODUCT(IF(NOT(ISERROR(FIND(EXP_MATRIX!$B$1:$Z$1,R$1))),EXP_MATRIX!$B36:$Z36,1))^IF(ISERROR(FIND("2",R$1)),1,2))</f>
        <v/>
      </c>
      <c r="S36" s="1" t="str" cm="1">
        <f t="array" ref="S36">IF(OR(S$1="",EXP_MATRIX!$C36=""),"",PRODUCT(IF(NOT(ISERROR(FIND(EXP_MATRIX!$B$1:$Z$1,S$1))),EXP_MATRIX!$B36:$Z36,1))^IF(ISERROR(FIND("2",S$1)),1,2))</f>
        <v/>
      </c>
      <c r="T36" s="1" t="str" cm="1">
        <f t="array" ref="T36">IF(OR(T$1="",EXP_MATRIX!$C36=""),"",PRODUCT(IF(NOT(ISERROR(FIND(EXP_MATRIX!$B$1:$Z$1,T$1))),EXP_MATRIX!$B36:$Z36,1))^IF(ISERROR(FIND("2",T$1)),1,2))</f>
        <v/>
      </c>
      <c r="U36" s="1" t="str" cm="1">
        <f t="array" ref="U36">IF(OR(U$1="",EXP_MATRIX!$C36=""),"",PRODUCT(IF(NOT(ISERROR(FIND(EXP_MATRIX!$B$1:$Z$1,U$1))),EXP_MATRIX!$B36:$Z36,1))^IF(ISERROR(FIND("2",U$1)),1,2))</f>
        <v/>
      </c>
      <c r="V36" s="1" t="str" cm="1">
        <f t="array" ref="V36">IF(OR(V$1="",EXP_MATRIX!$C36=""),"",PRODUCT(IF(NOT(ISERROR(FIND(EXP_MATRIX!$B$1:$Z$1,V$1))),EXP_MATRIX!$B36:$Z36,1))^IF(ISERROR(FIND("2",V$1)),1,2))</f>
        <v/>
      </c>
      <c r="W36" s="1" t="str" cm="1">
        <f t="array" ref="W36">IF(OR(W$1="",EXP_MATRIX!$C36=""),"",PRODUCT(IF(NOT(ISERROR(FIND(EXP_MATRIX!$B$1:$Z$1,W$1))),EXP_MATRIX!$B36:$Z36,1))^IF(ISERROR(FIND("2",W$1)),1,2))</f>
        <v/>
      </c>
      <c r="X36" s="1" t="str" cm="1">
        <f t="array" ref="X36">IF(OR(X$1="",EXP_MATRIX!$C36=""),"",PRODUCT(IF(NOT(ISERROR(FIND(EXP_MATRIX!$B$1:$Z$1,X$1))),EXP_MATRIX!$B36:$Z36,1))^IF(ISERROR(FIND("2",X$1)),1,2))</f>
        <v/>
      </c>
      <c r="Y36" s="1" t="str" cm="1">
        <f t="array" ref="Y36">IF(OR(Y$1="",EXP_MATRIX!$C36=""),"",PRODUCT(IF(NOT(ISERROR(FIND(EXP_MATRIX!$B$1:$Z$1,Y$1))),EXP_MATRIX!$B36:$Z36,1))^IF(ISERROR(FIND("2",Y$1)),1,2))</f>
        <v/>
      </c>
      <c r="Z36" s="1" t="str" cm="1">
        <f t="array" ref="Z36">IF(OR(Z$1="",EXP_MATRIX!$C36=""),"",PRODUCT(IF(NOT(ISERROR(FIND(EXP_MATRIX!$B$1:$Z$1,Z$1))),EXP_MATRIX!$B36:$Z36,1))^IF(ISERROR(FIND("2",Z$1)),1,2))</f>
        <v/>
      </c>
      <c r="AA36" s="1" t="str" cm="1">
        <f t="array" ref="AA36">IF(OR(AA$1="",EXP_MATRIX!$C36=""),"",PRODUCT(IF(NOT(ISERROR(FIND(EXP_MATRIX!$B$1:$Z$1,AA$1))),EXP_MATRIX!$B36:$Z36,1))^IF(ISERROR(FIND("2",AA$1)),1,2))</f>
        <v/>
      </c>
    </row>
    <row r="37" spans="1:27" x14ac:dyDescent="0.25">
      <c r="A37">
        <v>36</v>
      </c>
      <c r="B37" s="1" t="str" cm="1">
        <f t="array" ref="B37">IF(OR(B$1="",EXP_MATRIX!$C37=""),"",PRODUCT(IF(NOT(ISERROR(FIND(EXP_MATRIX!$B$1:$Z$1,B$1))),EXP_MATRIX!$B37:$Z37,1))^IF(ISERROR(FIND("2",B$1)),1,2))</f>
        <v/>
      </c>
      <c r="C37" s="1" t="str" cm="1">
        <f t="array" ref="C37">IF(OR(C$1="",EXP_MATRIX!$C37=""),"",PRODUCT(IF(NOT(ISERROR(FIND(EXP_MATRIX!$B$1:$Z$1,C$1))),EXP_MATRIX!$B37:$Z37,1))^IF(ISERROR(FIND("2",C$1)),1,2))</f>
        <v/>
      </c>
      <c r="D37" s="1" t="str" cm="1">
        <f t="array" ref="D37">IF(OR(D$1="",EXP_MATRIX!$C37=""),"",PRODUCT(IF(NOT(ISERROR(FIND(EXP_MATRIX!$B$1:$Z$1,D$1))),EXP_MATRIX!$B37:$Z37,1))^IF(ISERROR(FIND("2",D$1)),1,2))</f>
        <v/>
      </c>
      <c r="E37" s="1" t="str" cm="1">
        <f t="array" ref="E37">IF(OR(E$1="",EXP_MATRIX!$C37=""),"",PRODUCT(IF(NOT(ISERROR(FIND(EXP_MATRIX!$B$1:$Z$1,E$1))),EXP_MATRIX!$B37:$Z37,1))^IF(ISERROR(FIND("2",E$1)),1,2))</f>
        <v/>
      </c>
      <c r="F37" s="1" t="str" cm="1">
        <f t="array" ref="F37">IF(OR(F$1="",EXP_MATRIX!$C37=""),"",PRODUCT(IF(NOT(ISERROR(FIND(EXP_MATRIX!$B$1:$Z$1,F$1))),EXP_MATRIX!$B37:$Z37,1))^IF(ISERROR(FIND("2",F$1)),1,2))</f>
        <v/>
      </c>
      <c r="G37" s="1" t="str" cm="1">
        <f t="array" ref="G37">IF(OR(G$1="",EXP_MATRIX!$C37=""),"",PRODUCT(IF(NOT(ISERROR(FIND(EXP_MATRIX!$B$1:$Z$1,G$1))),EXP_MATRIX!$B37:$Z37,1))^IF(ISERROR(FIND("2",G$1)),1,2))</f>
        <v/>
      </c>
      <c r="H37" s="1" t="str" cm="1">
        <f t="array" ref="H37">IF(OR(H$1="",EXP_MATRIX!$C37=""),"",PRODUCT(IF(NOT(ISERROR(FIND(EXP_MATRIX!$B$1:$Z$1,H$1))),EXP_MATRIX!$B37:$Z37,1))^IF(ISERROR(FIND("2",H$1)),1,2))</f>
        <v/>
      </c>
      <c r="I37" s="1" t="str" cm="1">
        <f t="array" ref="I37">IF(OR(I$1="",EXP_MATRIX!$C37=""),"",PRODUCT(IF(NOT(ISERROR(FIND(EXP_MATRIX!$B$1:$Z$1,I$1))),EXP_MATRIX!$B37:$Z37,1))^IF(ISERROR(FIND("2",I$1)),1,2))</f>
        <v/>
      </c>
      <c r="J37" s="1" t="str" cm="1">
        <f t="array" ref="J37">IF(OR(J$1="",EXP_MATRIX!$C37=""),"",PRODUCT(IF(NOT(ISERROR(FIND(EXP_MATRIX!$B$1:$Z$1,J$1))),EXP_MATRIX!$B37:$Z37,1))^IF(ISERROR(FIND("2",J$1)),1,2))</f>
        <v/>
      </c>
      <c r="K37" s="1" t="str" cm="1">
        <f t="array" ref="K37">IF(OR(K$1="",EXP_MATRIX!$C37=""),"",PRODUCT(IF(NOT(ISERROR(FIND(EXP_MATRIX!$B$1:$Z$1,K$1))),EXP_MATRIX!$B37:$Z37,1))^IF(ISERROR(FIND("2",K$1)),1,2))</f>
        <v/>
      </c>
      <c r="L37" s="1" t="str" cm="1">
        <f t="array" ref="L37">IF(OR(L$1="",EXP_MATRIX!$C37=""),"",PRODUCT(IF(NOT(ISERROR(FIND(EXP_MATRIX!$B$1:$Z$1,L$1))),EXP_MATRIX!$B37:$Z37,1))^IF(ISERROR(FIND("2",L$1)),1,2))</f>
        <v/>
      </c>
      <c r="M37" s="1" t="str" cm="1">
        <f t="array" ref="M37">IF(OR(M$1="",EXP_MATRIX!$C37=""),"",PRODUCT(IF(NOT(ISERROR(FIND(EXP_MATRIX!$B$1:$Z$1,M$1))),EXP_MATRIX!$B37:$Z37,1))^IF(ISERROR(FIND("2",M$1)),1,2))</f>
        <v/>
      </c>
      <c r="N37" s="1" t="str" cm="1">
        <f t="array" ref="N37">IF(OR(N$1="",EXP_MATRIX!$C37=""),"",PRODUCT(IF(NOT(ISERROR(FIND(EXP_MATRIX!$B$1:$Z$1,N$1))),EXP_MATRIX!$B37:$Z37,1))^IF(ISERROR(FIND("2",N$1)),1,2))</f>
        <v/>
      </c>
      <c r="O37" s="1" t="str" cm="1">
        <f t="array" ref="O37">IF(OR(O$1="",EXP_MATRIX!$C37=""),"",PRODUCT(IF(NOT(ISERROR(FIND(EXP_MATRIX!$B$1:$Z$1,O$1))),EXP_MATRIX!$B37:$Z37,1))^IF(ISERROR(FIND("2",O$1)),1,2))</f>
        <v/>
      </c>
      <c r="P37" s="1" t="str" cm="1">
        <f t="array" ref="P37">IF(OR(P$1="",EXP_MATRIX!$C37=""),"",PRODUCT(IF(NOT(ISERROR(FIND(EXP_MATRIX!$B$1:$Z$1,P$1))),EXP_MATRIX!$B37:$Z37,1))^IF(ISERROR(FIND("2",P$1)),1,2))</f>
        <v/>
      </c>
      <c r="Q37" s="1" t="str" cm="1">
        <f t="array" ref="Q37">IF(OR(Q$1="",EXP_MATRIX!$C37=""),"",PRODUCT(IF(NOT(ISERROR(FIND(EXP_MATRIX!$B$1:$Z$1,Q$1))),EXP_MATRIX!$B37:$Z37,1))^IF(ISERROR(FIND("2",Q$1)),1,2))</f>
        <v/>
      </c>
      <c r="R37" s="1" t="str" cm="1">
        <f t="array" ref="R37">IF(OR(R$1="",EXP_MATRIX!$C37=""),"",PRODUCT(IF(NOT(ISERROR(FIND(EXP_MATRIX!$B$1:$Z$1,R$1))),EXP_MATRIX!$B37:$Z37,1))^IF(ISERROR(FIND("2",R$1)),1,2))</f>
        <v/>
      </c>
      <c r="S37" s="1" t="str" cm="1">
        <f t="array" ref="S37">IF(OR(S$1="",EXP_MATRIX!$C37=""),"",PRODUCT(IF(NOT(ISERROR(FIND(EXP_MATRIX!$B$1:$Z$1,S$1))),EXP_MATRIX!$B37:$Z37,1))^IF(ISERROR(FIND("2",S$1)),1,2))</f>
        <v/>
      </c>
      <c r="T37" s="1" t="str" cm="1">
        <f t="array" ref="T37">IF(OR(T$1="",EXP_MATRIX!$C37=""),"",PRODUCT(IF(NOT(ISERROR(FIND(EXP_MATRIX!$B$1:$Z$1,T$1))),EXP_MATRIX!$B37:$Z37,1))^IF(ISERROR(FIND("2",T$1)),1,2))</f>
        <v/>
      </c>
      <c r="U37" s="1" t="str" cm="1">
        <f t="array" ref="U37">IF(OR(U$1="",EXP_MATRIX!$C37=""),"",PRODUCT(IF(NOT(ISERROR(FIND(EXP_MATRIX!$B$1:$Z$1,U$1))),EXP_MATRIX!$B37:$Z37,1))^IF(ISERROR(FIND("2",U$1)),1,2))</f>
        <v/>
      </c>
      <c r="V37" s="1" t="str" cm="1">
        <f t="array" ref="V37">IF(OR(V$1="",EXP_MATRIX!$C37=""),"",PRODUCT(IF(NOT(ISERROR(FIND(EXP_MATRIX!$B$1:$Z$1,V$1))),EXP_MATRIX!$B37:$Z37,1))^IF(ISERROR(FIND("2",V$1)),1,2))</f>
        <v/>
      </c>
      <c r="W37" s="1" t="str" cm="1">
        <f t="array" ref="W37">IF(OR(W$1="",EXP_MATRIX!$C37=""),"",PRODUCT(IF(NOT(ISERROR(FIND(EXP_MATRIX!$B$1:$Z$1,W$1))),EXP_MATRIX!$B37:$Z37,1))^IF(ISERROR(FIND("2",W$1)),1,2))</f>
        <v/>
      </c>
      <c r="X37" s="1" t="str" cm="1">
        <f t="array" ref="X37">IF(OR(X$1="",EXP_MATRIX!$C37=""),"",PRODUCT(IF(NOT(ISERROR(FIND(EXP_MATRIX!$B$1:$Z$1,X$1))),EXP_MATRIX!$B37:$Z37,1))^IF(ISERROR(FIND("2",X$1)),1,2))</f>
        <v/>
      </c>
      <c r="Y37" s="1" t="str" cm="1">
        <f t="array" ref="Y37">IF(OR(Y$1="",EXP_MATRIX!$C37=""),"",PRODUCT(IF(NOT(ISERROR(FIND(EXP_MATRIX!$B$1:$Z$1,Y$1))),EXP_MATRIX!$B37:$Z37,1))^IF(ISERROR(FIND("2",Y$1)),1,2))</f>
        <v/>
      </c>
      <c r="Z37" s="1" t="str" cm="1">
        <f t="array" ref="Z37">IF(OR(Z$1="",EXP_MATRIX!$C37=""),"",PRODUCT(IF(NOT(ISERROR(FIND(EXP_MATRIX!$B$1:$Z$1,Z$1))),EXP_MATRIX!$B37:$Z37,1))^IF(ISERROR(FIND("2",Z$1)),1,2))</f>
        <v/>
      </c>
      <c r="AA37" s="1" t="str" cm="1">
        <f t="array" ref="AA37">IF(OR(AA$1="",EXP_MATRIX!$C37=""),"",PRODUCT(IF(NOT(ISERROR(FIND(EXP_MATRIX!$B$1:$Z$1,AA$1))),EXP_MATRIX!$B37:$Z37,1))^IF(ISERROR(FIND("2",AA$1)),1,2))</f>
        <v/>
      </c>
    </row>
    <row r="38" spans="1:27" x14ac:dyDescent="0.25">
      <c r="A38">
        <v>37</v>
      </c>
      <c r="B38" s="1" t="str" cm="1">
        <f t="array" ref="B38">IF(OR(B$1="",EXP_MATRIX!$C38=""),"",PRODUCT(IF(NOT(ISERROR(FIND(EXP_MATRIX!$B$1:$Z$1,B$1))),EXP_MATRIX!$B38:$Z38,1))^IF(ISERROR(FIND("2",B$1)),1,2))</f>
        <v/>
      </c>
      <c r="C38" s="1" t="str" cm="1">
        <f t="array" ref="C38">IF(OR(C$1="",EXP_MATRIX!$C38=""),"",PRODUCT(IF(NOT(ISERROR(FIND(EXP_MATRIX!$B$1:$Z$1,C$1))),EXP_MATRIX!$B38:$Z38,1))^IF(ISERROR(FIND("2",C$1)),1,2))</f>
        <v/>
      </c>
      <c r="D38" s="1" t="str" cm="1">
        <f t="array" ref="D38">IF(OR(D$1="",EXP_MATRIX!$C38=""),"",PRODUCT(IF(NOT(ISERROR(FIND(EXP_MATRIX!$B$1:$Z$1,D$1))),EXP_MATRIX!$B38:$Z38,1))^IF(ISERROR(FIND("2",D$1)),1,2))</f>
        <v/>
      </c>
      <c r="E38" s="1" t="str" cm="1">
        <f t="array" ref="E38">IF(OR(E$1="",EXP_MATRIX!$C38=""),"",PRODUCT(IF(NOT(ISERROR(FIND(EXP_MATRIX!$B$1:$Z$1,E$1))),EXP_MATRIX!$B38:$Z38,1))^IF(ISERROR(FIND("2",E$1)),1,2))</f>
        <v/>
      </c>
      <c r="F38" s="1" t="str" cm="1">
        <f t="array" ref="F38">IF(OR(F$1="",EXP_MATRIX!$C38=""),"",PRODUCT(IF(NOT(ISERROR(FIND(EXP_MATRIX!$B$1:$Z$1,F$1))),EXP_MATRIX!$B38:$Z38,1))^IF(ISERROR(FIND("2",F$1)),1,2))</f>
        <v/>
      </c>
      <c r="G38" s="1" t="str" cm="1">
        <f t="array" ref="G38">IF(OR(G$1="",EXP_MATRIX!$C38=""),"",PRODUCT(IF(NOT(ISERROR(FIND(EXP_MATRIX!$B$1:$Z$1,G$1))),EXP_MATRIX!$B38:$Z38,1))^IF(ISERROR(FIND("2",G$1)),1,2))</f>
        <v/>
      </c>
      <c r="H38" s="1" t="str" cm="1">
        <f t="array" ref="H38">IF(OR(H$1="",EXP_MATRIX!$C38=""),"",PRODUCT(IF(NOT(ISERROR(FIND(EXP_MATRIX!$B$1:$Z$1,H$1))),EXP_MATRIX!$B38:$Z38,1))^IF(ISERROR(FIND("2",H$1)),1,2))</f>
        <v/>
      </c>
      <c r="I38" s="1" t="str" cm="1">
        <f t="array" ref="I38">IF(OR(I$1="",EXP_MATRIX!$C38=""),"",PRODUCT(IF(NOT(ISERROR(FIND(EXP_MATRIX!$B$1:$Z$1,I$1))),EXP_MATRIX!$B38:$Z38,1))^IF(ISERROR(FIND("2",I$1)),1,2))</f>
        <v/>
      </c>
      <c r="J38" s="1" t="str" cm="1">
        <f t="array" ref="J38">IF(OR(J$1="",EXP_MATRIX!$C38=""),"",PRODUCT(IF(NOT(ISERROR(FIND(EXP_MATRIX!$B$1:$Z$1,J$1))),EXP_MATRIX!$B38:$Z38,1))^IF(ISERROR(FIND("2",J$1)),1,2))</f>
        <v/>
      </c>
      <c r="K38" s="1" t="str" cm="1">
        <f t="array" ref="K38">IF(OR(K$1="",EXP_MATRIX!$C38=""),"",PRODUCT(IF(NOT(ISERROR(FIND(EXP_MATRIX!$B$1:$Z$1,K$1))),EXP_MATRIX!$B38:$Z38,1))^IF(ISERROR(FIND("2",K$1)),1,2))</f>
        <v/>
      </c>
      <c r="L38" s="1" t="str" cm="1">
        <f t="array" ref="L38">IF(OR(L$1="",EXP_MATRIX!$C38=""),"",PRODUCT(IF(NOT(ISERROR(FIND(EXP_MATRIX!$B$1:$Z$1,L$1))),EXP_MATRIX!$B38:$Z38,1))^IF(ISERROR(FIND("2",L$1)),1,2))</f>
        <v/>
      </c>
      <c r="M38" s="1" t="str" cm="1">
        <f t="array" ref="M38">IF(OR(M$1="",EXP_MATRIX!$C38=""),"",PRODUCT(IF(NOT(ISERROR(FIND(EXP_MATRIX!$B$1:$Z$1,M$1))),EXP_MATRIX!$B38:$Z38,1))^IF(ISERROR(FIND("2",M$1)),1,2))</f>
        <v/>
      </c>
      <c r="N38" s="1" t="str" cm="1">
        <f t="array" ref="N38">IF(OR(N$1="",EXP_MATRIX!$C38=""),"",PRODUCT(IF(NOT(ISERROR(FIND(EXP_MATRIX!$B$1:$Z$1,N$1))),EXP_MATRIX!$B38:$Z38,1))^IF(ISERROR(FIND("2",N$1)),1,2))</f>
        <v/>
      </c>
      <c r="O38" s="1" t="str" cm="1">
        <f t="array" ref="O38">IF(OR(O$1="",EXP_MATRIX!$C38=""),"",PRODUCT(IF(NOT(ISERROR(FIND(EXP_MATRIX!$B$1:$Z$1,O$1))),EXP_MATRIX!$B38:$Z38,1))^IF(ISERROR(FIND("2",O$1)),1,2))</f>
        <v/>
      </c>
      <c r="P38" s="1" t="str" cm="1">
        <f t="array" ref="P38">IF(OR(P$1="",EXP_MATRIX!$C38=""),"",PRODUCT(IF(NOT(ISERROR(FIND(EXP_MATRIX!$B$1:$Z$1,P$1))),EXP_MATRIX!$B38:$Z38,1))^IF(ISERROR(FIND("2",P$1)),1,2))</f>
        <v/>
      </c>
      <c r="Q38" s="1" t="str" cm="1">
        <f t="array" ref="Q38">IF(OR(Q$1="",EXP_MATRIX!$C38=""),"",PRODUCT(IF(NOT(ISERROR(FIND(EXP_MATRIX!$B$1:$Z$1,Q$1))),EXP_MATRIX!$B38:$Z38,1))^IF(ISERROR(FIND("2",Q$1)),1,2))</f>
        <v/>
      </c>
      <c r="R38" s="1" t="str" cm="1">
        <f t="array" ref="R38">IF(OR(R$1="",EXP_MATRIX!$C38=""),"",PRODUCT(IF(NOT(ISERROR(FIND(EXP_MATRIX!$B$1:$Z$1,R$1))),EXP_MATRIX!$B38:$Z38,1))^IF(ISERROR(FIND("2",R$1)),1,2))</f>
        <v/>
      </c>
      <c r="S38" s="1" t="str" cm="1">
        <f t="array" ref="S38">IF(OR(S$1="",EXP_MATRIX!$C38=""),"",PRODUCT(IF(NOT(ISERROR(FIND(EXP_MATRIX!$B$1:$Z$1,S$1))),EXP_MATRIX!$B38:$Z38,1))^IF(ISERROR(FIND("2",S$1)),1,2))</f>
        <v/>
      </c>
      <c r="T38" s="1" t="str" cm="1">
        <f t="array" ref="T38">IF(OR(T$1="",EXP_MATRIX!$C38=""),"",PRODUCT(IF(NOT(ISERROR(FIND(EXP_MATRIX!$B$1:$Z$1,T$1))),EXP_MATRIX!$B38:$Z38,1))^IF(ISERROR(FIND("2",T$1)),1,2))</f>
        <v/>
      </c>
      <c r="U38" s="1" t="str" cm="1">
        <f t="array" ref="U38">IF(OR(U$1="",EXP_MATRIX!$C38=""),"",PRODUCT(IF(NOT(ISERROR(FIND(EXP_MATRIX!$B$1:$Z$1,U$1))),EXP_MATRIX!$B38:$Z38,1))^IF(ISERROR(FIND("2",U$1)),1,2))</f>
        <v/>
      </c>
      <c r="V38" s="1" t="str" cm="1">
        <f t="array" ref="V38">IF(OR(V$1="",EXP_MATRIX!$C38=""),"",PRODUCT(IF(NOT(ISERROR(FIND(EXP_MATRIX!$B$1:$Z$1,V$1))),EXP_MATRIX!$B38:$Z38,1))^IF(ISERROR(FIND("2",V$1)),1,2))</f>
        <v/>
      </c>
      <c r="W38" s="1" t="str" cm="1">
        <f t="array" ref="W38">IF(OR(W$1="",EXP_MATRIX!$C38=""),"",PRODUCT(IF(NOT(ISERROR(FIND(EXP_MATRIX!$B$1:$Z$1,W$1))),EXP_MATRIX!$B38:$Z38,1))^IF(ISERROR(FIND("2",W$1)),1,2))</f>
        <v/>
      </c>
      <c r="X38" s="1" t="str" cm="1">
        <f t="array" ref="X38">IF(OR(X$1="",EXP_MATRIX!$C38=""),"",PRODUCT(IF(NOT(ISERROR(FIND(EXP_MATRIX!$B$1:$Z$1,X$1))),EXP_MATRIX!$B38:$Z38,1))^IF(ISERROR(FIND("2",X$1)),1,2))</f>
        <v/>
      </c>
      <c r="Y38" s="1" t="str" cm="1">
        <f t="array" ref="Y38">IF(OR(Y$1="",EXP_MATRIX!$C38=""),"",PRODUCT(IF(NOT(ISERROR(FIND(EXP_MATRIX!$B$1:$Z$1,Y$1))),EXP_MATRIX!$B38:$Z38,1))^IF(ISERROR(FIND("2",Y$1)),1,2))</f>
        <v/>
      </c>
      <c r="Z38" s="1" t="str" cm="1">
        <f t="array" ref="Z38">IF(OR(Z$1="",EXP_MATRIX!$C38=""),"",PRODUCT(IF(NOT(ISERROR(FIND(EXP_MATRIX!$B$1:$Z$1,Z$1))),EXP_MATRIX!$B38:$Z38,1))^IF(ISERROR(FIND("2",Z$1)),1,2))</f>
        <v/>
      </c>
      <c r="AA38" s="1" t="str" cm="1">
        <f t="array" ref="AA38">IF(OR(AA$1="",EXP_MATRIX!$C38=""),"",PRODUCT(IF(NOT(ISERROR(FIND(EXP_MATRIX!$B$1:$Z$1,AA$1))),EXP_MATRIX!$B38:$Z38,1))^IF(ISERROR(FIND("2",AA$1)),1,2))</f>
        <v/>
      </c>
    </row>
    <row r="39" spans="1:27" x14ac:dyDescent="0.25">
      <c r="A39">
        <v>38</v>
      </c>
      <c r="B39" s="1" t="str" cm="1">
        <f t="array" ref="B39">IF(OR(B$1="",EXP_MATRIX!$C39=""),"",PRODUCT(IF(NOT(ISERROR(FIND(EXP_MATRIX!$B$1:$Z$1,B$1))),EXP_MATRIX!$B39:$Z39,1))^IF(ISERROR(FIND("2",B$1)),1,2))</f>
        <v/>
      </c>
      <c r="C39" s="1" t="str" cm="1">
        <f t="array" ref="C39">IF(OR(C$1="",EXP_MATRIX!$C39=""),"",PRODUCT(IF(NOT(ISERROR(FIND(EXP_MATRIX!$B$1:$Z$1,C$1))),EXP_MATRIX!$B39:$Z39,1))^IF(ISERROR(FIND("2",C$1)),1,2))</f>
        <v/>
      </c>
      <c r="D39" s="1" t="str" cm="1">
        <f t="array" ref="D39">IF(OR(D$1="",EXP_MATRIX!$C39=""),"",PRODUCT(IF(NOT(ISERROR(FIND(EXP_MATRIX!$B$1:$Z$1,D$1))),EXP_MATRIX!$B39:$Z39,1))^IF(ISERROR(FIND("2",D$1)),1,2))</f>
        <v/>
      </c>
      <c r="E39" s="1" t="str" cm="1">
        <f t="array" ref="E39">IF(OR(E$1="",EXP_MATRIX!$C39=""),"",PRODUCT(IF(NOT(ISERROR(FIND(EXP_MATRIX!$B$1:$Z$1,E$1))),EXP_MATRIX!$B39:$Z39,1))^IF(ISERROR(FIND("2",E$1)),1,2))</f>
        <v/>
      </c>
      <c r="F39" s="1" t="str" cm="1">
        <f t="array" ref="F39">IF(OR(F$1="",EXP_MATRIX!$C39=""),"",PRODUCT(IF(NOT(ISERROR(FIND(EXP_MATRIX!$B$1:$Z$1,F$1))),EXP_MATRIX!$B39:$Z39,1))^IF(ISERROR(FIND("2",F$1)),1,2))</f>
        <v/>
      </c>
      <c r="G39" s="1" t="str" cm="1">
        <f t="array" ref="G39">IF(OR(G$1="",EXP_MATRIX!$C39=""),"",PRODUCT(IF(NOT(ISERROR(FIND(EXP_MATRIX!$B$1:$Z$1,G$1))),EXP_MATRIX!$B39:$Z39,1))^IF(ISERROR(FIND("2",G$1)),1,2))</f>
        <v/>
      </c>
      <c r="H39" s="1" t="str" cm="1">
        <f t="array" ref="H39">IF(OR(H$1="",EXP_MATRIX!$C39=""),"",PRODUCT(IF(NOT(ISERROR(FIND(EXP_MATRIX!$B$1:$Z$1,H$1))),EXP_MATRIX!$B39:$Z39,1))^IF(ISERROR(FIND("2",H$1)),1,2))</f>
        <v/>
      </c>
      <c r="I39" s="1" t="str" cm="1">
        <f t="array" ref="I39">IF(OR(I$1="",EXP_MATRIX!$C39=""),"",PRODUCT(IF(NOT(ISERROR(FIND(EXP_MATRIX!$B$1:$Z$1,I$1))),EXP_MATRIX!$B39:$Z39,1))^IF(ISERROR(FIND("2",I$1)),1,2))</f>
        <v/>
      </c>
      <c r="J39" s="1" t="str" cm="1">
        <f t="array" ref="J39">IF(OR(J$1="",EXP_MATRIX!$C39=""),"",PRODUCT(IF(NOT(ISERROR(FIND(EXP_MATRIX!$B$1:$Z$1,J$1))),EXP_MATRIX!$B39:$Z39,1))^IF(ISERROR(FIND("2",J$1)),1,2))</f>
        <v/>
      </c>
      <c r="K39" s="1" t="str" cm="1">
        <f t="array" ref="K39">IF(OR(K$1="",EXP_MATRIX!$C39=""),"",PRODUCT(IF(NOT(ISERROR(FIND(EXP_MATRIX!$B$1:$Z$1,K$1))),EXP_MATRIX!$B39:$Z39,1))^IF(ISERROR(FIND("2",K$1)),1,2))</f>
        <v/>
      </c>
      <c r="L39" s="1" t="str" cm="1">
        <f t="array" ref="L39">IF(OR(L$1="",EXP_MATRIX!$C39=""),"",PRODUCT(IF(NOT(ISERROR(FIND(EXP_MATRIX!$B$1:$Z$1,L$1))),EXP_MATRIX!$B39:$Z39,1))^IF(ISERROR(FIND("2",L$1)),1,2))</f>
        <v/>
      </c>
      <c r="M39" s="1" t="str" cm="1">
        <f t="array" ref="M39">IF(OR(M$1="",EXP_MATRIX!$C39=""),"",PRODUCT(IF(NOT(ISERROR(FIND(EXP_MATRIX!$B$1:$Z$1,M$1))),EXP_MATRIX!$B39:$Z39,1))^IF(ISERROR(FIND("2",M$1)),1,2))</f>
        <v/>
      </c>
      <c r="N39" s="1" t="str" cm="1">
        <f t="array" ref="N39">IF(OR(N$1="",EXP_MATRIX!$C39=""),"",PRODUCT(IF(NOT(ISERROR(FIND(EXP_MATRIX!$B$1:$Z$1,N$1))),EXP_MATRIX!$B39:$Z39,1))^IF(ISERROR(FIND("2",N$1)),1,2))</f>
        <v/>
      </c>
      <c r="O39" s="1" t="str" cm="1">
        <f t="array" ref="O39">IF(OR(O$1="",EXP_MATRIX!$C39=""),"",PRODUCT(IF(NOT(ISERROR(FIND(EXP_MATRIX!$B$1:$Z$1,O$1))),EXP_MATRIX!$B39:$Z39,1))^IF(ISERROR(FIND("2",O$1)),1,2))</f>
        <v/>
      </c>
      <c r="P39" s="1" t="str" cm="1">
        <f t="array" ref="P39">IF(OR(P$1="",EXP_MATRIX!$C39=""),"",PRODUCT(IF(NOT(ISERROR(FIND(EXP_MATRIX!$B$1:$Z$1,P$1))),EXP_MATRIX!$B39:$Z39,1))^IF(ISERROR(FIND("2",P$1)),1,2))</f>
        <v/>
      </c>
      <c r="Q39" s="1" t="str" cm="1">
        <f t="array" ref="Q39">IF(OR(Q$1="",EXP_MATRIX!$C39=""),"",PRODUCT(IF(NOT(ISERROR(FIND(EXP_MATRIX!$B$1:$Z$1,Q$1))),EXP_MATRIX!$B39:$Z39,1))^IF(ISERROR(FIND("2",Q$1)),1,2))</f>
        <v/>
      </c>
      <c r="R39" s="1" t="str" cm="1">
        <f t="array" ref="R39">IF(OR(R$1="",EXP_MATRIX!$C39=""),"",PRODUCT(IF(NOT(ISERROR(FIND(EXP_MATRIX!$B$1:$Z$1,R$1))),EXP_MATRIX!$B39:$Z39,1))^IF(ISERROR(FIND("2",R$1)),1,2))</f>
        <v/>
      </c>
      <c r="S39" s="1" t="str" cm="1">
        <f t="array" ref="S39">IF(OR(S$1="",EXP_MATRIX!$C39=""),"",PRODUCT(IF(NOT(ISERROR(FIND(EXP_MATRIX!$B$1:$Z$1,S$1))),EXP_MATRIX!$B39:$Z39,1))^IF(ISERROR(FIND("2",S$1)),1,2))</f>
        <v/>
      </c>
      <c r="T39" s="1" t="str" cm="1">
        <f t="array" ref="T39">IF(OR(T$1="",EXP_MATRIX!$C39=""),"",PRODUCT(IF(NOT(ISERROR(FIND(EXP_MATRIX!$B$1:$Z$1,T$1))),EXP_MATRIX!$B39:$Z39,1))^IF(ISERROR(FIND("2",T$1)),1,2))</f>
        <v/>
      </c>
      <c r="U39" s="1" t="str" cm="1">
        <f t="array" ref="U39">IF(OR(U$1="",EXP_MATRIX!$C39=""),"",PRODUCT(IF(NOT(ISERROR(FIND(EXP_MATRIX!$B$1:$Z$1,U$1))),EXP_MATRIX!$B39:$Z39,1))^IF(ISERROR(FIND("2",U$1)),1,2))</f>
        <v/>
      </c>
      <c r="V39" s="1" t="str" cm="1">
        <f t="array" ref="V39">IF(OR(V$1="",EXP_MATRIX!$C39=""),"",PRODUCT(IF(NOT(ISERROR(FIND(EXP_MATRIX!$B$1:$Z$1,V$1))),EXP_MATRIX!$B39:$Z39,1))^IF(ISERROR(FIND("2",V$1)),1,2))</f>
        <v/>
      </c>
      <c r="W39" s="1" t="str" cm="1">
        <f t="array" ref="W39">IF(OR(W$1="",EXP_MATRIX!$C39=""),"",PRODUCT(IF(NOT(ISERROR(FIND(EXP_MATRIX!$B$1:$Z$1,W$1))),EXP_MATRIX!$B39:$Z39,1))^IF(ISERROR(FIND("2",W$1)),1,2))</f>
        <v/>
      </c>
      <c r="X39" s="1" t="str" cm="1">
        <f t="array" ref="X39">IF(OR(X$1="",EXP_MATRIX!$C39=""),"",PRODUCT(IF(NOT(ISERROR(FIND(EXP_MATRIX!$B$1:$Z$1,X$1))),EXP_MATRIX!$B39:$Z39,1))^IF(ISERROR(FIND("2",X$1)),1,2))</f>
        <v/>
      </c>
      <c r="Y39" s="1" t="str" cm="1">
        <f t="array" ref="Y39">IF(OR(Y$1="",EXP_MATRIX!$C39=""),"",PRODUCT(IF(NOT(ISERROR(FIND(EXP_MATRIX!$B$1:$Z$1,Y$1))),EXP_MATRIX!$B39:$Z39,1))^IF(ISERROR(FIND("2",Y$1)),1,2))</f>
        <v/>
      </c>
      <c r="Z39" s="1" t="str" cm="1">
        <f t="array" ref="Z39">IF(OR(Z$1="",EXP_MATRIX!$C39=""),"",PRODUCT(IF(NOT(ISERROR(FIND(EXP_MATRIX!$B$1:$Z$1,Z$1))),EXP_MATRIX!$B39:$Z39,1))^IF(ISERROR(FIND("2",Z$1)),1,2))</f>
        <v/>
      </c>
      <c r="AA39" s="1" t="str" cm="1">
        <f t="array" ref="AA39">IF(OR(AA$1="",EXP_MATRIX!$C39=""),"",PRODUCT(IF(NOT(ISERROR(FIND(EXP_MATRIX!$B$1:$Z$1,AA$1))),EXP_MATRIX!$B39:$Z39,1))^IF(ISERROR(FIND("2",AA$1)),1,2))</f>
        <v/>
      </c>
    </row>
    <row r="40" spans="1:27" x14ac:dyDescent="0.25">
      <c r="A40">
        <v>39</v>
      </c>
      <c r="B40" s="1" t="str" cm="1">
        <f t="array" ref="B40">IF(OR(B$1="",EXP_MATRIX!$C40=""),"",PRODUCT(IF(NOT(ISERROR(FIND(EXP_MATRIX!$B$1:$Z$1,B$1))),EXP_MATRIX!$B40:$Z40,1))^IF(ISERROR(FIND("2",B$1)),1,2))</f>
        <v/>
      </c>
      <c r="C40" s="1" t="str" cm="1">
        <f t="array" ref="C40">IF(OR(C$1="",EXP_MATRIX!$C40=""),"",PRODUCT(IF(NOT(ISERROR(FIND(EXP_MATRIX!$B$1:$Z$1,C$1))),EXP_MATRIX!$B40:$Z40,1))^IF(ISERROR(FIND("2",C$1)),1,2))</f>
        <v/>
      </c>
      <c r="D40" s="1" t="str" cm="1">
        <f t="array" ref="D40">IF(OR(D$1="",EXP_MATRIX!$C40=""),"",PRODUCT(IF(NOT(ISERROR(FIND(EXP_MATRIX!$B$1:$Z$1,D$1))),EXP_MATRIX!$B40:$Z40,1))^IF(ISERROR(FIND("2",D$1)),1,2))</f>
        <v/>
      </c>
      <c r="E40" s="1" t="str" cm="1">
        <f t="array" ref="E40">IF(OR(E$1="",EXP_MATRIX!$C40=""),"",PRODUCT(IF(NOT(ISERROR(FIND(EXP_MATRIX!$B$1:$Z$1,E$1))),EXP_MATRIX!$B40:$Z40,1))^IF(ISERROR(FIND("2",E$1)),1,2))</f>
        <v/>
      </c>
      <c r="F40" s="1" t="str" cm="1">
        <f t="array" ref="F40">IF(OR(F$1="",EXP_MATRIX!$C40=""),"",PRODUCT(IF(NOT(ISERROR(FIND(EXP_MATRIX!$B$1:$Z$1,F$1))),EXP_MATRIX!$B40:$Z40,1))^IF(ISERROR(FIND("2",F$1)),1,2))</f>
        <v/>
      </c>
      <c r="G40" s="1" t="str" cm="1">
        <f t="array" ref="G40">IF(OR(G$1="",EXP_MATRIX!$C40=""),"",PRODUCT(IF(NOT(ISERROR(FIND(EXP_MATRIX!$B$1:$Z$1,G$1))),EXP_MATRIX!$B40:$Z40,1))^IF(ISERROR(FIND("2",G$1)),1,2))</f>
        <v/>
      </c>
      <c r="H40" s="1" t="str" cm="1">
        <f t="array" ref="H40">IF(OR(H$1="",EXP_MATRIX!$C40=""),"",PRODUCT(IF(NOT(ISERROR(FIND(EXP_MATRIX!$B$1:$Z$1,H$1))),EXP_MATRIX!$B40:$Z40,1))^IF(ISERROR(FIND("2",H$1)),1,2))</f>
        <v/>
      </c>
      <c r="I40" s="1" t="str" cm="1">
        <f t="array" ref="I40">IF(OR(I$1="",EXP_MATRIX!$C40=""),"",PRODUCT(IF(NOT(ISERROR(FIND(EXP_MATRIX!$B$1:$Z$1,I$1))),EXP_MATRIX!$B40:$Z40,1))^IF(ISERROR(FIND("2",I$1)),1,2))</f>
        <v/>
      </c>
      <c r="J40" s="1" t="str" cm="1">
        <f t="array" ref="J40">IF(OR(J$1="",EXP_MATRIX!$C40=""),"",PRODUCT(IF(NOT(ISERROR(FIND(EXP_MATRIX!$B$1:$Z$1,J$1))),EXP_MATRIX!$B40:$Z40,1))^IF(ISERROR(FIND("2",J$1)),1,2))</f>
        <v/>
      </c>
      <c r="K40" s="1" t="str" cm="1">
        <f t="array" ref="K40">IF(OR(K$1="",EXP_MATRIX!$C40=""),"",PRODUCT(IF(NOT(ISERROR(FIND(EXP_MATRIX!$B$1:$Z$1,K$1))),EXP_MATRIX!$B40:$Z40,1))^IF(ISERROR(FIND("2",K$1)),1,2))</f>
        <v/>
      </c>
      <c r="L40" s="1" t="str" cm="1">
        <f t="array" ref="L40">IF(OR(L$1="",EXP_MATRIX!$C40=""),"",PRODUCT(IF(NOT(ISERROR(FIND(EXP_MATRIX!$B$1:$Z$1,L$1))),EXP_MATRIX!$B40:$Z40,1))^IF(ISERROR(FIND("2",L$1)),1,2))</f>
        <v/>
      </c>
      <c r="M40" s="1" t="str" cm="1">
        <f t="array" ref="M40">IF(OR(M$1="",EXP_MATRIX!$C40=""),"",PRODUCT(IF(NOT(ISERROR(FIND(EXP_MATRIX!$B$1:$Z$1,M$1))),EXP_MATRIX!$B40:$Z40,1))^IF(ISERROR(FIND("2",M$1)),1,2))</f>
        <v/>
      </c>
      <c r="N40" s="1" t="str" cm="1">
        <f t="array" ref="N40">IF(OR(N$1="",EXP_MATRIX!$C40=""),"",PRODUCT(IF(NOT(ISERROR(FIND(EXP_MATRIX!$B$1:$Z$1,N$1))),EXP_MATRIX!$B40:$Z40,1))^IF(ISERROR(FIND("2",N$1)),1,2))</f>
        <v/>
      </c>
      <c r="O40" s="1" t="str" cm="1">
        <f t="array" ref="O40">IF(OR(O$1="",EXP_MATRIX!$C40=""),"",PRODUCT(IF(NOT(ISERROR(FIND(EXP_MATRIX!$B$1:$Z$1,O$1))),EXP_MATRIX!$B40:$Z40,1))^IF(ISERROR(FIND("2",O$1)),1,2))</f>
        <v/>
      </c>
      <c r="P40" s="1" t="str" cm="1">
        <f t="array" ref="P40">IF(OR(P$1="",EXP_MATRIX!$C40=""),"",PRODUCT(IF(NOT(ISERROR(FIND(EXP_MATRIX!$B$1:$Z$1,P$1))),EXP_MATRIX!$B40:$Z40,1))^IF(ISERROR(FIND("2",P$1)),1,2))</f>
        <v/>
      </c>
      <c r="Q40" s="1" t="str" cm="1">
        <f t="array" ref="Q40">IF(OR(Q$1="",EXP_MATRIX!$C40=""),"",PRODUCT(IF(NOT(ISERROR(FIND(EXP_MATRIX!$B$1:$Z$1,Q$1))),EXP_MATRIX!$B40:$Z40,1))^IF(ISERROR(FIND("2",Q$1)),1,2))</f>
        <v/>
      </c>
      <c r="R40" s="1" t="str" cm="1">
        <f t="array" ref="R40">IF(OR(R$1="",EXP_MATRIX!$C40=""),"",PRODUCT(IF(NOT(ISERROR(FIND(EXP_MATRIX!$B$1:$Z$1,R$1))),EXP_MATRIX!$B40:$Z40,1))^IF(ISERROR(FIND("2",R$1)),1,2))</f>
        <v/>
      </c>
      <c r="S40" s="1" t="str" cm="1">
        <f t="array" ref="S40">IF(OR(S$1="",EXP_MATRIX!$C40=""),"",PRODUCT(IF(NOT(ISERROR(FIND(EXP_MATRIX!$B$1:$Z$1,S$1))),EXP_MATRIX!$B40:$Z40,1))^IF(ISERROR(FIND("2",S$1)),1,2))</f>
        <v/>
      </c>
      <c r="T40" s="1" t="str" cm="1">
        <f t="array" ref="T40">IF(OR(T$1="",EXP_MATRIX!$C40=""),"",PRODUCT(IF(NOT(ISERROR(FIND(EXP_MATRIX!$B$1:$Z$1,T$1))),EXP_MATRIX!$B40:$Z40,1))^IF(ISERROR(FIND("2",T$1)),1,2))</f>
        <v/>
      </c>
      <c r="U40" s="1" t="str" cm="1">
        <f t="array" ref="U40">IF(OR(U$1="",EXP_MATRIX!$C40=""),"",PRODUCT(IF(NOT(ISERROR(FIND(EXP_MATRIX!$B$1:$Z$1,U$1))),EXP_MATRIX!$B40:$Z40,1))^IF(ISERROR(FIND("2",U$1)),1,2))</f>
        <v/>
      </c>
      <c r="V40" s="1" t="str" cm="1">
        <f t="array" ref="V40">IF(OR(V$1="",EXP_MATRIX!$C40=""),"",PRODUCT(IF(NOT(ISERROR(FIND(EXP_MATRIX!$B$1:$Z$1,V$1))),EXP_MATRIX!$B40:$Z40,1))^IF(ISERROR(FIND("2",V$1)),1,2))</f>
        <v/>
      </c>
      <c r="W40" s="1" t="str" cm="1">
        <f t="array" ref="W40">IF(OR(W$1="",EXP_MATRIX!$C40=""),"",PRODUCT(IF(NOT(ISERROR(FIND(EXP_MATRIX!$B$1:$Z$1,W$1))),EXP_MATRIX!$B40:$Z40,1))^IF(ISERROR(FIND("2",W$1)),1,2))</f>
        <v/>
      </c>
      <c r="X40" s="1" t="str" cm="1">
        <f t="array" ref="X40">IF(OR(X$1="",EXP_MATRIX!$C40=""),"",PRODUCT(IF(NOT(ISERROR(FIND(EXP_MATRIX!$B$1:$Z$1,X$1))),EXP_MATRIX!$B40:$Z40,1))^IF(ISERROR(FIND("2",X$1)),1,2))</f>
        <v/>
      </c>
      <c r="Y40" s="1" t="str" cm="1">
        <f t="array" ref="Y40">IF(OR(Y$1="",EXP_MATRIX!$C40=""),"",PRODUCT(IF(NOT(ISERROR(FIND(EXP_MATRIX!$B$1:$Z$1,Y$1))),EXP_MATRIX!$B40:$Z40,1))^IF(ISERROR(FIND("2",Y$1)),1,2))</f>
        <v/>
      </c>
      <c r="Z40" s="1" t="str" cm="1">
        <f t="array" ref="Z40">IF(OR(Z$1="",EXP_MATRIX!$C40=""),"",PRODUCT(IF(NOT(ISERROR(FIND(EXP_MATRIX!$B$1:$Z$1,Z$1))),EXP_MATRIX!$B40:$Z40,1))^IF(ISERROR(FIND("2",Z$1)),1,2))</f>
        <v/>
      </c>
      <c r="AA40" s="1" t="str" cm="1">
        <f t="array" ref="AA40">IF(OR(AA$1="",EXP_MATRIX!$C40=""),"",PRODUCT(IF(NOT(ISERROR(FIND(EXP_MATRIX!$B$1:$Z$1,AA$1))),EXP_MATRIX!$B40:$Z40,1))^IF(ISERROR(FIND("2",AA$1)),1,2))</f>
        <v/>
      </c>
    </row>
    <row r="41" spans="1:27" x14ac:dyDescent="0.25">
      <c r="A41">
        <v>40</v>
      </c>
      <c r="B41" s="1" t="str" cm="1">
        <f t="array" ref="B41">IF(OR(B$1="",EXP_MATRIX!$C41=""),"",PRODUCT(IF(NOT(ISERROR(FIND(EXP_MATRIX!$B$1:$Z$1,B$1))),EXP_MATRIX!$B41:$Z41,1))^IF(ISERROR(FIND("2",B$1)),1,2))</f>
        <v/>
      </c>
      <c r="C41" s="1" t="str" cm="1">
        <f t="array" ref="C41">IF(OR(C$1="",EXP_MATRIX!$C41=""),"",PRODUCT(IF(NOT(ISERROR(FIND(EXP_MATRIX!$B$1:$Z$1,C$1))),EXP_MATRIX!$B41:$Z41,1))^IF(ISERROR(FIND("2",C$1)),1,2))</f>
        <v/>
      </c>
      <c r="D41" s="1" t="str" cm="1">
        <f t="array" ref="D41">IF(OR(D$1="",EXP_MATRIX!$C41=""),"",PRODUCT(IF(NOT(ISERROR(FIND(EXP_MATRIX!$B$1:$Z$1,D$1))),EXP_MATRIX!$B41:$Z41,1))^IF(ISERROR(FIND("2",D$1)),1,2))</f>
        <v/>
      </c>
      <c r="E41" s="1" t="str" cm="1">
        <f t="array" ref="E41">IF(OR(E$1="",EXP_MATRIX!$C41=""),"",PRODUCT(IF(NOT(ISERROR(FIND(EXP_MATRIX!$B$1:$Z$1,E$1))),EXP_MATRIX!$B41:$Z41,1))^IF(ISERROR(FIND("2",E$1)),1,2))</f>
        <v/>
      </c>
      <c r="F41" s="1" t="str" cm="1">
        <f t="array" ref="F41">IF(OR(F$1="",EXP_MATRIX!$C41=""),"",PRODUCT(IF(NOT(ISERROR(FIND(EXP_MATRIX!$B$1:$Z$1,F$1))),EXP_MATRIX!$B41:$Z41,1))^IF(ISERROR(FIND("2",F$1)),1,2))</f>
        <v/>
      </c>
      <c r="G41" s="1" t="str" cm="1">
        <f t="array" ref="G41">IF(OR(G$1="",EXP_MATRIX!$C41=""),"",PRODUCT(IF(NOT(ISERROR(FIND(EXP_MATRIX!$B$1:$Z$1,G$1))),EXP_MATRIX!$B41:$Z41,1))^IF(ISERROR(FIND("2",G$1)),1,2))</f>
        <v/>
      </c>
      <c r="H41" s="1" t="str" cm="1">
        <f t="array" ref="H41">IF(OR(H$1="",EXP_MATRIX!$C41=""),"",PRODUCT(IF(NOT(ISERROR(FIND(EXP_MATRIX!$B$1:$Z$1,H$1))),EXP_MATRIX!$B41:$Z41,1))^IF(ISERROR(FIND("2",H$1)),1,2))</f>
        <v/>
      </c>
      <c r="I41" s="1" t="str" cm="1">
        <f t="array" ref="I41">IF(OR(I$1="",EXP_MATRIX!$C41=""),"",PRODUCT(IF(NOT(ISERROR(FIND(EXP_MATRIX!$B$1:$Z$1,I$1))),EXP_MATRIX!$B41:$Z41,1))^IF(ISERROR(FIND("2",I$1)),1,2))</f>
        <v/>
      </c>
      <c r="J41" s="1" t="str" cm="1">
        <f t="array" ref="J41">IF(OR(J$1="",EXP_MATRIX!$C41=""),"",PRODUCT(IF(NOT(ISERROR(FIND(EXP_MATRIX!$B$1:$Z$1,J$1))),EXP_MATRIX!$B41:$Z41,1))^IF(ISERROR(FIND("2",J$1)),1,2))</f>
        <v/>
      </c>
      <c r="K41" s="1" t="str" cm="1">
        <f t="array" ref="K41">IF(OR(K$1="",EXP_MATRIX!$C41=""),"",PRODUCT(IF(NOT(ISERROR(FIND(EXP_MATRIX!$B$1:$Z$1,K$1))),EXP_MATRIX!$B41:$Z41,1))^IF(ISERROR(FIND("2",K$1)),1,2))</f>
        <v/>
      </c>
      <c r="L41" s="1" t="str" cm="1">
        <f t="array" ref="L41">IF(OR(L$1="",EXP_MATRIX!$C41=""),"",PRODUCT(IF(NOT(ISERROR(FIND(EXP_MATRIX!$B$1:$Z$1,L$1))),EXP_MATRIX!$B41:$Z41,1))^IF(ISERROR(FIND("2",L$1)),1,2))</f>
        <v/>
      </c>
      <c r="M41" s="1" t="str" cm="1">
        <f t="array" ref="M41">IF(OR(M$1="",EXP_MATRIX!$C41=""),"",PRODUCT(IF(NOT(ISERROR(FIND(EXP_MATRIX!$B$1:$Z$1,M$1))),EXP_MATRIX!$B41:$Z41,1))^IF(ISERROR(FIND("2",M$1)),1,2))</f>
        <v/>
      </c>
      <c r="N41" s="1" t="str" cm="1">
        <f t="array" ref="N41">IF(OR(N$1="",EXP_MATRIX!$C41=""),"",PRODUCT(IF(NOT(ISERROR(FIND(EXP_MATRIX!$B$1:$Z$1,N$1))),EXP_MATRIX!$B41:$Z41,1))^IF(ISERROR(FIND("2",N$1)),1,2))</f>
        <v/>
      </c>
      <c r="O41" s="1" t="str" cm="1">
        <f t="array" ref="O41">IF(OR(O$1="",EXP_MATRIX!$C41=""),"",PRODUCT(IF(NOT(ISERROR(FIND(EXP_MATRIX!$B$1:$Z$1,O$1))),EXP_MATRIX!$B41:$Z41,1))^IF(ISERROR(FIND("2",O$1)),1,2))</f>
        <v/>
      </c>
      <c r="P41" s="1" t="str" cm="1">
        <f t="array" ref="P41">IF(OR(P$1="",EXP_MATRIX!$C41=""),"",PRODUCT(IF(NOT(ISERROR(FIND(EXP_MATRIX!$B$1:$Z$1,P$1))),EXP_MATRIX!$B41:$Z41,1))^IF(ISERROR(FIND("2",P$1)),1,2))</f>
        <v/>
      </c>
      <c r="Q41" s="1" t="str" cm="1">
        <f t="array" ref="Q41">IF(OR(Q$1="",EXP_MATRIX!$C41=""),"",PRODUCT(IF(NOT(ISERROR(FIND(EXP_MATRIX!$B$1:$Z$1,Q$1))),EXP_MATRIX!$B41:$Z41,1))^IF(ISERROR(FIND("2",Q$1)),1,2))</f>
        <v/>
      </c>
      <c r="R41" s="1" t="str" cm="1">
        <f t="array" ref="R41">IF(OR(R$1="",EXP_MATRIX!$C41=""),"",PRODUCT(IF(NOT(ISERROR(FIND(EXP_MATRIX!$B$1:$Z$1,R$1))),EXP_MATRIX!$B41:$Z41,1))^IF(ISERROR(FIND("2",R$1)),1,2))</f>
        <v/>
      </c>
      <c r="S41" s="1" t="str" cm="1">
        <f t="array" ref="S41">IF(OR(S$1="",EXP_MATRIX!$C41=""),"",PRODUCT(IF(NOT(ISERROR(FIND(EXP_MATRIX!$B$1:$Z$1,S$1))),EXP_MATRIX!$B41:$Z41,1))^IF(ISERROR(FIND("2",S$1)),1,2))</f>
        <v/>
      </c>
      <c r="T41" s="1" t="str" cm="1">
        <f t="array" ref="T41">IF(OR(T$1="",EXP_MATRIX!$C41=""),"",PRODUCT(IF(NOT(ISERROR(FIND(EXP_MATRIX!$B$1:$Z$1,T$1))),EXP_MATRIX!$B41:$Z41,1))^IF(ISERROR(FIND("2",T$1)),1,2))</f>
        <v/>
      </c>
      <c r="U41" s="1" t="str" cm="1">
        <f t="array" ref="U41">IF(OR(U$1="",EXP_MATRIX!$C41=""),"",PRODUCT(IF(NOT(ISERROR(FIND(EXP_MATRIX!$B$1:$Z$1,U$1))),EXP_MATRIX!$B41:$Z41,1))^IF(ISERROR(FIND("2",U$1)),1,2))</f>
        <v/>
      </c>
      <c r="V41" s="1" t="str" cm="1">
        <f t="array" ref="V41">IF(OR(V$1="",EXP_MATRIX!$C41=""),"",PRODUCT(IF(NOT(ISERROR(FIND(EXP_MATRIX!$B$1:$Z$1,V$1))),EXP_MATRIX!$B41:$Z41,1))^IF(ISERROR(FIND("2",V$1)),1,2))</f>
        <v/>
      </c>
      <c r="W41" s="1" t="str" cm="1">
        <f t="array" ref="W41">IF(OR(W$1="",EXP_MATRIX!$C41=""),"",PRODUCT(IF(NOT(ISERROR(FIND(EXP_MATRIX!$B$1:$Z$1,W$1))),EXP_MATRIX!$B41:$Z41,1))^IF(ISERROR(FIND("2",W$1)),1,2))</f>
        <v/>
      </c>
      <c r="X41" s="1" t="str" cm="1">
        <f t="array" ref="X41">IF(OR(X$1="",EXP_MATRIX!$C41=""),"",PRODUCT(IF(NOT(ISERROR(FIND(EXP_MATRIX!$B$1:$Z$1,X$1))),EXP_MATRIX!$B41:$Z41,1))^IF(ISERROR(FIND("2",X$1)),1,2))</f>
        <v/>
      </c>
      <c r="Y41" s="1" t="str" cm="1">
        <f t="array" ref="Y41">IF(OR(Y$1="",EXP_MATRIX!$C41=""),"",PRODUCT(IF(NOT(ISERROR(FIND(EXP_MATRIX!$B$1:$Z$1,Y$1))),EXP_MATRIX!$B41:$Z41,1))^IF(ISERROR(FIND("2",Y$1)),1,2))</f>
        <v/>
      </c>
      <c r="Z41" s="1" t="str" cm="1">
        <f t="array" ref="Z41">IF(OR(Z$1="",EXP_MATRIX!$C41=""),"",PRODUCT(IF(NOT(ISERROR(FIND(EXP_MATRIX!$B$1:$Z$1,Z$1))),EXP_MATRIX!$B41:$Z41,1))^IF(ISERROR(FIND("2",Z$1)),1,2))</f>
        <v/>
      </c>
      <c r="AA41" s="1" t="str" cm="1">
        <f t="array" ref="AA41">IF(OR(AA$1="",EXP_MATRIX!$C41=""),"",PRODUCT(IF(NOT(ISERROR(FIND(EXP_MATRIX!$B$1:$Z$1,AA$1))),EXP_MATRIX!$B41:$Z41,1))^IF(ISERROR(FIND("2",AA$1)),1,2))</f>
        <v/>
      </c>
    </row>
    <row r="42" spans="1:27" x14ac:dyDescent="0.25">
      <c r="A42">
        <v>41</v>
      </c>
      <c r="B42" s="1" t="str" cm="1">
        <f t="array" ref="B42">IF(OR(B$1="",EXP_MATRIX!$C42=""),"",PRODUCT(IF(NOT(ISERROR(FIND(EXP_MATRIX!$B$1:$Z$1,B$1))),EXP_MATRIX!$B42:$Z42,1))^IF(ISERROR(FIND("2",B$1)),1,2))</f>
        <v/>
      </c>
      <c r="C42" s="1" t="str" cm="1">
        <f t="array" ref="C42">IF(OR(C$1="",EXP_MATRIX!$C42=""),"",PRODUCT(IF(NOT(ISERROR(FIND(EXP_MATRIX!$B$1:$Z$1,C$1))),EXP_MATRIX!$B42:$Z42,1))^IF(ISERROR(FIND("2",C$1)),1,2))</f>
        <v/>
      </c>
      <c r="D42" s="1" t="str" cm="1">
        <f t="array" ref="D42">IF(OR(D$1="",EXP_MATRIX!$C42=""),"",PRODUCT(IF(NOT(ISERROR(FIND(EXP_MATRIX!$B$1:$Z$1,D$1))),EXP_MATRIX!$B42:$Z42,1))^IF(ISERROR(FIND("2",D$1)),1,2))</f>
        <v/>
      </c>
      <c r="E42" s="1" t="str" cm="1">
        <f t="array" ref="E42">IF(OR(E$1="",EXP_MATRIX!$C42=""),"",PRODUCT(IF(NOT(ISERROR(FIND(EXP_MATRIX!$B$1:$Z$1,E$1))),EXP_MATRIX!$B42:$Z42,1))^IF(ISERROR(FIND("2",E$1)),1,2))</f>
        <v/>
      </c>
      <c r="F42" s="1" t="str" cm="1">
        <f t="array" ref="F42">IF(OR(F$1="",EXP_MATRIX!$C42=""),"",PRODUCT(IF(NOT(ISERROR(FIND(EXP_MATRIX!$B$1:$Z$1,F$1))),EXP_MATRIX!$B42:$Z42,1))^IF(ISERROR(FIND("2",F$1)),1,2))</f>
        <v/>
      </c>
      <c r="G42" s="1" t="str" cm="1">
        <f t="array" ref="G42">IF(OR(G$1="",EXP_MATRIX!$C42=""),"",PRODUCT(IF(NOT(ISERROR(FIND(EXP_MATRIX!$B$1:$Z$1,G$1))),EXP_MATRIX!$B42:$Z42,1))^IF(ISERROR(FIND("2",G$1)),1,2))</f>
        <v/>
      </c>
      <c r="H42" s="1" t="str" cm="1">
        <f t="array" ref="H42">IF(OR(H$1="",EXP_MATRIX!$C42=""),"",PRODUCT(IF(NOT(ISERROR(FIND(EXP_MATRIX!$B$1:$Z$1,H$1))),EXP_MATRIX!$B42:$Z42,1))^IF(ISERROR(FIND("2",H$1)),1,2))</f>
        <v/>
      </c>
      <c r="I42" s="1" t="str" cm="1">
        <f t="array" ref="I42">IF(OR(I$1="",EXP_MATRIX!$C42=""),"",PRODUCT(IF(NOT(ISERROR(FIND(EXP_MATRIX!$B$1:$Z$1,I$1))),EXP_MATRIX!$B42:$Z42,1))^IF(ISERROR(FIND("2",I$1)),1,2))</f>
        <v/>
      </c>
      <c r="J42" s="1" t="str" cm="1">
        <f t="array" ref="J42">IF(OR(J$1="",EXP_MATRIX!$C42=""),"",PRODUCT(IF(NOT(ISERROR(FIND(EXP_MATRIX!$B$1:$Z$1,J$1))),EXP_MATRIX!$B42:$Z42,1))^IF(ISERROR(FIND("2",J$1)),1,2))</f>
        <v/>
      </c>
      <c r="K42" s="1" t="str" cm="1">
        <f t="array" ref="K42">IF(OR(K$1="",EXP_MATRIX!$C42=""),"",PRODUCT(IF(NOT(ISERROR(FIND(EXP_MATRIX!$B$1:$Z$1,K$1))),EXP_MATRIX!$B42:$Z42,1))^IF(ISERROR(FIND("2",K$1)),1,2))</f>
        <v/>
      </c>
      <c r="L42" s="1" t="str" cm="1">
        <f t="array" ref="L42">IF(OR(L$1="",EXP_MATRIX!$C42=""),"",PRODUCT(IF(NOT(ISERROR(FIND(EXP_MATRIX!$B$1:$Z$1,L$1))),EXP_MATRIX!$B42:$Z42,1))^IF(ISERROR(FIND("2",L$1)),1,2))</f>
        <v/>
      </c>
      <c r="M42" s="1" t="str" cm="1">
        <f t="array" ref="M42">IF(OR(M$1="",EXP_MATRIX!$C42=""),"",PRODUCT(IF(NOT(ISERROR(FIND(EXP_MATRIX!$B$1:$Z$1,M$1))),EXP_MATRIX!$B42:$Z42,1))^IF(ISERROR(FIND("2",M$1)),1,2))</f>
        <v/>
      </c>
      <c r="N42" s="1" t="str" cm="1">
        <f t="array" ref="N42">IF(OR(N$1="",EXP_MATRIX!$C42=""),"",PRODUCT(IF(NOT(ISERROR(FIND(EXP_MATRIX!$B$1:$Z$1,N$1))),EXP_MATRIX!$B42:$Z42,1))^IF(ISERROR(FIND("2",N$1)),1,2))</f>
        <v/>
      </c>
      <c r="O42" s="1" t="str" cm="1">
        <f t="array" ref="O42">IF(OR(O$1="",EXP_MATRIX!$C42=""),"",PRODUCT(IF(NOT(ISERROR(FIND(EXP_MATRIX!$B$1:$Z$1,O$1))),EXP_MATRIX!$B42:$Z42,1))^IF(ISERROR(FIND("2",O$1)),1,2))</f>
        <v/>
      </c>
      <c r="P42" s="1" t="str" cm="1">
        <f t="array" ref="P42">IF(OR(P$1="",EXP_MATRIX!$C42=""),"",PRODUCT(IF(NOT(ISERROR(FIND(EXP_MATRIX!$B$1:$Z$1,P$1))),EXP_MATRIX!$B42:$Z42,1))^IF(ISERROR(FIND("2",P$1)),1,2))</f>
        <v/>
      </c>
      <c r="Q42" s="1" t="str" cm="1">
        <f t="array" ref="Q42">IF(OR(Q$1="",EXP_MATRIX!$C42=""),"",PRODUCT(IF(NOT(ISERROR(FIND(EXP_MATRIX!$B$1:$Z$1,Q$1))),EXP_MATRIX!$B42:$Z42,1))^IF(ISERROR(FIND("2",Q$1)),1,2))</f>
        <v/>
      </c>
      <c r="R42" s="1" t="str" cm="1">
        <f t="array" ref="R42">IF(OR(R$1="",EXP_MATRIX!$C42=""),"",PRODUCT(IF(NOT(ISERROR(FIND(EXP_MATRIX!$B$1:$Z$1,R$1))),EXP_MATRIX!$B42:$Z42,1))^IF(ISERROR(FIND("2",R$1)),1,2))</f>
        <v/>
      </c>
      <c r="S42" s="1" t="str" cm="1">
        <f t="array" ref="S42">IF(OR(S$1="",EXP_MATRIX!$C42=""),"",PRODUCT(IF(NOT(ISERROR(FIND(EXP_MATRIX!$B$1:$Z$1,S$1))),EXP_MATRIX!$B42:$Z42,1))^IF(ISERROR(FIND("2",S$1)),1,2))</f>
        <v/>
      </c>
      <c r="T42" s="1" t="str" cm="1">
        <f t="array" ref="T42">IF(OR(T$1="",EXP_MATRIX!$C42=""),"",PRODUCT(IF(NOT(ISERROR(FIND(EXP_MATRIX!$B$1:$Z$1,T$1))),EXP_MATRIX!$B42:$Z42,1))^IF(ISERROR(FIND("2",T$1)),1,2))</f>
        <v/>
      </c>
      <c r="U42" s="1" t="str" cm="1">
        <f t="array" ref="U42">IF(OR(U$1="",EXP_MATRIX!$C42=""),"",PRODUCT(IF(NOT(ISERROR(FIND(EXP_MATRIX!$B$1:$Z$1,U$1))),EXP_MATRIX!$B42:$Z42,1))^IF(ISERROR(FIND("2",U$1)),1,2))</f>
        <v/>
      </c>
      <c r="V42" s="1" t="str" cm="1">
        <f t="array" ref="V42">IF(OR(V$1="",EXP_MATRIX!$C42=""),"",PRODUCT(IF(NOT(ISERROR(FIND(EXP_MATRIX!$B$1:$Z$1,V$1))),EXP_MATRIX!$B42:$Z42,1))^IF(ISERROR(FIND("2",V$1)),1,2))</f>
        <v/>
      </c>
      <c r="W42" s="1" t="str" cm="1">
        <f t="array" ref="W42">IF(OR(W$1="",EXP_MATRIX!$C42=""),"",PRODUCT(IF(NOT(ISERROR(FIND(EXP_MATRIX!$B$1:$Z$1,W$1))),EXP_MATRIX!$B42:$Z42,1))^IF(ISERROR(FIND("2",W$1)),1,2))</f>
        <v/>
      </c>
      <c r="X42" s="1" t="str" cm="1">
        <f t="array" ref="X42">IF(OR(X$1="",EXP_MATRIX!$C42=""),"",PRODUCT(IF(NOT(ISERROR(FIND(EXP_MATRIX!$B$1:$Z$1,X$1))),EXP_MATRIX!$B42:$Z42,1))^IF(ISERROR(FIND("2",X$1)),1,2))</f>
        <v/>
      </c>
      <c r="Y42" s="1" t="str" cm="1">
        <f t="array" ref="Y42">IF(OR(Y$1="",EXP_MATRIX!$C42=""),"",PRODUCT(IF(NOT(ISERROR(FIND(EXP_MATRIX!$B$1:$Z$1,Y$1))),EXP_MATRIX!$B42:$Z42,1))^IF(ISERROR(FIND("2",Y$1)),1,2))</f>
        <v/>
      </c>
      <c r="Z42" s="1" t="str" cm="1">
        <f t="array" ref="Z42">IF(OR(Z$1="",EXP_MATRIX!$C42=""),"",PRODUCT(IF(NOT(ISERROR(FIND(EXP_MATRIX!$B$1:$Z$1,Z$1))),EXP_MATRIX!$B42:$Z42,1))^IF(ISERROR(FIND("2",Z$1)),1,2))</f>
        <v/>
      </c>
      <c r="AA42" s="1" t="str" cm="1">
        <f t="array" ref="AA42">IF(OR(AA$1="",EXP_MATRIX!$C42=""),"",PRODUCT(IF(NOT(ISERROR(FIND(EXP_MATRIX!$B$1:$Z$1,AA$1))),EXP_MATRIX!$B42:$Z42,1))^IF(ISERROR(FIND("2",AA$1)),1,2))</f>
        <v/>
      </c>
    </row>
    <row r="43" spans="1:27" x14ac:dyDescent="0.25">
      <c r="A43">
        <v>42</v>
      </c>
      <c r="B43" s="1" t="str" cm="1">
        <f t="array" ref="B43">IF(OR(B$1="",EXP_MATRIX!$C43=""),"",PRODUCT(IF(NOT(ISERROR(FIND(EXP_MATRIX!$B$1:$Z$1,B$1))),EXP_MATRIX!$B43:$Z43,1))^IF(ISERROR(FIND("2",B$1)),1,2))</f>
        <v/>
      </c>
      <c r="C43" s="1" t="str" cm="1">
        <f t="array" ref="C43">IF(OR(C$1="",EXP_MATRIX!$C43=""),"",PRODUCT(IF(NOT(ISERROR(FIND(EXP_MATRIX!$B$1:$Z$1,C$1))),EXP_MATRIX!$B43:$Z43,1))^IF(ISERROR(FIND("2",C$1)),1,2))</f>
        <v/>
      </c>
      <c r="D43" s="1" t="str" cm="1">
        <f t="array" ref="D43">IF(OR(D$1="",EXP_MATRIX!$C43=""),"",PRODUCT(IF(NOT(ISERROR(FIND(EXP_MATRIX!$B$1:$Z$1,D$1))),EXP_MATRIX!$B43:$Z43,1))^IF(ISERROR(FIND("2",D$1)),1,2))</f>
        <v/>
      </c>
      <c r="E43" s="1" t="str" cm="1">
        <f t="array" ref="E43">IF(OR(E$1="",EXP_MATRIX!$C43=""),"",PRODUCT(IF(NOT(ISERROR(FIND(EXP_MATRIX!$B$1:$Z$1,E$1))),EXP_MATRIX!$B43:$Z43,1))^IF(ISERROR(FIND("2",E$1)),1,2))</f>
        <v/>
      </c>
      <c r="F43" s="1" t="str" cm="1">
        <f t="array" ref="F43">IF(OR(F$1="",EXP_MATRIX!$C43=""),"",PRODUCT(IF(NOT(ISERROR(FIND(EXP_MATRIX!$B$1:$Z$1,F$1))),EXP_MATRIX!$B43:$Z43,1))^IF(ISERROR(FIND("2",F$1)),1,2))</f>
        <v/>
      </c>
      <c r="G43" s="1" t="str" cm="1">
        <f t="array" ref="G43">IF(OR(G$1="",EXP_MATRIX!$C43=""),"",PRODUCT(IF(NOT(ISERROR(FIND(EXP_MATRIX!$B$1:$Z$1,G$1))),EXP_MATRIX!$B43:$Z43,1))^IF(ISERROR(FIND("2",G$1)),1,2))</f>
        <v/>
      </c>
      <c r="H43" s="1" t="str" cm="1">
        <f t="array" ref="H43">IF(OR(H$1="",EXP_MATRIX!$C43=""),"",PRODUCT(IF(NOT(ISERROR(FIND(EXP_MATRIX!$B$1:$Z$1,H$1))),EXP_MATRIX!$B43:$Z43,1))^IF(ISERROR(FIND("2",H$1)),1,2))</f>
        <v/>
      </c>
      <c r="I43" s="1" t="str" cm="1">
        <f t="array" ref="I43">IF(OR(I$1="",EXP_MATRIX!$C43=""),"",PRODUCT(IF(NOT(ISERROR(FIND(EXP_MATRIX!$B$1:$Z$1,I$1))),EXP_MATRIX!$B43:$Z43,1))^IF(ISERROR(FIND("2",I$1)),1,2))</f>
        <v/>
      </c>
      <c r="J43" s="1" t="str" cm="1">
        <f t="array" ref="J43">IF(OR(J$1="",EXP_MATRIX!$C43=""),"",PRODUCT(IF(NOT(ISERROR(FIND(EXP_MATRIX!$B$1:$Z$1,J$1))),EXP_MATRIX!$B43:$Z43,1))^IF(ISERROR(FIND("2",J$1)),1,2))</f>
        <v/>
      </c>
      <c r="K43" s="1" t="str" cm="1">
        <f t="array" ref="K43">IF(OR(K$1="",EXP_MATRIX!$C43=""),"",PRODUCT(IF(NOT(ISERROR(FIND(EXP_MATRIX!$B$1:$Z$1,K$1))),EXP_MATRIX!$B43:$Z43,1))^IF(ISERROR(FIND("2",K$1)),1,2))</f>
        <v/>
      </c>
      <c r="L43" s="1" t="str" cm="1">
        <f t="array" ref="L43">IF(OR(L$1="",EXP_MATRIX!$C43=""),"",PRODUCT(IF(NOT(ISERROR(FIND(EXP_MATRIX!$B$1:$Z$1,L$1))),EXP_MATRIX!$B43:$Z43,1))^IF(ISERROR(FIND("2",L$1)),1,2))</f>
        <v/>
      </c>
      <c r="M43" s="1" t="str" cm="1">
        <f t="array" ref="M43">IF(OR(M$1="",EXP_MATRIX!$C43=""),"",PRODUCT(IF(NOT(ISERROR(FIND(EXP_MATRIX!$B$1:$Z$1,M$1))),EXP_MATRIX!$B43:$Z43,1))^IF(ISERROR(FIND("2",M$1)),1,2))</f>
        <v/>
      </c>
      <c r="N43" s="1" t="str" cm="1">
        <f t="array" ref="N43">IF(OR(N$1="",EXP_MATRIX!$C43=""),"",PRODUCT(IF(NOT(ISERROR(FIND(EXP_MATRIX!$B$1:$Z$1,N$1))),EXP_MATRIX!$B43:$Z43,1))^IF(ISERROR(FIND("2",N$1)),1,2))</f>
        <v/>
      </c>
      <c r="O43" s="1" t="str" cm="1">
        <f t="array" ref="O43">IF(OR(O$1="",EXP_MATRIX!$C43=""),"",PRODUCT(IF(NOT(ISERROR(FIND(EXP_MATRIX!$B$1:$Z$1,O$1))),EXP_MATRIX!$B43:$Z43,1))^IF(ISERROR(FIND("2",O$1)),1,2))</f>
        <v/>
      </c>
      <c r="P43" s="1" t="str" cm="1">
        <f t="array" ref="P43">IF(OR(P$1="",EXP_MATRIX!$C43=""),"",PRODUCT(IF(NOT(ISERROR(FIND(EXP_MATRIX!$B$1:$Z$1,P$1))),EXP_MATRIX!$B43:$Z43,1))^IF(ISERROR(FIND("2",P$1)),1,2))</f>
        <v/>
      </c>
      <c r="Q43" s="1" t="str" cm="1">
        <f t="array" ref="Q43">IF(OR(Q$1="",EXP_MATRIX!$C43=""),"",PRODUCT(IF(NOT(ISERROR(FIND(EXP_MATRIX!$B$1:$Z$1,Q$1))),EXP_MATRIX!$B43:$Z43,1))^IF(ISERROR(FIND("2",Q$1)),1,2))</f>
        <v/>
      </c>
      <c r="R43" s="1" t="str" cm="1">
        <f t="array" ref="R43">IF(OR(R$1="",EXP_MATRIX!$C43=""),"",PRODUCT(IF(NOT(ISERROR(FIND(EXP_MATRIX!$B$1:$Z$1,R$1))),EXP_MATRIX!$B43:$Z43,1))^IF(ISERROR(FIND("2",R$1)),1,2))</f>
        <v/>
      </c>
      <c r="S43" s="1" t="str" cm="1">
        <f t="array" ref="S43">IF(OR(S$1="",EXP_MATRIX!$C43=""),"",PRODUCT(IF(NOT(ISERROR(FIND(EXP_MATRIX!$B$1:$Z$1,S$1))),EXP_MATRIX!$B43:$Z43,1))^IF(ISERROR(FIND("2",S$1)),1,2))</f>
        <v/>
      </c>
      <c r="T43" s="1" t="str" cm="1">
        <f t="array" ref="T43">IF(OR(T$1="",EXP_MATRIX!$C43=""),"",PRODUCT(IF(NOT(ISERROR(FIND(EXP_MATRIX!$B$1:$Z$1,T$1))),EXP_MATRIX!$B43:$Z43,1))^IF(ISERROR(FIND("2",T$1)),1,2))</f>
        <v/>
      </c>
      <c r="U43" s="1" t="str" cm="1">
        <f t="array" ref="U43">IF(OR(U$1="",EXP_MATRIX!$C43=""),"",PRODUCT(IF(NOT(ISERROR(FIND(EXP_MATRIX!$B$1:$Z$1,U$1))),EXP_MATRIX!$B43:$Z43,1))^IF(ISERROR(FIND("2",U$1)),1,2))</f>
        <v/>
      </c>
      <c r="V43" s="1" t="str" cm="1">
        <f t="array" ref="V43">IF(OR(V$1="",EXP_MATRIX!$C43=""),"",PRODUCT(IF(NOT(ISERROR(FIND(EXP_MATRIX!$B$1:$Z$1,V$1))),EXP_MATRIX!$B43:$Z43,1))^IF(ISERROR(FIND("2",V$1)),1,2))</f>
        <v/>
      </c>
      <c r="W43" s="1" t="str" cm="1">
        <f t="array" ref="W43">IF(OR(W$1="",EXP_MATRIX!$C43=""),"",PRODUCT(IF(NOT(ISERROR(FIND(EXP_MATRIX!$B$1:$Z$1,W$1))),EXP_MATRIX!$B43:$Z43,1))^IF(ISERROR(FIND("2",W$1)),1,2))</f>
        <v/>
      </c>
      <c r="X43" s="1" t="str" cm="1">
        <f t="array" ref="X43">IF(OR(X$1="",EXP_MATRIX!$C43=""),"",PRODUCT(IF(NOT(ISERROR(FIND(EXP_MATRIX!$B$1:$Z$1,X$1))),EXP_MATRIX!$B43:$Z43,1))^IF(ISERROR(FIND("2",X$1)),1,2))</f>
        <v/>
      </c>
      <c r="Y43" s="1" t="str" cm="1">
        <f t="array" ref="Y43">IF(OR(Y$1="",EXP_MATRIX!$C43=""),"",PRODUCT(IF(NOT(ISERROR(FIND(EXP_MATRIX!$B$1:$Z$1,Y$1))),EXP_MATRIX!$B43:$Z43,1))^IF(ISERROR(FIND("2",Y$1)),1,2))</f>
        <v/>
      </c>
      <c r="Z43" s="1" t="str" cm="1">
        <f t="array" ref="Z43">IF(OR(Z$1="",EXP_MATRIX!$C43=""),"",PRODUCT(IF(NOT(ISERROR(FIND(EXP_MATRIX!$B$1:$Z$1,Z$1))),EXP_MATRIX!$B43:$Z43,1))^IF(ISERROR(FIND("2",Z$1)),1,2))</f>
        <v/>
      </c>
      <c r="AA43" s="1" t="str" cm="1">
        <f t="array" ref="AA43">IF(OR(AA$1="",EXP_MATRIX!$C43=""),"",PRODUCT(IF(NOT(ISERROR(FIND(EXP_MATRIX!$B$1:$Z$1,AA$1))),EXP_MATRIX!$B43:$Z43,1))^IF(ISERROR(FIND("2",AA$1)),1,2))</f>
        <v/>
      </c>
    </row>
    <row r="44" spans="1:27" x14ac:dyDescent="0.25">
      <c r="A44">
        <v>43</v>
      </c>
      <c r="B44" s="1" t="str" cm="1">
        <f t="array" ref="B44">IF(OR(B$1="",EXP_MATRIX!$C44=""),"",PRODUCT(IF(NOT(ISERROR(FIND(EXP_MATRIX!$B$1:$Z$1,B$1))),EXP_MATRIX!$B44:$Z44,1))^IF(ISERROR(FIND("2",B$1)),1,2))</f>
        <v/>
      </c>
      <c r="C44" s="1" t="str" cm="1">
        <f t="array" ref="C44">IF(OR(C$1="",EXP_MATRIX!$C44=""),"",PRODUCT(IF(NOT(ISERROR(FIND(EXP_MATRIX!$B$1:$Z$1,C$1))),EXP_MATRIX!$B44:$Z44,1))^IF(ISERROR(FIND("2",C$1)),1,2))</f>
        <v/>
      </c>
      <c r="D44" s="1" t="str" cm="1">
        <f t="array" ref="D44">IF(OR(D$1="",EXP_MATRIX!$C44=""),"",PRODUCT(IF(NOT(ISERROR(FIND(EXP_MATRIX!$B$1:$Z$1,D$1))),EXP_MATRIX!$B44:$Z44,1))^IF(ISERROR(FIND("2",D$1)),1,2))</f>
        <v/>
      </c>
      <c r="E44" s="1" t="str" cm="1">
        <f t="array" ref="E44">IF(OR(E$1="",EXP_MATRIX!$C44=""),"",PRODUCT(IF(NOT(ISERROR(FIND(EXP_MATRIX!$B$1:$Z$1,E$1))),EXP_MATRIX!$B44:$Z44,1))^IF(ISERROR(FIND("2",E$1)),1,2))</f>
        <v/>
      </c>
      <c r="F44" s="1" t="str" cm="1">
        <f t="array" ref="F44">IF(OR(F$1="",EXP_MATRIX!$C44=""),"",PRODUCT(IF(NOT(ISERROR(FIND(EXP_MATRIX!$B$1:$Z$1,F$1))),EXP_MATRIX!$B44:$Z44,1))^IF(ISERROR(FIND("2",F$1)),1,2))</f>
        <v/>
      </c>
      <c r="G44" s="1" t="str" cm="1">
        <f t="array" ref="G44">IF(OR(G$1="",EXP_MATRIX!$C44=""),"",PRODUCT(IF(NOT(ISERROR(FIND(EXP_MATRIX!$B$1:$Z$1,G$1))),EXP_MATRIX!$B44:$Z44,1))^IF(ISERROR(FIND("2",G$1)),1,2))</f>
        <v/>
      </c>
      <c r="H44" s="1" t="str" cm="1">
        <f t="array" ref="H44">IF(OR(H$1="",EXP_MATRIX!$C44=""),"",PRODUCT(IF(NOT(ISERROR(FIND(EXP_MATRIX!$B$1:$Z$1,H$1))),EXP_MATRIX!$B44:$Z44,1))^IF(ISERROR(FIND("2",H$1)),1,2))</f>
        <v/>
      </c>
      <c r="I44" s="1" t="str" cm="1">
        <f t="array" ref="I44">IF(OR(I$1="",EXP_MATRIX!$C44=""),"",PRODUCT(IF(NOT(ISERROR(FIND(EXP_MATRIX!$B$1:$Z$1,I$1))),EXP_MATRIX!$B44:$Z44,1))^IF(ISERROR(FIND("2",I$1)),1,2))</f>
        <v/>
      </c>
      <c r="J44" s="1" t="str" cm="1">
        <f t="array" ref="J44">IF(OR(J$1="",EXP_MATRIX!$C44=""),"",PRODUCT(IF(NOT(ISERROR(FIND(EXP_MATRIX!$B$1:$Z$1,J$1))),EXP_MATRIX!$B44:$Z44,1))^IF(ISERROR(FIND("2",J$1)),1,2))</f>
        <v/>
      </c>
      <c r="K44" s="1" t="str" cm="1">
        <f t="array" ref="K44">IF(OR(K$1="",EXP_MATRIX!$C44=""),"",PRODUCT(IF(NOT(ISERROR(FIND(EXP_MATRIX!$B$1:$Z$1,K$1))),EXP_MATRIX!$B44:$Z44,1))^IF(ISERROR(FIND("2",K$1)),1,2))</f>
        <v/>
      </c>
      <c r="L44" s="1" t="str" cm="1">
        <f t="array" ref="L44">IF(OR(L$1="",EXP_MATRIX!$C44=""),"",PRODUCT(IF(NOT(ISERROR(FIND(EXP_MATRIX!$B$1:$Z$1,L$1))),EXP_MATRIX!$B44:$Z44,1))^IF(ISERROR(FIND("2",L$1)),1,2))</f>
        <v/>
      </c>
      <c r="M44" s="1" t="str" cm="1">
        <f t="array" ref="M44">IF(OR(M$1="",EXP_MATRIX!$C44=""),"",PRODUCT(IF(NOT(ISERROR(FIND(EXP_MATRIX!$B$1:$Z$1,M$1))),EXP_MATRIX!$B44:$Z44,1))^IF(ISERROR(FIND("2",M$1)),1,2))</f>
        <v/>
      </c>
      <c r="N44" s="1" t="str" cm="1">
        <f t="array" ref="N44">IF(OR(N$1="",EXP_MATRIX!$C44=""),"",PRODUCT(IF(NOT(ISERROR(FIND(EXP_MATRIX!$B$1:$Z$1,N$1))),EXP_MATRIX!$B44:$Z44,1))^IF(ISERROR(FIND("2",N$1)),1,2))</f>
        <v/>
      </c>
      <c r="O44" s="1" t="str" cm="1">
        <f t="array" ref="O44">IF(OR(O$1="",EXP_MATRIX!$C44=""),"",PRODUCT(IF(NOT(ISERROR(FIND(EXP_MATRIX!$B$1:$Z$1,O$1))),EXP_MATRIX!$B44:$Z44,1))^IF(ISERROR(FIND("2",O$1)),1,2))</f>
        <v/>
      </c>
      <c r="P44" s="1" t="str" cm="1">
        <f t="array" ref="P44">IF(OR(P$1="",EXP_MATRIX!$C44=""),"",PRODUCT(IF(NOT(ISERROR(FIND(EXP_MATRIX!$B$1:$Z$1,P$1))),EXP_MATRIX!$B44:$Z44,1))^IF(ISERROR(FIND("2",P$1)),1,2))</f>
        <v/>
      </c>
      <c r="Q44" s="1" t="str" cm="1">
        <f t="array" ref="Q44">IF(OR(Q$1="",EXP_MATRIX!$C44=""),"",PRODUCT(IF(NOT(ISERROR(FIND(EXP_MATRIX!$B$1:$Z$1,Q$1))),EXP_MATRIX!$B44:$Z44,1))^IF(ISERROR(FIND("2",Q$1)),1,2))</f>
        <v/>
      </c>
      <c r="R44" s="1" t="str" cm="1">
        <f t="array" ref="R44">IF(OR(R$1="",EXP_MATRIX!$C44=""),"",PRODUCT(IF(NOT(ISERROR(FIND(EXP_MATRIX!$B$1:$Z$1,R$1))),EXP_MATRIX!$B44:$Z44,1))^IF(ISERROR(FIND("2",R$1)),1,2))</f>
        <v/>
      </c>
      <c r="S44" s="1" t="str" cm="1">
        <f t="array" ref="S44">IF(OR(S$1="",EXP_MATRIX!$C44=""),"",PRODUCT(IF(NOT(ISERROR(FIND(EXP_MATRIX!$B$1:$Z$1,S$1))),EXP_MATRIX!$B44:$Z44,1))^IF(ISERROR(FIND("2",S$1)),1,2))</f>
        <v/>
      </c>
      <c r="T44" s="1" t="str" cm="1">
        <f t="array" ref="T44">IF(OR(T$1="",EXP_MATRIX!$C44=""),"",PRODUCT(IF(NOT(ISERROR(FIND(EXP_MATRIX!$B$1:$Z$1,T$1))),EXP_MATRIX!$B44:$Z44,1))^IF(ISERROR(FIND("2",T$1)),1,2))</f>
        <v/>
      </c>
      <c r="U44" s="1" t="str" cm="1">
        <f t="array" ref="U44">IF(OR(U$1="",EXP_MATRIX!$C44=""),"",PRODUCT(IF(NOT(ISERROR(FIND(EXP_MATRIX!$B$1:$Z$1,U$1))),EXP_MATRIX!$B44:$Z44,1))^IF(ISERROR(FIND("2",U$1)),1,2))</f>
        <v/>
      </c>
      <c r="V44" s="1" t="str" cm="1">
        <f t="array" ref="V44">IF(OR(V$1="",EXP_MATRIX!$C44=""),"",PRODUCT(IF(NOT(ISERROR(FIND(EXP_MATRIX!$B$1:$Z$1,V$1))),EXP_MATRIX!$B44:$Z44,1))^IF(ISERROR(FIND("2",V$1)),1,2))</f>
        <v/>
      </c>
      <c r="W44" s="1" t="str" cm="1">
        <f t="array" ref="W44">IF(OR(W$1="",EXP_MATRIX!$C44=""),"",PRODUCT(IF(NOT(ISERROR(FIND(EXP_MATRIX!$B$1:$Z$1,W$1))),EXP_MATRIX!$B44:$Z44,1))^IF(ISERROR(FIND("2",W$1)),1,2))</f>
        <v/>
      </c>
      <c r="X44" s="1" t="str" cm="1">
        <f t="array" ref="X44">IF(OR(X$1="",EXP_MATRIX!$C44=""),"",PRODUCT(IF(NOT(ISERROR(FIND(EXP_MATRIX!$B$1:$Z$1,X$1))),EXP_MATRIX!$B44:$Z44,1))^IF(ISERROR(FIND("2",X$1)),1,2))</f>
        <v/>
      </c>
      <c r="Y44" s="1" t="str" cm="1">
        <f t="array" ref="Y44">IF(OR(Y$1="",EXP_MATRIX!$C44=""),"",PRODUCT(IF(NOT(ISERROR(FIND(EXP_MATRIX!$B$1:$Z$1,Y$1))),EXP_MATRIX!$B44:$Z44,1))^IF(ISERROR(FIND("2",Y$1)),1,2))</f>
        <v/>
      </c>
      <c r="Z44" s="1" t="str" cm="1">
        <f t="array" ref="Z44">IF(OR(Z$1="",EXP_MATRIX!$C44=""),"",PRODUCT(IF(NOT(ISERROR(FIND(EXP_MATRIX!$B$1:$Z$1,Z$1))),EXP_MATRIX!$B44:$Z44,1))^IF(ISERROR(FIND("2",Z$1)),1,2))</f>
        <v/>
      </c>
      <c r="AA44" s="1" t="str" cm="1">
        <f t="array" ref="AA44">IF(OR(AA$1="",EXP_MATRIX!$C44=""),"",PRODUCT(IF(NOT(ISERROR(FIND(EXP_MATRIX!$B$1:$Z$1,AA$1))),EXP_MATRIX!$B44:$Z44,1))^IF(ISERROR(FIND("2",AA$1)),1,2))</f>
        <v/>
      </c>
    </row>
    <row r="45" spans="1:27" x14ac:dyDescent="0.25">
      <c r="A45">
        <v>44</v>
      </c>
      <c r="B45" s="1" t="str" cm="1">
        <f t="array" ref="B45">IF(OR(B$1="",EXP_MATRIX!$C45=""),"",PRODUCT(IF(NOT(ISERROR(FIND(EXP_MATRIX!$B$1:$Z$1,B$1))),EXP_MATRIX!$B45:$Z45,1))^IF(ISERROR(FIND("2",B$1)),1,2))</f>
        <v/>
      </c>
      <c r="C45" s="1" t="str" cm="1">
        <f t="array" ref="C45">IF(OR(C$1="",EXP_MATRIX!$C45=""),"",PRODUCT(IF(NOT(ISERROR(FIND(EXP_MATRIX!$B$1:$Z$1,C$1))),EXP_MATRIX!$B45:$Z45,1))^IF(ISERROR(FIND("2",C$1)),1,2))</f>
        <v/>
      </c>
      <c r="D45" s="1" t="str" cm="1">
        <f t="array" ref="D45">IF(OR(D$1="",EXP_MATRIX!$C45=""),"",PRODUCT(IF(NOT(ISERROR(FIND(EXP_MATRIX!$B$1:$Z$1,D$1))),EXP_MATRIX!$B45:$Z45,1))^IF(ISERROR(FIND("2",D$1)),1,2))</f>
        <v/>
      </c>
      <c r="E45" s="1" t="str" cm="1">
        <f t="array" ref="E45">IF(OR(E$1="",EXP_MATRIX!$C45=""),"",PRODUCT(IF(NOT(ISERROR(FIND(EXP_MATRIX!$B$1:$Z$1,E$1))),EXP_MATRIX!$B45:$Z45,1))^IF(ISERROR(FIND("2",E$1)),1,2))</f>
        <v/>
      </c>
      <c r="F45" s="1" t="str" cm="1">
        <f t="array" ref="F45">IF(OR(F$1="",EXP_MATRIX!$C45=""),"",PRODUCT(IF(NOT(ISERROR(FIND(EXP_MATRIX!$B$1:$Z$1,F$1))),EXP_MATRIX!$B45:$Z45,1))^IF(ISERROR(FIND("2",F$1)),1,2))</f>
        <v/>
      </c>
      <c r="G45" s="1" t="str" cm="1">
        <f t="array" ref="G45">IF(OR(G$1="",EXP_MATRIX!$C45=""),"",PRODUCT(IF(NOT(ISERROR(FIND(EXP_MATRIX!$B$1:$Z$1,G$1))),EXP_MATRIX!$B45:$Z45,1))^IF(ISERROR(FIND("2",G$1)),1,2))</f>
        <v/>
      </c>
      <c r="H45" s="1" t="str" cm="1">
        <f t="array" ref="H45">IF(OR(H$1="",EXP_MATRIX!$C45=""),"",PRODUCT(IF(NOT(ISERROR(FIND(EXP_MATRIX!$B$1:$Z$1,H$1))),EXP_MATRIX!$B45:$Z45,1))^IF(ISERROR(FIND("2",H$1)),1,2))</f>
        <v/>
      </c>
      <c r="I45" s="1" t="str" cm="1">
        <f t="array" ref="I45">IF(OR(I$1="",EXP_MATRIX!$C45=""),"",PRODUCT(IF(NOT(ISERROR(FIND(EXP_MATRIX!$B$1:$Z$1,I$1))),EXP_MATRIX!$B45:$Z45,1))^IF(ISERROR(FIND("2",I$1)),1,2))</f>
        <v/>
      </c>
      <c r="J45" s="1" t="str" cm="1">
        <f t="array" ref="J45">IF(OR(J$1="",EXP_MATRIX!$C45=""),"",PRODUCT(IF(NOT(ISERROR(FIND(EXP_MATRIX!$B$1:$Z$1,J$1))),EXP_MATRIX!$B45:$Z45,1))^IF(ISERROR(FIND("2",J$1)),1,2))</f>
        <v/>
      </c>
      <c r="K45" s="1" t="str" cm="1">
        <f t="array" ref="K45">IF(OR(K$1="",EXP_MATRIX!$C45=""),"",PRODUCT(IF(NOT(ISERROR(FIND(EXP_MATRIX!$B$1:$Z$1,K$1))),EXP_MATRIX!$B45:$Z45,1))^IF(ISERROR(FIND("2",K$1)),1,2))</f>
        <v/>
      </c>
      <c r="L45" s="1" t="str" cm="1">
        <f t="array" ref="L45">IF(OR(L$1="",EXP_MATRIX!$C45=""),"",PRODUCT(IF(NOT(ISERROR(FIND(EXP_MATRIX!$B$1:$Z$1,L$1))),EXP_MATRIX!$B45:$Z45,1))^IF(ISERROR(FIND("2",L$1)),1,2))</f>
        <v/>
      </c>
      <c r="M45" s="1" t="str" cm="1">
        <f t="array" ref="M45">IF(OR(M$1="",EXP_MATRIX!$C45=""),"",PRODUCT(IF(NOT(ISERROR(FIND(EXP_MATRIX!$B$1:$Z$1,M$1))),EXP_MATRIX!$B45:$Z45,1))^IF(ISERROR(FIND("2",M$1)),1,2))</f>
        <v/>
      </c>
      <c r="N45" s="1" t="str" cm="1">
        <f t="array" ref="N45">IF(OR(N$1="",EXP_MATRIX!$C45=""),"",PRODUCT(IF(NOT(ISERROR(FIND(EXP_MATRIX!$B$1:$Z$1,N$1))),EXP_MATRIX!$B45:$Z45,1))^IF(ISERROR(FIND("2",N$1)),1,2))</f>
        <v/>
      </c>
      <c r="O45" s="1" t="str" cm="1">
        <f t="array" ref="O45">IF(OR(O$1="",EXP_MATRIX!$C45=""),"",PRODUCT(IF(NOT(ISERROR(FIND(EXP_MATRIX!$B$1:$Z$1,O$1))),EXP_MATRIX!$B45:$Z45,1))^IF(ISERROR(FIND("2",O$1)),1,2))</f>
        <v/>
      </c>
      <c r="P45" s="1" t="str" cm="1">
        <f t="array" ref="P45">IF(OR(P$1="",EXP_MATRIX!$C45=""),"",PRODUCT(IF(NOT(ISERROR(FIND(EXP_MATRIX!$B$1:$Z$1,P$1))),EXP_MATRIX!$B45:$Z45,1))^IF(ISERROR(FIND("2",P$1)),1,2))</f>
        <v/>
      </c>
      <c r="Q45" s="1" t="str" cm="1">
        <f t="array" ref="Q45">IF(OR(Q$1="",EXP_MATRIX!$C45=""),"",PRODUCT(IF(NOT(ISERROR(FIND(EXP_MATRIX!$B$1:$Z$1,Q$1))),EXP_MATRIX!$B45:$Z45,1))^IF(ISERROR(FIND("2",Q$1)),1,2))</f>
        <v/>
      </c>
      <c r="R45" s="1" t="str" cm="1">
        <f t="array" ref="R45">IF(OR(R$1="",EXP_MATRIX!$C45=""),"",PRODUCT(IF(NOT(ISERROR(FIND(EXP_MATRIX!$B$1:$Z$1,R$1))),EXP_MATRIX!$B45:$Z45,1))^IF(ISERROR(FIND("2",R$1)),1,2))</f>
        <v/>
      </c>
      <c r="S45" s="1" t="str" cm="1">
        <f t="array" ref="S45">IF(OR(S$1="",EXP_MATRIX!$C45=""),"",PRODUCT(IF(NOT(ISERROR(FIND(EXP_MATRIX!$B$1:$Z$1,S$1))),EXP_MATRIX!$B45:$Z45,1))^IF(ISERROR(FIND("2",S$1)),1,2))</f>
        <v/>
      </c>
      <c r="T45" s="1" t="str" cm="1">
        <f t="array" ref="T45">IF(OR(T$1="",EXP_MATRIX!$C45=""),"",PRODUCT(IF(NOT(ISERROR(FIND(EXP_MATRIX!$B$1:$Z$1,T$1))),EXP_MATRIX!$B45:$Z45,1))^IF(ISERROR(FIND("2",T$1)),1,2))</f>
        <v/>
      </c>
      <c r="U45" s="1" t="str" cm="1">
        <f t="array" ref="U45">IF(OR(U$1="",EXP_MATRIX!$C45=""),"",PRODUCT(IF(NOT(ISERROR(FIND(EXP_MATRIX!$B$1:$Z$1,U$1))),EXP_MATRIX!$B45:$Z45,1))^IF(ISERROR(FIND("2",U$1)),1,2))</f>
        <v/>
      </c>
      <c r="V45" s="1" t="str" cm="1">
        <f t="array" ref="V45">IF(OR(V$1="",EXP_MATRIX!$C45=""),"",PRODUCT(IF(NOT(ISERROR(FIND(EXP_MATRIX!$B$1:$Z$1,V$1))),EXP_MATRIX!$B45:$Z45,1))^IF(ISERROR(FIND("2",V$1)),1,2))</f>
        <v/>
      </c>
      <c r="W45" s="1" t="str" cm="1">
        <f t="array" ref="W45">IF(OR(W$1="",EXP_MATRIX!$C45=""),"",PRODUCT(IF(NOT(ISERROR(FIND(EXP_MATRIX!$B$1:$Z$1,W$1))),EXP_MATRIX!$B45:$Z45,1))^IF(ISERROR(FIND("2",W$1)),1,2))</f>
        <v/>
      </c>
      <c r="X45" s="1" t="str" cm="1">
        <f t="array" ref="X45">IF(OR(X$1="",EXP_MATRIX!$C45=""),"",PRODUCT(IF(NOT(ISERROR(FIND(EXP_MATRIX!$B$1:$Z$1,X$1))),EXP_MATRIX!$B45:$Z45,1))^IF(ISERROR(FIND("2",X$1)),1,2))</f>
        <v/>
      </c>
      <c r="Y45" s="1" t="str" cm="1">
        <f t="array" ref="Y45">IF(OR(Y$1="",EXP_MATRIX!$C45=""),"",PRODUCT(IF(NOT(ISERROR(FIND(EXP_MATRIX!$B$1:$Z$1,Y$1))),EXP_MATRIX!$B45:$Z45,1))^IF(ISERROR(FIND("2",Y$1)),1,2))</f>
        <v/>
      </c>
      <c r="Z45" s="1" t="str" cm="1">
        <f t="array" ref="Z45">IF(OR(Z$1="",EXP_MATRIX!$C45=""),"",PRODUCT(IF(NOT(ISERROR(FIND(EXP_MATRIX!$B$1:$Z$1,Z$1))),EXP_MATRIX!$B45:$Z45,1))^IF(ISERROR(FIND("2",Z$1)),1,2))</f>
        <v/>
      </c>
      <c r="AA45" s="1" t="str" cm="1">
        <f t="array" ref="AA45">IF(OR(AA$1="",EXP_MATRIX!$C45=""),"",PRODUCT(IF(NOT(ISERROR(FIND(EXP_MATRIX!$B$1:$Z$1,AA$1))),EXP_MATRIX!$B45:$Z45,1))^IF(ISERROR(FIND("2",AA$1)),1,2))</f>
        <v/>
      </c>
    </row>
    <row r="46" spans="1:27" x14ac:dyDescent="0.25">
      <c r="A46">
        <v>45</v>
      </c>
      <c r="B46" s="1" t="str" cm="1">
        <f t="array" ref="B46">IF(OR(B$1="",EXP_MATRIX!$C46=""),"",PRODUCT(IF(NOT(ISERROR(FIND(EXP_MATRIX!$B$1:$Z$1,B$1))),EXP_MATRIX!$B46:$Z46,1))^IF(ISERROR(FIND("2",B$1)),1,2))</f>
        <v/>
      </c>
      <c r="C46" s="1" t="str" cm="1">
        <f t="array" ref="C46">IF(OR(C$1="",EXP_MATRIX!$C46=""),"",PRODUCT(IF(NOT(ISERROR(FIND(EXP_MATRIX!$B$1:$Z$1,C$1))),EXP_MATRIX!$B46:$Z46,1))^IF(ISERROR(FIND("2",C$1)),1,2))</f>
        <v/>
      </c>
      <c r="D46" s="1" t="str" cm="1">
        <f t="array" ref="D46">IF(OR(D$1="",EXP_MATRIX!$C46=""),"",PRODUCT(IF(NOT(ISERROR(FIND(EXP_MATRIX!$B$1:$Z$1,D$1))),EXP_MATRIX!$B46:$Z46,1))^IF(ISERROR(FIND("2",D$1)),1,2))</f>
        <v/>
      </c>
      <c r="E46" s="1" t="str" cm="1">
        <f t="array" ref="E46">IF(OR(E$1="",EXP_MATRIX!$C46=""),"",PRODUCT(IF(NOT(ISERROR(FIND(EXP_MATRIX!$B$1:$Z$1,E$1))),EXP_MATRIX!$B46:$Z46,1))^IF(ISERROR(FIND("2",E$1)),1,2))</f>
        <v/>
      </c>
      <c r="F46" s="1" t="str" cm="1">
        <f t="array" ref="F46">IF(OR(F$1="",EXP_MATRIX!$C46=""),"",PRODUCT(IF(NOT(ISERROR(FIND(EXP_MATRIX!$B$1:$Z$1,F$1))),EXP_MATRIX!$B46:$Z46,1))^IF(ISERROR(FIND("2",F$1)),1,2))</f>
        <v/>
      </c>
      <c r="G46" s="1" t="str" cm="1">
        <f t="array" ref="G46">IF(OR(G$1="",EXP_MATRIX!$C46=""),"",PRODUCT(IF(NOT(ISERROR(FIND(EXP_MATRIX!$B$1:$Z$1,G$1))),EXP_MATRIX!$B46:$Z46,1))^IF(ISERROR(FIND("2",G$1)),1,2))</f>
        <v/>
      </c>
      <c r="H46" s="1" t="str" cm="1">
        <f t="array" ref="H46">IF(OR(H$1="",EXP_MATRIX!$C46=""),"",PRODUCT(IF(NOT(ISERROR(FIND(EXP_MATRIX!$B$1:$Z$1,H$1))),EXP_MATRIX!$B46:$Z46,1))^IF(ISERROR(FIND("2",H$1)),1,2))</f>
        <v/>
      </c>
      <c r="I46" s="1" t="str" cm="1">
        <f t="array" ref="I46">IF(OR(I$1="",EXP_MATRIX!$C46=""),"",PRODUCT(IF(NOT(ISERROR(FIND(EXP_MATRIX!$B$1:$Z$1,I$1))),EXP_MATRIX!$B46:$Z46,1))^IF(ISERROR(FIND("2",I$1)),1,2))</f>
        <v/>
      </c>
      <c r="J46" s="1" t="str" cm="1">
        <f t="array" ref="J46">IF(OR(J$1="",EXP_MATRIX!$C46=""),"",PRODUCT(IF(NOT(ISERROR(FIND(EXP_MATRIX!$B$1:$Z$1,J$1))),EXP_MATRIX!$B46:$Z46,1))^IF(ISERROR(FIND("2",J$1)),1,2))</f>
        <v/>
      </c>
      <c r="K46" s="1" t="str" cm="1">
        <f t="array" ref="K46">IF(OR(K$1="",EXP_MATRIX!$C46=""),"",PRODUCT(IF(NOT(ISERROR(FIND(EXP_MATRIX!$B$1:$Z$1,K$1))),EXP_MATRIX!$B46:$Z46,1))^IF(ISERROR(FIND("2",K$1)),1,2))</f>
        <v/>
      </c>
      <c r="L46" s="1" t="str" cm="1">
        <f t="array" ref="L46">IF(OR(L$1="",EXP_MATRIX!$C46=""),"",PRODUCT(IF(NOT(ISERROR(FIND(EXP_MATRIX!$B$1:$Z$1,L$1))),EXP_MATRIX!$B46:$Z46,1))^IF(ISERROR(FIND("2",L$1)),1,2))</f>
        <v/>
      </c>
      <c r="M46" s="1" t="str" cm="1">
        <f t="array" ref="M46">IF(OR(M$1="",EXP_MATRIX!$C46=""),"",PRODUCT(IF(NOT(ISERROR(FIND(EXP_MATRIX!$B$1:$Z$1,M$1))),EXP_MATRIX!$B46:$Z46,1))^IF(ISERROR(FIND("2",M$1)),1,2))</f>
        <v/>
      </c>
      <c r="N46" s="1" t="str" cm="1">
        <f t="array" ref="N46">IF(OR(N$1="",EXP_MATRIX!$C46=""),"",PRODUCT(IF(NOT(ISERROR(FIND(EXP_MATRIX!$B$1:$Z$1,N$1))),EXP_MATRIX!$B46:$Z46,1))^IF(ISERROR(FIND("2",N$1)),1,2))</f>
        <v/>
      </c>
      <c r="O46" s="1" t="str" cm="1">
        <f t="array" ref="O46">IF(OR(O$1="",EXP_MATRIX!$C46=""),"",PRODUCT(IF(NOT(ISERROR(FIND(EXP_MATRIX!$B$1:$Z$1,O$1))),EXP_MATRIX!$B46:$Z46,1))^IF(ISERROR(FIND("2",O$1)),1,2))</f>
        <v/>
      </c>
      <c r="P46" s="1" t="str" cm="1">
        <f t="array" ref="P46">IF(OR(P$1="",EXP_MATRIX!$C46=""),"",PRODUCT(IF(NOT(ISERROR(FIND(EXP_MATRIX!$B$1:$Z$1,P$1))),EXP_MATRIX!$B46:$Z46,1))^IF(ISERROR(FIND("2",P$1)),1,2))</f>
        <v/>
      </c>
      <c r="Q46" s="1" t="str" cm="1">
        <f t="array" ref="Q46">IF(OR(Q$1="",EXP_MATRIX!$C46=""),"",PRODUCT(IF(NOT(ISERROR(FIND(EXP_MATRIX!$B$1:$Z$1,Q$1))),EXP_MATRIX!$B46:$Z46,1))^IF(ISERROR(FIND("2",Q$1)),1,2))</f>
        <v/>
      </c>
      <c r="R46" s="1" t="str" cm="1">
        <f t="array" ref="R46">IF(OR(R$1="",EXP_MATRIX!$C46=""),"",PRODUCT(IF(NOT(ISERROR(FIND(EXP_MATRIX!$B$1:$Z$1,R$1))),EXP_MATRIX!$B46:$Z46,1))^IF(ISERROR(FIND("2",R$1)),1,2))</f>
        <v/>
      </c>
      <c r="S46" s="1" t="str" cm="1">
        <f t="array" ref="S46">IF(OR(S$1="",EXP_MATRIX!$C46=""),"",PRODUCT(IF(NOT(ISERROR(FIND(EXP_MATRIX!$B$1:$Z$1,S$1))),EXP_MATRIX!$B46:$Z46,1))^IF(ISERROR(FIND("2",S$1)),1,2))</f>
        <v/>
      </c>
      <c r="T46" s="1" t="str" cm="1">
        <f t="array" ref="T46">IF(OR(T$1="",EXP_MATRIX!$C46=""),"",PRODUCT(IF(NOT(ISERROR(FIND(EXP_MATRIX!$B$1:$Z$1,T$1))),EXP_MATRIX!$B46:$Z46,1))^IF(ISERROR(FIND("2",T$1)),1,2))</f>
        <v/>
      </c>
      <c r="U46" s="1" t="str" cm="1">
        <f t="array" ref="U46">IF(OR(U$1="",EXP_MATRIX!$C46=""),"",PRODUCT(IF(NOT(ISERROR(FIND(EXP_MATRIX!$B$1:$Z$1,U$1))),EXP_MATRIX!$B46:$Z46,1))^IF(ISERROR(FIND("2",U$1)),1,2))</f>
        <v/>
      </c>
      <c r="V46" s="1" t="str" cm="1">
        <f t="array" ref="V46">IF(OR(V$1="",EXP_MATRIX!$C46=""),"",PRODUCT(IF(NOT(ISERROR(FIND(EXP_MATRIX!$B$1:$Z$1,V$1))),EXP_MATRIX!$B46:$Z46,1))^IF(ISERROR(FIND("2",V$1)),1,2))</f>
        <v/>
      </c>
      <c r="W46" s="1" t="str" cm="1">
        <f t="array" ref="W46">IF(OR(W$1="",EXP_MATRIX!$C46=""),"",PRODUCT(IF(NOT(ISERROR(FIND(EXP_MATRIX!$B$1:$Z$1,W$1))),EXP_MATRIX!$B46:$Z46,1))^IF(ISERROR(FIND("2",W$1)),1,2))</f>
        <v/>
      </c>
      <c r="X46" s="1" t="str" cm="1">
        <f t="array" ref="X46">IF(OR(X$1="",EXP_MATRIX!$C46=""),"",PRODUCT(IF(NOT(ISERROR(FIND(EXP_MATRIX!$B$1:$Z$1,X$1))),EXP_MATRIX!$B46:$Z46,1))^IF(ISERROR(FIND("2",X$1)),1,2))</f>
        <v/>
      </c>
      <c r="Y46" s="1" t="str" cm="1">
        <f t="array" ref="Y46">IF(OR(Y$1="",EXP_MATRIX!$C46=""),"",PRODUCT(IF(NOT(ISERROR(FIND(EXP_MATRIX!$B$1:$Z$1,Y$1))),EXP_MATRIX!$B46:$Z46,1))^IF(ISERROR(FIND("2",Y$1)),1,2))</f>
        <v/>
      </c>
      <c r="Z46" s="1" t="str" cm="1">
        <f t="array" ref="Z46">IF(OR(Z$1="",EXP_MATRIX!$C46=""),"",PRODUCT(IF(NOT(ISERROR(FIND(EXP_MATRIX!$B$1:$Z$1,Z$1))),EXP_MATRIX!$B46:$Z46,1))^IF(ISERROR(FIND("2",Z$1)),1,2))</f>
        <v/>
      </c>
      <c r="AA46" s="1" t="str" cm="1">
        <f t="array" ref="AA46">IF(OR(AA$1="",EXP_MATRIX!$C46=""),"",PRODUCT(IF(NOT(ISERROR(FIND(EXP_MATRIX!$B$1:$Z$1,AA$1))),EXP_MATRIX!$B46:$Z46,1))^IF(ISERROR(FIND("2",AA$1)),1,2))</f>
        <v/>
      </c>
    </row>
    <row r="47" spans="1:27" x14ac:dyDescent="0.25">
      <c r="A47">
        <v>46</v>
      </c>
      <c r="B47" s="1" t="str" cm="1">
        <f t="array" ref="B47">IF(OR(B$1="",EXP_MATRIX!$C47=""),"",PRODUCT(IF(NOT(ISERROR(FIND(EXP_MATRIX!$B$1:$Z$1,B$1))),EXP_MATRIX!$B47:$Z47,1))^IF(ISERROR(FIND("2",B$1)),1,2))</f>
        <v/>
      </c>
      <c r="C47" s="1" t="str" cm="1">
        <f t="array" ref="C47">IF(OR(C$1="",EXP_MATRIX!$C47=""),"",PRODUCT(IF(NOT(ISERROR(FIND(EXP_MATRIX!$B$1:$Z$1,C$1))),EXP_MATRIX!$B47:$Z47,1))^IF(ISERROR(FIND("2",C$1)),1,2))</f>
        <v/>
      </c>
      <c r="D47" s="1" t="str" cm="1">
        <f t="array" ref="D47">IF(OR(D$1="",EXP_MATRIX!$C47=""),"",PRODUCT(IF(NOT(ISERROR(FIND(EXP_MATRIX!$B$1:$Z$1,D$1))),EXP_MATRIX!$B47:$Z47,1))^IF(ISERROR(FIND("2",D$1)),1,2))</f>
        <v/>
      </c>
      <c r="E47" s="1" t="str" cm="1">
        <f t="array" ref="E47">IF(OR(E$1="",EXP_MATRIX!$C47=""),"",PRODUCT(IF(NOT(ISERROR(FIND(EXP_MATRIX!$B$1:$Z$1,E$1))),EXP_MATRIX!$B47:$Z47,1))^IF(ISERROR(FIND("2",E$1)),1,2))</f>
        <v/>
      </c>
      <c r="F47" s="1" t="str" cm="1">
        <f t="array" ref="F47">IF(OR(F$1="",EXP_MATRIX!$C47=""),"",PRODUCT(IF(NOT(ISERROR(FIND(EXP_MATRIX!$B$1:$Z$1,F$1))),EXP_MATRIX!$B47:$Z47,1))^IF(ISERROR(FIND("2",F$1)),1,2))</f>
        <v/>
      </c>
      <c r="G47" s="1" t="str" cm="1">
        <f t="array" ref="G47">IF(OR(G$1="",EXP_MATRIX!$C47=""),"",PRODUCT(IF(NOT(ISERROR(FIND(EXP_MATRIX!$B$1:$Z$1,G$1))),EXP_MATRIX!$B47:$Z47,1))^IF(ISERROR(FIND("2",G$1)),1,2))</f>
        <v/>
      </c>
      <c r="H47" s="1" t="str" cm="1">
        <f t="array" ref="H47">IF(OR(H$1="",EXP_MATRIX!$C47=""),"",PRODUCT(IF(NOT(ISERROR(FIND(EXP_MATRIX!$B$1:$Z$1,H$1))),EXP_MATRIX!$B47:$Z47,1))^IF(ISERROR(FIND("2",H$1)),1,2))</f>
        <v/>
      </c>
      <c r="I47" s="1" t="str" cm="1">
        <f t="array" ref="I47">IF(OR(I$1="",EXP_MATRIX!$C47=""),"",PRODUCT(IF(NOT(ISERROR(FIND(EXP_MATRIX!$B$1:$Z$1,I$1))),EXP_MATRIX!$B47:$Z47,1))^IF(ISERROR(FIND("2",I$1)),1,2))</f>
        <v/>
      </c>
      <c r="J47" s="1" t="str" cm="1">
        <f t="array" ref="J47">IF(OR(J$1="",EXP_MATRIX!$C47=""),"",PRODUCT(IF(NOT(ISERROR(FIND(EXP_MATRIX!$B$1:$Z$1,J$1))),EXP_MATRIX!$B47:$Z47,1))^IF(ISERROR(FIND("2",J$1)),1,2))</f>
        <v/>
      </c>
      <c r="K47" s="1" t="str" cm="1">
        <f t="array" ref="K47">IF(OR(K$1="",EXP_MATRIX!$C47=""),"",PRODUCT(IF(NOT(ISERROR(FIND(EXP_MATRIX!$B$1:$Z$1,K$1))),EXP_MATRIX!$B47:$Z47,1))^IF(ISERROR(FIND("2",K$1)),1,2))</f>
        <v/>
      </c>
      <c r="L47" s="1" t="str" cm="1">
        <f t="array" ref="L47">IF(OR(L$1="",EXP_MATRIX!$C47=""),"",PRODUCT(IF(NOT(ISERROR(FIND(EXP_MATRIX!$B$1:$Z$1,L$1))),EXP_MATRIX!$B47:$Z47,1))^IF(ISERROR(FIND("2",L$1)),1,2))</f>
        <v/>
      </c>
      <c r="M47" s="1" t="str" cm="1">
        <f t="array" ref="M47">IF(OR(M$1="",EXP_MATRIX!$C47=""),"",PRODUCT(IF(NOT(ISERROR(FIND(EXP_MATRIX!$B$1:$Z$1,M$1))),EXP_MATRIX!$B47:$Z47,1))^IF(ISERROR(FIND("2",M$1)),1,2))</f>
        <v/>
      </c>
      <c r="N47" s="1" t="str" cm="1">
        <f t="array" ref="N47">IF(OR(N$1="",EXP_MATRIX!$C47=""),"",PRODUCT(IF(NOT(ISERROR(FIND(EXP_MATRIX!$B$1:$Z$1,N$1))),EXP_MATRIX!$B47:$Z47,1))^IF(ISERROR(FIND("2",N$1)),1,2))</f>
        <v/>
      </c>
      <c r="O47" s="1" t="str" cm="1">
        <f t="array" ref="O47">IF(OR(O$1="",EXP_MATRIX!$C47=""),"",PRODUCT(IF(NOT(ISERROR(FIND(EXP_MATRIX!$B$1:$Z$1,O$1))),EXP_MATRIX!$B47:$Z47,1))^IF(ISERROR(FIND("2",O$1)),1,2))</f>
        <v/>
      </c>
      <c r="P47" s="1" t="str" cm="1">
        <f t="array" ref="P47">IF(OR(P$1="",EXP_MATRIX!$C47=""),"",PRODUCT(IF(NOT(ISERROR(FIND(EXP_MATRIX!$B$1:$Z$1,P$1))),EXP_MATRIX!$B47:$Z47,1))^IF(ISERROR(FIND("2",P$1)),1,2))</f>
        <v/>
      </c>
      <c r="Q47" s="1" t="str" cm="1">
        <f t="array" ref="Q47">IF(OR(Q$1="",EXP_MATRIX!$C47=""),"",PRODUCT(IF(NOT(ISERROR(FIND(EXP_MATRIX!$B$1:$Z$1,Q$1))),EXP_MATRIX!$B47:$Z47,1))^IF(ISERROR(FIND("2",Q$1)),1,2))</f>
        <v/>
      </c>
      <c r="R47" s="1" t="str" cm="1">
        <f t="array" ref="R47">IF(OR(R$1="",EXP_MATRIX!$C47=""),"",PRODUCT(IF(NOT(ISERROR(FIND(EXP_MATRIX!$B$1:$Z$1,R$1))),EXP_MATRIX!$B47:$Z47,1))^IF(ISERROR(FIND("2",R$1)),1,2))</f>
        <v/>
      </c>
      <c r="S47" s="1" t="str" cm="1">
        <f t="array" ref="S47">IF(OR(S$1="",EXP_MATRIX!$C47=""),"",PRODUCT(IF(NOT(ISERROR(FIND(EXP_MATRIX!$B$1:$Z$1,S$1))),EXP_MATRIX!$B47:$Z47,1))^IF(ISERROR(FIND("2",S$1)),1,2))</f>
        <v/>
      </c>
      <c r="T47" s="1" t="str" cm="1">
        <f t="array" ref="T47">IF(OR(T$1="",EXP_MATRIX!$C47=""),"",PRODUCT(IF(NOT(ISERROR(FIND(EXP_MATRIX!$B$1:$Z$1,T$1))),EXP_MATRIX!$B47:$Z47,1))^IF(ISERROR(FIND("2",T$1)),1,2))</f>
        <v/>
      </c>
      <c r="U47" s="1" t="str" cm="1">
        <f t="array" ref="U47">IF(OR(U$1="",EXP_MATRIX!$C47=""),"",PRODUCT(IF(NOT(ISERROR(FIND(EXP_MATRIX!$B$1:$Z$1,U$1))),EXP_MATRIX!$B47:$Z47,1))^IF(ISERROR(FIND("2",U$1)),1,2))</f>
        <v/>
      </c>
      <c r="V47" s="1" t="str" cm="1">
        <f t="array" ref="V47">IF(OR(V$1="",EXP_MATRIX!$C47=""),"",PRODUCT(IF(NOT(ISERROR(FIND(EXP_MATRIX!$B$1:$Z$1,V$1))),EXP_MATRIX!$B47:$Z47,1))^IF(ISERROR(FIND("2",V$1)),1,2))</f>
        <v/>
      </c>
      <c r="W47" s="1" t="str" cm="1">
        <f t="array" ref="W47">IF(OR(W$1="",EXP_MATRIX!$C47=""),"",PRODUCT(IF(NOT(ISERROR(FIND(EXP_MATRIX!$B$1:$Z$1,W$1))),EXP_MATRIX!$B47:$Z47,1))^IF(ISERROR(FIND("2",W$1)),1,2))</f>
        <v/>
      </c>
      <c r="X47" s="1" t="str" cm="1">
        <f t="array" ref="X47">IF(OR(X$1="",EXP_MATRIX!$C47=""),"",PRODUCT(IF(NOT(ISERROR(FIND(EXP_MATRIX!$B$1:$Z$1,X$1))),EXP_MATRIX!$B47:$Z47,1))^IF(ISERROR(FIND("2",X$1)),1,2))</f>
        <v/>
      </c>
      <c r="Y47" s="1" t="str" cm="1">
        <f t="array" ref="Y47">IF(OR(Y$1="",EXP_MATRIX!$C47=""),"",PRODUCT(IF(NOT(ISERROR(FIND(EXP_MATRIX!$B$1:$Z$1,Y$1))),EXP_MATRIX!$B47:$Z47,1))^IF(ISERROR(FIND("2",Y$1)),1,2))</f>
        <v/>
      </c>
      <c r="Z47" s="1" t="str" cm="1">
        <f t="array" ref="Z47">IF(OR(Z$1="",EXP_MATRIX!$C47=""),"",PRODUCT(IF(NOT(ISERROR(FIND(EXP_MATRIX!$B$1:$Z$1,Z$1))),EXP_MATRIX!$B47:$Z47,1))^IF(ISERROR(FIND("2",Z$1)),1,2))</f>
        <v/>
      </c>
      <c r="AA47" s="1" t="str" cm="1">
        <f t="array" ref="AA47">IF(OR(AA$1="",EXP_MATRIX!$C47=""),"",PRODUCT(IF(NOT(ISERROR(FIND(EXP_MATRIX!$B$1:$Z$1,AA$1))),EXP_MATRIX!$B47:$Z47,1))^IF(ISERROR(FIND("2",AA$1)),1,2))</f>
        <v/>
      </c>
    </row>
    <row r="48" spans="1:27" x14ac:dyDescent="0.25">
      <c r="A48">
        <v>47</v>
      </c>
      <c r="B48" s="1" t="str" cm="1">
        <f t="array" ref="B48">IF(OR(B$1="",EXP_MATRIX!$C48=""),"",PRODUCT(IF(NOT(ISERROR(FIND(EXP_MATRIX!$B$1:$Z$1,B$1))),EXP_MATRIX!$B48:$Z48,1))^IF(ISERROR(FIND("2",B$1)),1,2))</f>
        <v/>
      </c>
      <c r="C48" s="1" t="str" cm="1">
        <f t="array" ref="C48">IF(OR(C$1="",EXP_MATRIX!$C48=""),"",PRODUCT(IF(NOT(ISERROR(FIND(EXP_MATRIX!$B$1:$Z$1,C$1))),EXP_MATRIX!$B48:$Z48,1))^IF(ISERROR(FIND("2",C$1)),1,2))</f>
        <v/>
      </c>
      <c r="D48" s="1" t="str" cm="1">
        <f t="array" ref="D48">IF(OR(D$1="",EXP_MATRIX!$C48=""),"",PRODUCT(IF(NOT(ISERROR(FIND(EXP_MATRIX!$B$1:$Z$1,D$1))),EXP_MATRIX!$B48:$Z48,1))^IF(ISERROR(FIND("2",D$1)),1,2))</f>
        <v/>
      </c>
      <c r="E48" s="1" t="str" cm="1">
        <f t="array" ref="E48">IF(OR(E$1="",EXP_MATRIX!$C48=""),"",PRODUCT(IF(NOT(ISERROR(FIND(EXP_MATRIX!$B$1:$Z$1,E$1))),EXP_MATRIX!$B48:$Z48,1))^IF(ISERROR(FIND("2",E$1)),1,2))</f>
        <v/>
      </c>
      <c r="F48" s="1" t="str" cm="1">
        <f t="array" ref="F48">IF(OR(F$1="",EXP_MATRIX!$C48=""),"",PRODUCT(IF(NOT(ISERROR(FIND(EXP_MATRIX!$B$1:$Z$1,F$1))),EXP_MATRIX!$B48:$Z48,1))^IF(ISERROR(FIND("2",F$1)),1,2))</f>
        <v/>
      </c>
      <c r="G48" s="1" t="str" cm="1">
        <f t="array" ref="G48">IF(OR(G$1="",EXP_MATRIX!$C48=""),"",PRODUCT(IF(NOT(ISERROR(FIND(EXP_MATRIX!$B$1:$Z$1,G$1))),EXP_MATRIX!$B48:$Z48,1))^IF(ISERROR(FIND("2",G$1)),1,2))</f>
        <v/>
      </c>
      <c r="H48" s="1" t="str" cm="1">
        <f t="array" ref="H48">IF(OR(H$1="",EXP_MATRIX!$C48=""),"",PRODUCT(IF(NOT(ISERROR(FIND(EXP_MATRIX!$B$1:$Z$1,H$1))),EXP_MATRIX!$B48:$Z48,1))^IF(ISERROR(FIND("2",H$1)),1,2))</f>
        <v/>
      </c>
      <c r="I48" s="1" t="str" cm="1">
        <f t="array" ref="I48">IF(OR(I$1="",EXP_MATRIX!$C48=""),"",PRODUCT(IF(NOT(ISERROR(FIND(EXP_MATRIX!$B$1:$Z$1,I$1))),EXP_MATRIX!$B48:$Z48,1))^IF(ISERROR(FIND("2",I$1)),1,2))</f>
        <v/>
      </c>
      <c r="J48" s="1" t="str" cm="1">
        <f t="array" ref="J48">IF(OR(J$1="",EXP_MATRIX!$C48=""),"",PRODUCT(IF(NOT(ISERROR(FIND(EXP_MATRIX!$B$1:$Z$1,J$1))),EXP_MATRIX!$B48:$Z48,1))^IF(ISERROR(FIND("2",J$1)),1,2))</f>
        <v/>
      </c>
      <c r="K48" s="1" t="str" cm="1">
        <f t="array" ref="K48">IF(OR(K$1="",EXP_MATRIX!$C48=""),"",PRODUCT(IF(NOT(ISERROR(FIND(EXP_MATRIX!$B$1:$Z$1,K$1))),EXP_MATRIX!$B48:$Z48,1))^IF(ISERROR(FIND("2",K$1)),1,2))</f>
        <v/>
      </c>
      <c r="L48" s="1" t="str" cm="1">
        <f t="array" ref="L48">IF(OR(L$1="",EXP_MATRIX!$C48=""),"",PRODUCT(IF(NOT(ISERROR(FIND(EXP_MATRIX!$B$1:$Z$1,L$1))),EXP_MATRIX!$B48:$Z48,1))^IF(ISERROR(FIND("2",L$1)),1,2))</f>
        <v/>
      </c>
      <c r="M48" s="1" t="str" cm="1">
        <f t="array" ref="M48">IF(OR(M$1="",EXP_MATRIX!$C48=""),"",PRODUCT(IF(NOT(ISERROR(FIND(EXP_MATRIX!$B$1:$Z$1,M$1))),EXP_MATRIX!$B48:$Z48,1))^IF(ISERROR(FIND("2",M$1)),1,2))</f>
        <v/>
      </c>
      <c r="N48" s="1" t="str" cm="1">
        <f t="array" ref="N48">IF(OR(N$1="",EXP_MATRIX!$C48=""),"",PRODUCT(IF(NOT(ISERROR(FIND(EXP_MATRIX!$B$1:$Z$1,N$1))),EXP_MATRIX!$B48:$Z48,1))^IF(ISERROR(FIND("2",N$1)),1,2))</f>
        <v/>
      </c>
      <c r="O48" s="1" t="str" cm="1">
        <f t="array" ref="O48">IF(OR(O$1="",EXP_MATRIX!$C48=""),"",PRODUCT(IF(NOT(ISERROR(FIND(EXP_MATRIX!$B$1:$Z$1,O$1))),EXP_MATRIX!$B48:$Z48,1))^IF(ISERROR(FIND("2",O$1)),1,2))</f>
        <v/>
      </c>
      <c r="P48" s="1" t="str" cm="1">
        <f t="array" ref="P48">IF(OR(P$1="",EXP_MATRIX!$C48=""),"",PRODUCT(IF(NOT(ISERROR(FIND(EXP_MATRIX!$B$1:$Z$1,P$1))),EXP_MATRIX!$B48:$Z48,1))^IF(ISERROR(FIND("2",P$1)),1,2))</f>
        <v/>
      </c>
      <c r="Q48" s="1" t="str" cm="1">
        <f t="array" ref="Q48">IF(OR(Q$1="",EXP_MATRIX!$C48=""),"",PRODUCT(IF(NOT(ISERROR(FIND(EXP_MATRIX!$B$1:$Z$1,Q$1))),EXP_MATRIX!$B48:$Z48,1))^IF(ISERROR(FIND("2",Q$1)),1,2))</f>
        <v/>
      </c>
      <c r="R48" s="1" t="str" cm="1">
        <f t="array" ref="R48">IF(OR(R$1="",EXP_MATRIX!$C48=""),"",PRODUCT(IF(NOT(ISERROR(FIND(EXP_MATRIX!$B$1:$Z$1,R$1))),EXP_MATRIX!$B48:$Z48,1))^IF(ISERROR(FIND("2",R$1)),1,2))</f>
        <v/>
      </c>
      <c r="S48" s="1" t="str" cm="1">
        <f t="array" ref="S48">IF(OR(S$1="",EXP_MATRIX!$C48=""),"",PRODUCT(IF(NOT(ISERROR(FIND(EXP_MATRIX!$B$1:$Z$1,S$1))),EXP_MATRIX!$B48:$Z48,1))^IF(ISERROR(FIND("2",S$1)),1,2))</f>
        <v/>
      </c>
      <c r="T48" s="1" t="str" cm="1">
        <f t="array" ref="T48">IF(OR(T$1="",EXP_MATRIX!$C48=""),"",PRODUCT(IF(NOT(ISERROR(FIND(EXP_MATRIX!$B$1:$Z$1,T$1))),EXP_MATRIX!$B48:$Z48,1))^IF(ISERROR(FIND("2",T$1)),1,2))</f>
        <v/>
      </c>
      <c r="U48" s="1" t="str" cm="1">
        <f t="array" ref="U48">IF(OR(U$1="",EXP_MATRIX!$C48=""),"",PRODUCT(IF(NOT(ISERROR(FIND(EXP_MATRIX!$B$1:$Z$1,U$1))),EXP_MATRIX!$B48:$Z48,1))^IF(ISERROR(FIND("2",U$1)),1,2))</f>
        <v/>
      </c>
      <c r="V48" s="1" t="str" cm="1">
        <f t="array" ref="V48">IF(OR(V$1="",EXP_MATRIX!$C48=""),"",PRODUCT(IF(NOT(ISERROR(FIND(EXP_MATRIX!$B$1:$Z$1,V$1))),EXP_MATRIX!$B48:$Z48,1))^IF(ISERROR(FIND("2",V$1)),1,2))</f>
        <v/>
      </c>
      <c r="W48" s="1" t="str" cm="1">
        <f t="array" ref="W48">IF(OR(W$1="",EXP_MATRIX!$C48=""),"",PRODUCT(IF(NOT(ISERROR(FIND(EXP_MATRIX!$B$1:$Z$1,W$1))),EXP_MATRIX!$B48:$Z48,1))^IF(ISERROR(FIND("2",W$1)),1,2))</f>
        <v/>
      </c>
      <c r="X48" s="1" t="str" cm="1">
        <f t="array" ref="X48">IF(OR(X$1="",EXP_MATRIX!$C48=""),"",PRODUCT(IF(NOT(ISERROR(FIND(EXP_MATRIX!$B$1:$Z$1,X$1))),EXP_MATRIX!$B48:$Z48,1))^IF(ISERROR(FIND("2",X$1)),1,2))</f>
        <v/>
      </c>
      <c r="Y48" s="1" t="str" cm="1">
        <f t="array" ref="Y48">IF(OR(Y$1="",EXP_MATRIX!$C48=""),"",PRODUCT(IF(NOT(ISERROR(FIND(EXP_MATRIX!$B$1:$Z$1,Y$1))),EXP_MATRIX!$B48:$Z48,1))^IF(ISERROR(FIND("2",Y$1)),1,2))</f>
        <v/>
      </c>
      <c r="Z48" s="1" t="str" cm="1">
        <f t="array" ref="Z48">IF(OR(Z$1="",EXP_MATRIX!$C48=""),"",PRODUCT(IF(NOT(ISERROR(FIND(EXP_MATRIX!$B$1:$Z$1,Z$1))),EXP_MATRIX!$B48:$Z48,1))^IF(ISERROR(FIND("2",Z$1)),1,2))</f>
        <v/>
      </c>
      <c r="AA48" s="1" t="str" cm="1">
        <f t="array" ref="AA48">IF(OR(AA$1="",EXP_MATRIX!$C48=""),"",PRODUCT(IF(NOT(ISERROR(FIND(EXP_MATRIX!$B$1:$Z$1,AA$1))),EXP_MATRIX!$B48:$Z48,1))^IF(ISERROR(FIND("2",AA$1)),1,2))</f>
        <v/>
      </c>
    </row>
    <row r="49" spans="1:27" x14ac:dyDescent="0.25">
      <c r="A49">
        <v>48</v>
      </c>
      <c r="B49" s="1" t="str" cm="1">
        <f t="array" ref="B49">IF(OR(B$1="",EXP_MATRIX!$C49=""),"",PRODUCT(IF(NOT(ISERROR(FIND(EXP_MATRIX!$B$1:$Z$1,B$1))),EXP_MATRIX!$B49:$Z49,1))^IF(ISERROR(FIND("2",B$1)),1,2))</f>
        <v/>
      </c>
      <c r="C49" s="1" t="str" cm="1">
        <f t="array" ref="C49">IF(OR(C$1="",EXP_MATRIX!$C49=""),"",PRODUCT(IF(NOT(ISERROR(FIND(EXP_MATRIX!$B$1:$Z$1,C$1))),EXP_MATRIX!$B49:$Z49,1))^IF(ISERROR(FIND("2",C$1)),1,2))</f>
        <v/>
      </c>
      <c r="D49" s="1" t="str" cm="1">
        <f t="array" ref="D49">IF(OR(D$1="",EXP_MATRIX!$C49=""),"",PRODUCT(IF(NOT(ISERROR(FIND(EXP_MATRIX!$B$1:$Z$1,D$1))),EXP_MATRIX!$B49:$Z49,1))^IF(ISERROR(FIND("2",D$1)),1,2))</f>
        <v/>
      </c>
      <c r="E49" s="1" t="str" cm="1">
        <f t="array" ref="E49">IF(OR(E$1="",EXP_MATRIX!$C49=""),"",PRODUCT(IF(NOT(ISERROR(FIND(EXP_MATRIX!$B$1:$Z$1,E$1))),EXP_MATRIX!$B49:$Z49,1))^IF(ISERROR(FIND("2",E$1)),1,2))</f>
        <v/>
      </c>
      <c r="F49" s="1" t="str" cm="1">
        <f t="array" ref="F49">IF(OR(F$1="",EXP_MATRIX!$C49=""),"",PRODUCT(IF(NOT(ISERROR(FIND(EXP_MATRIX!$B$1:$Z$1,F$1))),EXP_MATRIX!$B49:$Z49,1))^IF(ISERROR(FIND("2",F$1)),1,2))</f>
        <v/>
      </c>
      <c r="G49" s="1" t="str" cm="1">
        <f t="array" ref="G49">IF(OR(G$1="",EXP_MATRIX!$C49=""),"",PRODUCT(IF(NOT(ISERROR(FIND(EXP_MATRIX!$B$1:$Z$1,G$1))),EXP_MATRIX!$B49:$Z49,1))^IF(ISERROR(FIND("2",G$1)),1,2))</f>
        <v/>
      </c>
      <c r="H49" s="1" t="str" cm="1">
        <f t="array" ref="H49">IF(OR(H$1="",EXP_MATRIX!$C49=""),"",PRODUCT(IF(NOT(ISERROR(FIND(EXP_MATRIX!$B$1:$Z$1,H$1))),EXP_MATRIX!$B49:$Z49,1))^IF(ISERROR(FIND("2",H$1)),1,2))</f>
        <v/>
      </c>
      <c r="I49" s="1" t="str" cm="1">
        <f t="array" ref="I49">IF(OR(I$1="",EXP_MATRIX!$C49=""),"",PRODUCT(IF(NOT(ISERROR(FIND(EXP_MATRIX!$B$1:$Z$1,I$1))),EXP_MATRIX!$B49:$Z49,1))^IF(ISERROR(FIND("2",I$1)),1,2))</f>
        <v/>
      </c>
      <c r="J49" s="1" t="str" cm="1">
        <f t="array" ref="J49">IF(OR(J$1="",EXP_MATRIX!$C49=""),"",PRODUCT(IF(NOT(ISERROR(FIND(EXP_MATRIX!$B$1:$Z$1,J$1))),EXP_MATRIX!$B49:$Z49,1))^IF(ISERROR(FIND("2",J$1)),1,2))</f>
        <v/>
      </c>
      <c r="K49" s="1" t="str" cm="1">
        <f t="array" ref="K49">IF(OR(K$1="",EXP_MATRIX!$C49=""),"",PRODUCT(IF(NOT(ISERROR(FIND(EXP_MATRIX!$B$1:$Z$1,K$1))),EXP_MATRIX!$B49:$Z49,1))^IF(ISERROR(FIND("2",K$1)),1,2))</f>
        <v/>
      </c>
      <c r="L49" s="1" t="str" cm="1">
        <f t="array" ref="L49">IF(OR(L$1="",EXP_MATRIX!$C49=""),"",PRODUCT(IF(NOT(ISERROR(FIND(EXP_MATRIX!$B$1:$Z$1,L$1))),EXP_MATRIX!$B49:$Z49,1))^IF(ISERROR(FIND("2",L$1)),1,2))</f>
        <v/>
      </c>
      <c r="M49" s="1" t="str" cm="1">
        <f t="array" ref="M49">IF(OR(M$1="",EXP_MATRIX!$C49=""),"",PRODUCT(IF(NOT(ISERROR(FIND(EXP_MATRIX!$B$1:$Z$1,M$1))),EXP_MATRIX!$B49:$Z49,1))^IF(ISERROR(FIND("2",M$1)),1,2))</f>
        <v/>
      </c>
      <c r="N49" s="1" t="str" cm="1">
        <f t="array" ref="N49">IF(OR(N$1="",EXP_MATRIX!$C49=""),"",PRODUCT(IF(NOT(ISERROR(FIND(EXP_MATRIX!$B$1:$Z$1,N$1))),EXP_MATRIX!$B49:$Z49,1))^IF(ISERROR(FIND("2",N$1)),1,2))</f>
        <v/>
      </c>
      <c r="O49" s="1" t="str" cm="1">
        <f t="array" ref="O49">IF(OR(O$1="",EXP_MATRIX!$C49=""),"",PRODUCT(IF(NOT(ISERROR(FIND(EXP_MATRIX!$B$1:$Z$1,O$1))),EXP_MATRIX!$B49:$Z49,1))^IF(ISERROR(FIND("2",O$1)),1,2))</f>
        <v/>
      </c>
      <c r="P49" s="1" t="str" cm="1">
        <f t="array" ref="P49">IF(OR(P$1="",EXP_MATRIX!$C49=""),"",PRODUCT(IF(NOT(ISERROR(FIND(EXP_MATRIX!$B$1:$Z$1,P$1))),EXP_MATRIX!$B49:$Z49,1))^IF(ISERROR(FIND("2",P$1)),1,2))</f>
        <v/>
      </c>
      <c r="Q49" s="1" t="str" cm="1">
        <f t="array" ref="Q49">IF(OR(Q$1="",EXP_MATRIX!$C49=""),"",PRODUCT(IF(NOT(ISERROR(FIND(EXP_MATRIX!$B$1:$Z$1,Q$1))),EXP_MATRIX!$B49:$Z49,1))^IF(ISERROR(FIND("2",Q$1)),1,2))</f>
        <v/>
      </c>
      <c r="R49" s="1" t="str" cm="1">
        <f t="array" ref="R49">IF(OR(R$1="",EXP_MATRIX!$C49=""),"",PRODUCT(IF(NOT(ISERROR(FIND(EXP_MATRIX!$B$1:$Z$1,R$1))),EXP_MATRIX!$B49:$Z49,1))^IF(ISERROR(FIND("2",R$1)),1,2))</f>
        <v/>
      </c>
      <c r="S49" s="1" t="str" cm="1">
        <f t="array" ref="S49">IF(OR(S$1="",EXP_MATRIX!$C49=""),"",PRODUCT(IF(NOT(ISERROR(FIND(EXP_MATRIX!$B$1:$Z$1,S$1))),EXP_MATRIX!$B49:$Z49,1))^IF(ISERROR(FIND("2",S$1)),1,2))</f>
        <v/>
      </c>
      <c r="T49" s="1" t="str" cm="1">
        <f t="array" ref="T49">IF(OR(T$1="",EXP_MATRIX!$C49=""),"",PRODUCT(IF(NOT(ISERROR(FIND(EXP_MATRIX!$B$1:$Z$1,T$1))),EXP_MATRIX!$B49:$Z49,1))^IF(ISERROR(FIND("2",T$1)),1,2))</f>
        <v/>
      </c>
      <c r="U49" s="1" t="str" cm="1">
        <f t="array" ref="U49">IF(OR(U$1="",EXP_MATRIX!$C49=""),"",PRODUCT(IF(NOT(ISERROR(FIND(EXP_MATRIX!$B$1:$Z$1,U$1))),EXP_MATRIX!$B49:$Z49,1))^IF(ISERROR(FIND("2",U$1)),1,2))</f>
        <v/>
      </c>
      <c r="V49" s="1" t="str" cm="1">
        <f t="array" ref="V49">IF(OR(V$1="",EXP_MATRIX!$C49=""),"",PRODUCT(IF(NOT(ISERROR(FIND(EXP_MATRIX!$B$1:$Z$1,V$1))),EXP_MATRIX!$B49:$Z49,1))^IF(ISERROR(FIND("2",V$1)),1,2))</f>
        <v/>
      </c>
      <c r="W49" s="1" t="str" cm="1">
        <f t="array" ref="W49">IF(OR(W$1="",EXP_MATRIX!$C49=""),"",PRODUCT(IF(NOT(ISERROR(FIND(EXP_MATRIX!$B$1:$Z$1,W$1))),EXP_MATRIX!$B49:$Z49,1))^IF(ISERROR(FIND("2",W$1)),1,2))</f>
        <v/>
      </c>
      <c r="X49" s="1" t="str" cm="1">
        <f t="array" ref="X49">IF(OR(X$1="",EXP_MATRIX!$C49=""),"",PRODUCT(IF(NOT(ISERROR(FIND(EXP_MATRIX!$B$1:$Z$1,X$1))),EXP_MATRIX!$B49:$Z49,1))^IF(ISERROR(FIND("2",X$1)),1,2))</f>
        <v/>
      </c>
      <c r="Y49" s="1" t="str" cm="1">
        <f t="array" ref="Y49">IF(OR(Y$1="",EXP_MATRIX!$C49=""),"",PRODUCT(IF(NOT(ISERROR(FIND(EXP_MATRIX!$B$1:$Z$1,Y$1))),EXP_MATRIX!$B49:$Z49,1))^IF(ISERROR(FIND("2",Y$1)),1,2))</f>
        <v/>
      </c>
      <c r="Z49" s="1" t="str" cm="1">
        <f t="array" ref="Z49">IF(OR(Z$1="",EXP_MATRIX!$C49=""),"",PRODUCT(IF(NOT(ISERROR(FIND(EXP_MATRIX!$B$1:$Z$1,Z$1))),EXP_MATRIX!$B49:$Z49,1))^IF(ISERROR(FIND("2",Z$1)),1,2))</f>
        <v/>
      </c>
      <c r="AA49" s="1" t="str" cm="1">
        <f t="array" ref="AA49">IF(OR(AA$1="",EXP_MATRIX!$C49=""),"",PRODUCT(IF(NOT(ISERROR(FIND(EXP_MATRIX!$B$1:$Z$1,AA$1))),EXP_MATRIX!$B49:$Z49,1))^IF(ISERROR(FIND("2",AA$1)),1,2))</f>
        <v/>
      </c>
    </row>
    <row r="50" spans="1:27" x14ac:dyDescent="0.25">
      <c r="A50">
        <v>49</v>
      </c>
      <c r="B50" s="1" t="str" cm="1">
        <f t="array" ref="B50">IF(OR(B$1="",EXP_MATRIX!$C50=""),"",PRODUCT(IF(NOT(ISERROR(FIND(EXP_MATRIX!$B$1:$Z$1,B$1))),EXP_MATRIX!$B50:$Z50,1))^IF(ISERROR(FIND("2",B$1)),1,2))</f>
        <v/>
      </c>
      <c r="C50" s="1" t="str" cm="1">
        <f t="array" ref="C50">IF(OR(C$1="",EXP_MATRIX!$C50=""),"",PRODUCT(IF(NOT(ISERROR(FIND(EXP_MATRIX!$B$1:$Z$1,C$1))),EXP_MATRIX!$B50:$Z50,1))^IF(ISERROR(FIND("2",C$1)),1,2))</f>
        <v/>
      </c>
      <c r="D50" s="1" t="str" cm="1">
        <f t="array" ref="D50">IF(OR(D$1="",EXP_MATRIX!$C50=""),"",PRODUCT(IF(NOT(ISERROR(FIND(EXP_MATRIX!$B$1:$Z$1,D$1))),EXP_MATRIX!$B50:$Z50,1))^IF(ISERROR(FIND("2",D$1)),1,2))</f>
        <v/>
      </c>
      <c r="E50" s="1" t="str" cm="1">
        <f t="array" ref="E50">IF(OR(E$1="",EXP_MATRIX!$C50=""),"",PRODUCT(IF(NOT(ISERROR(FIND(EXP_MATRIX!$B$1:$Z$1,E$1))),EXP_MATRIX!$B50:$Z50,1))^IF(ISERROR(FIND("2",E$1)),1,2))</f>
        <v/>
      </c>
      <c r="F50" s="1" t="str" cm="1">
        <f t="array" ref="F50">IF(OR(F$1="",EXP_MATRIX!$C50=""),"",PRODUCT(IF(NOT(ISERROR(FIND(EXP_MATRIX!$B$1:$Z$1,F$1))),EXP_MATRIX!$B50:$Z50,1))^IF(ISERROR(FIND("2",F$1)),1,2))</f>
        <v/>
      </c>
      <c r="G50" s="1" t="str" cm="1">
        <f t="array" ref="G50">IF(OR(G$1="",EXP_MATRIX!$C50=""),"",PRODUCT(IF(NOT(ISERROR(FIND(EXP_MATRIX!$B$1:$Z$1,G$1))),EXP_MATRIX!$B50:$Z50,1))^IF(ISERROR(FIND("2",G$1)),1,2))</f>
        <v/>
      </c>
      <c r="H50" s="1" t="str" cm="1">
        <f t="array" ref="H50">IF(OR(H$1="",EXP_MATRIX!$C50=""),"",PRODUCT(IF(NOT(ISERROR(FIND(EXP_MATRIX!$B$1:$Z$1,H$1))),EXP_MATRIX!$B50:$Z50,1))^IF(ISERROR(FIND("2",H$1)),1,2))</f>
        <v/>
      </c>
      <c r="I50" s="1" t="str" cm="1">
        <f t="array" ref="I50">IF(OR(I$1="",EXP_MATRIX!$C50=""),"",PRODUCT(IF(NOT(ISERROR(FIND(EXP_MATRIX!$B$1:$Z$1,I$1))),EXP_MATRIX!$B50:$Z50,1))^IF(ISERROR(FIND("2",I$1)),1,2))</f>
        <v/>
      </c>
      <c r="J50" s="1" t="str" cm="1">
        <f t="array" ref="J50">IF(OR(J$1="",EXP_MATRIX!$C50=""),"",PRODUCT(IF(NOT(ISERROR(FIND(EXP_MATRIX!$B$1:$Z$1,J$1))),EXP_MATRIX!$B50:$Z50,1))^IF(ISERROR(FIND("2",J$1)),1,2))</f>
        <v/>
      </c>
      <c r="K50" s="1" t="str" cm="1">
        <f t="array" ref="K50">IF(OR(K$1="",EXP_MATRIX!$C50=""),"",PRODUCT(IF(NOT(ISERROR(FIND(EXP_MATRIX!$B$1:$Z$1,K$1))),EXP_MATRIX!$B50:$Z50,1))^IF(ISERROR(FIND("2",K$1)),1,2))</f>
        <v/>
      </c>
      <c r="L50" s="1" t="str" cm="1">
        <f t="array" ref="L50">IF(OR(L$1="",EXP_MATRIX!$C50=""),"",PRODUCT(IF(NOT(ISERROR(FIND(EXP_MATRIX!$B$1:$Z$1,L$1))),EXP_MATRIX!$B50:$Z50,1))^IF(ISERROR(FIND("2",L$1)),1,2))</f>
        <v/>
      </c>
      <c r="M50" s="1" t="str" cm="1">
        <f t="array" ref="M50">IF(OR(M$1="",EXP_MATRIX!$C50=""),"",PRODUCT(IF(NOT(ISERROR(FIND(EXP_MATRIX!$B$1:$Z$1,M$1))),EXP_MATRIX!$B50:$Z50,1))^IF(ISERROR(FIND("2",M$1)),1,2))</f>
        <v/>
      </c>
      <c r="N50" s="1" t="str" cm="1">
        <f t="array" ref="N50">IF(OR(N$1="",EXP_MATRIX!$C50=""),"",PRODUCT(IF(NOT(ISERROR(FIND(EXP_MATRIX!$B$1:$Z$1,N$1))),EXP_MATRIX!$B50:$Z50,1))^IF(ISERROR(FIND("2",N$1)),1,2))</f>
        <v/>
      </c>
      <c r="O50" s="1" t="str" cm="1">
        <f t="array" ref="O50">IF(OR(O$1="",EXP_MATRIX!$C50=""),"",PRODUCT(IF(NOT(ISERROR(FIND(EXP_MATRIX!$B$1:$Z$1,O$1))),EXP_MATRIX!$B50:$Z50,1))^IF(ISERROR(FIND("2",O$1)),1,2))</f>
        <v/>
      </c>
      <c r="P50" s="1" t="str" cm="1">
        <f t="array" ref="P50">IF(OR(P$1="",EXP_MATRIX!$C50=""),"",PRODUCT(IF(NOT(ISERROR(FIND(EXP_MATRIX!$B$1:$Z$1,P$1))),EXP_MATRIX!$B50:$Z50,1))^IF(ISERROR(FIND("2",P$1)),1,2))</f>
        <v/>
      </c>
      <c r="Q50" s="1" t="str" cm="1">
        <f t="array" ref="Q50">IF(OR(Q$1="",EXP_MATRIX!$C50=""),"",PRODUCT(IF(NOT(ISERROR(FIND(EXP_MATRIX!$B$1:$Z$1,Q$1))),EXP_MATRIX!$B50:$Z50,1))^IF(ISERROR(FIND("2",Q$1)),1,2))</f>
        <v/>
      </c>
      <c r="R50" s="1" t="str" cm="1">
        <f t="array" ref="R50">IF(OR(R$1="",EXP_MATRIX!$C50=""),"",PRODUCT(IF(NOT(ISERROR(FIND(EXP_MATRIX!$B$1:$Z$1,R$1))),EXP_MATRIX!$B50:$Z50,1))^IF(ISERROR(FIND("2",R$1)),1,2))</f>
        <v/>
      </c>
      <c r="S50" s="1" t="str" cm="1">
        <f t="array" ref="S50">IF(OR(S$1="",EXP_MATRIX!$C50=""),"",PRODUCT(IF(NOT(ISERROR(FIND(EXP_MATRIX!$B$1:$Z$1,S$1))),EXP_MATRIX!$B50:$Z50,1))^IF(ISERROR(FIND("2",S$1)),1,2))</f>
        <v/>
      </c>
      <c r="T50" s="1" t="str" cm="1">
        <f t="array" ref="T50">IF(OR(T$1="",EXP_MATRIX!$C50=""),"",PRODUCT(IF(NOT(ISERROR(FIND(EXP_MATRIX!$B$1:$Z$1,T$1))),EXP_MATRIX!$B50:$Z50,1))^IF(ISERROR(FIND("2",T$1)),1,2))</f>
        <v/>
      </c>
      <c r="U50" s="1" t="str" cm="1">
        <f t="array" ref="U50">IF(OR(U$1="",EXP_MATRIX!$C50=""),"",PRODUCT(IF(NOT(ISERROR(FIND(EXP_MATRIX!$B$1:$Z$1,U$1))),EXP_MATRIX!$B50:$Z50,1))^IF(ISERROR(FIND("2",U$1)),1,2))</f>
        <v/>
      </c>
      <c r="V50" s="1" t="str" cm="1">
        <f t="array" ref="V50">IF(OR(V$1="",EXP_MATRIX!$C50=""),"",PRODUCT(IF(NOT(ISERROR(FIND(EXP_MATRIX!$B$1:$Z$1,V$1))),EXP_MATRIX!$B50:$Z50,1))^IF(ISERROR(FIND("2",V$1)),1,2))</f>
        <v/>
      </c>
      <c r="W50" s="1" t="str" cm="1">
        <f t="array" ref="W50">IF(OR(W$1="",EXP_MATRIX!$C50=""),"",PRODUCT(IF(NOT(ISERROR(FIND(EXP_MATRIX!$B$1:$Z$1,W$1))),EXP_MATRIX!$B50:$Z50,1))^IF(ISERROR(FIND("2",W$1)),1,2))</f>
        <v/>
      </c>
      <c r="X50" s="1" t="str" cm="1">
        <f t="array" ref="X50">IF(OR(X$1="",EXP_MATRIX!$C50=""),"",PRODUCT(IF(NOT(ISERROR(FIND(EXP_MATRIX!$B$1:$Z$1,X$1))),EXP_MATRIX!$B50:$Z50,1))^IF(ISERROR(FIND("2",X$1)),1,2))</f>
        <v/>
      </c>
      <c r="Y50" s="1" t="str" cm="1">
        <f t="array" ref="Y50">IF(OR(Y$1="",EXP_MATRIX!$C50=""),"",PRODUCT(IF(NOT(ISERROR(FIND(EXP_MATRIX!$B$1:$Z$1,Y$1))),EXP_MATRIX!$B50:$Z50,1))^IF(ISERROR(FIND("2",Y$1)),1,2))</f>
        <v/>
      </c>
      <c r="Z50" s="1" t="str" cm="1">
        <f t="array" ref="Z50">IF(OR(Z$1="",EXP_MATRIX!$C50=""),"",PRODUCT(IF(NOT(ISERROR(FIND(EXP_MATRIX!$B$1:$Z$1,Z$1))),EXP_MATRIX!$B50:$Z50,1))^IF(ISERROR(FIND("2",Z$1)),1,2))</f>
        <v/>
      </c>
      <c r="AA50" s="1" t="str" cm="1">
        <f t="array" ref="AA50">IF(OR(AA$1="",EXP_MATRIX!$C50=""),"",PRODUCT(IF(NOT(ISERROR(FIND(EXP_MATRIX!$B$1:$Z$1,AA$1))),EXP_MATRIX!$B50:$Z50,1))^IF(ISERROR(FIND("2",AA$1)),1,2))</f>
        <v/>
      </c>
    </row>
    <row r="51" spans="1:27" x14ac:dyDescent="0.25">
      <c r="A51">
        <v>50</v>
      </c>
      <c r="B51" s="1" t="str" cm="1">
        <f t="array" ref="B51">IF(OR(B$1="",EXP_MATRIX!$C51=""),"",PRODUCT(IF(NOT(ISERROR(FIND(EXP_MATRIX!$B$1:$Z$1,B$1))),EXP_MATRIX!$B51:$Z51,1))^IF(ISERROR(FIND("2",B$1)),1,2))</f>
        <v/>
      </c>
      <c r="C51" s="1" t="str" cm="1">
        <f t="array" ref="C51">IF(OR(C$1="",EXP_MATRIX!$C51=""),"",PRODUCT(IF(NOT(ISERROR(FIND(EXP_MATRIX!$B$1:$Z$1,C$1))),EXP_MATRIX!$B51:$Z51,1))^IF(ISERROR(FIND("2",C$1)),1,2))</f>
        <v/>
      </c>
      <c r="D51" s="1" t="str" cm="1">
        <f t="array" ref="D51">IF(OR(D$1="",EXP_MATRIX!$C51=""),"",PRODUCT(IF(NOT(ISERROR(FIND(EXP_MATRIX!$B$1:$Z$1,D$1))),EXP_MATRIX!$B51:$Z51,1))^IF(ISERROR(FIND("2",D$1)),1,2))</f>
        <v/>
      </c>
      <c r="E51" s="1" t="str" cm="1">
        <f t="array" ref="E51">IF(OR(E$1="",EXP_MATRIX!$C51=""),"",PRODUCT(IF(NOT(ISERROR(FIND(EXP_MATRIX!$B$1:$Z$1,E$1))),EXP_MATRIX!$B51:$Z51,1))^IF(ISERROR(FIND("2",E$1)),1,2))</f>
        <v/>
      </c>
      <c r="F51" s="1" t="str" cm="1">
        <f t="array" ref="F51">IF(OR(F$1="",EXP_MATRIX!$C51=""),"",PRODUCT(IF(NOT(ISERROR(FIND(EXP_MATRIX!$B$1:$Z$1,F$1))),EXP_MATRIX!$B51:$Z51,1))^IF(ISERROR(FIND("2",F$1)),1,2))</f>
        <v/>
      </c>
      <c r="G51" s="1" t="str" cm="1">
        <f t="array" ref="G51">IF(OR(G$1="",EXP_MATRIX!$C51=""),"",PRODUCT(IF(NOT(ISERROR(FIND(EXP_MATRIX!$B$1:$Z$1,G$1))),EXP_MATRIX!$B51:$Z51,1))^IF(ISERROR(FIND("2",G$1)),1,2))</f>
        <v/>
      </c>
      <c r="H51" s="1" t="str" cm="1">
        <f t="array" ref="H51">IF(OR(H$1="",EXP_MATRIX!$C51=""),"",PRODUCT(IF(NOT(ISERROR(FIND(EXP_MATRIX!$B$1:$Z$1,H$1))),EXP_MATRIX!$B51:$Z51,1))^IF(ISERROR(FIND("2",H$1)),1,2))</f>
        <v/>
      </c>
      <c r="I51" s="1" t="str" cm="1">
        <f t="array" ref="I51">IF(OR(I$1="",EXP_MATRIX!$C51=""),"",PRODUCT(IF(NOT(ISERROR(FIND(EXP_MATRIX!$B$1:$Z$1,I$1))),EXP_MATRIX!$B51:$Z51,1))^IF(ISERROR(FIND("2",I$1)),1,2))</f>
        <v/>
      </c>
      <c r="J51" s="1" t="str" cm="1">
        <f t="array" ref="J51">IF(OR(J$1="",EXP_MATRIX!$C51=""),"",PRODUCT(IF(NOT(ISERROR(FIND(EXP_MATRIX!$B$1:$Z$1,J$1))),EXP_MATRIX!$B51:$Z51,1))^IF(ISERROR(FIND("2",J$1)),1,2))</f>
        <v/>
      </c>
      <c r="K51" s="1" t="str" cm="1">
        <f t="array" ref="K51">IF(OR(K$1="",EXP_MATRIX!$C51=""),"",PRODUCT(IF(NOT(ISERROR(FIND(EXP_MATRIX!$B$1:$Z$1,K$1))),EXP_MATRIX!$B51:$Z51,1))^IF(ISERROR(FIND("2",K$1)),1,2))</f>
        <v/>
      </c>
      <c r="L51" s="1" t="str" cm="1">
        <f t="array" ref="L51">IF(OR(L$1="",EXP_MATRIX!$C51=""),"",PRODUCT(IF(NOT(ISERROR(FIND(EXP_MATRIX!$B$1:$Z$1,L$1))),EXP_MATRIX!$B51:$Z51,1))^IF(ISERROR(FIND("2",L$1)),1,2))</f>
        <v/>
      </c>
      <c r="M51" s="1" t="str" cm="1">
        <f t="array" ref="M51">IF(OR(M$1="",EXP_MATRIX!$C51=""),"",PRODUCT(IF(NOT(ISERROR(FIND(EXP_MATRIX!$B$1:$Z$1,M$1))),EXP_MATRIX!$B51:$Z51,1))^IF(ISERROR(FIND("2",M$1)),1,2))</f>
        <v/>
      </c>
      <c r="N51" s="1" t="str" cm="1">
        <f t="array" ref="N51">IF(OR(N$1="",EXP_MATRIX!$C51=""),"",PRODUCT(IF(NOT(ISERROR(FIND(EXP_MATRIX!$B$1:$Z$1,N$1))),EXP_MATRIX!$B51:$Z51,1))^IF(ISERROR(FIND("2",N$1)),1,2))</f>
        <v/>
      </c>
      <c r="O51" s="1" t="str" cm="1">
        <f t="array" ref="O51">IF(OR(O$1="",EXP_MATRIX!$C51=""),"",PRODUCT(IF(NOT(ISERROR(FIND(EXP_MATRIX!$B$1:$Z$1,O$1))),EXP_MATRIX!$B51:$Z51,1))^IF(ISERROR(FIND("2",O$1)),1,2))</f>
        <v/>
      </c>
      <c r="P51" s="1" t="str" cm="1">
        <f t="array" ref="P51">IF(OR(P$1="",EXP_MATRIX!$C51=""),"",PRODUCT(IF(NOT(ISERROR(FIND(EXP_MATRIX!$B$1:$Z$1,P$1))),EXP_MATRIX!$B51:$Z51,1))^IF(ISERROR(FIND("2",P$1)),1,2))</f>
        <v/>
      </c>
      <c r="Q51" s="1" t="str" cm="1">
        <f t="array" ref="Q51">IF(OR(Q$1="",EXP_MATRIX!$C51=""),"",PRODUCT(IF(NOT(ISERROR(FIND(EXP_MATRIX!$B$1:$Z$1,Q$1))),EXP_MATRIX!$B51:$Z51,1))^IF(ISERROR(FIND("2",Q$1)),1,2))</f>
        <v/>
      </c>
      <c r="R51" s="1" t="str" cm="1">
        <f t="array" ref="R51">IF(OR(R$1="",EXP_MATRIX!$C51=""),"",PRODUCT(IF(NOT(ISERROR(FIND(EXP_MATRIX!$B$1:$Z$1,R$1))),EXP_MATRIX!$B51:$Z51,1))^IF(ISERROR(FIND("2",R$1)),1,2))</f>
        <v/>
      </c>
      <c r="S51" s="1" t="str" cm="1">
        <f t="array" ref="S51">IF(OR(S$1="",EXP_MATRIX!$C51=""),"",PRODUCT(IF(NOT(ISERROR(FIND(EXP_MATRIX!$B$1:$Z$1,S$1))),EXP_MATRIX!$B51:$Z51,1))^IF(ISERROR(FIND("2",S$1)),1,2))</f>
        <v/>
      </c>
      <c r="T51" s="1" t="str" cm="1">
        <f t="array" ref="T51">IF(OR(T$1="",EXP_MATRIX!$C51=""),"",PRODUCT(IF(NOT(ISERROR(FIND(EXP_MATRIX!$B$1:$Z$1,T$1))),EXP_MATRIX!$B51:$Z51,1))^IF(ISERROR(FIND("2",T$1)),1,2))</f>
        <v/>
      </c>
      <c r="U51" s="1" t="str" cm="1">
        <f t="array" ref="U51">IF(OR(U$1="",EXP_MATRIX!$C51=""),"",PRODUCT(IF(NOT(ISERROR(FIND(EXP_MATRIX!$B$1:$Z$1,U$1))),EXP_MATRIX!$B51:$Z51,1))^IF(ISERROR(FIND("2",U$1)),1,2))</f>
        <v/>
      </c>
      <c r="V51" s="1" t="str" cm="1">
        <f t="array" ref="V51">IF(OR(V$1="",EXP_MATRIX!$C51=""),"",PRODUCT(IF(NOT(ISERROR(FIND(EXP_MATRIX!$B$1:$Z$1,V$1))),EXP_MATRIX!$B51:$Z51,1))^IF(ISERROR(FIND("2",V$1)),1,2))</f>
        <v/>
      </c>
      <c r="W51" s="1" t="str" cm="1">
        <f t="array" ref="W51">IF(OR(W$1="",EXP_MATRIX!$C51=""),"",PRODUCT(IF(NOT(ISERROR(FIND(EXP_MATRIX!$B$1:$Z$1,W$1))),EXP_MATRIX!$B51:$Z51,1))^IF(ISERROR(FIND("2",W$1)),1,2))</f>
        <v/>
      </c>
      <c r="X51" s="1" t="str" cm="1">
        <f t="array" ref="X51">IF(OR(X$1="",EXP_MATRIX!$C51=""),"",PRODUCT(IF(NOT(ISERROR(FIND(EXP_MATRIX!$B$1:$Z$1,X$1))),EXP_MATRIX!$B51:$Z51,1))^IF(ISERROR(FIND("2",X$1)),1,2))</f>
        <v/>
      </c>
      <c r="Y51" s="1" t="str" cm="1">
        <f t="array" ref="Y51">IF(OR(Y$1="",EXP_MATRIX!$C51=""),"",PRODUCT(IF(NOT(ISERROR(FIND(EXP_MATRIX!$B$1:$Z$1,Y$1))),EXP_MATRIX!$B51:$Z51,1))^IF(ISERROR(FIND("2",Y$1)),1,2))</f>
        <v/>
      </c>
      <c r="Z51" s="1" t="str" cm="1">
        <f t="array" ref="Z51">IF(OR(Z$1="",EXP_MATRIX!$C51=""),"",PRODUCT(IF(NOT(ISERROR(FIND(EXP_MATRIX!$B$1:$Z$1,Z$1))),EXP_MATRIX!$B51:$Z51,1))^IF(ISERROR(FIND("2",Z$1)),1,2))</f>
        <v/>
      </c>
      <c r="AA51" s="1" t="str" cm="1">
        <f t="array" ref="AA51">IF(OR(AA$1="",EXP_MATRIX!$C51=""),"",PRODUCT(IF(NOT(ISERROR(FIND(EXP_MATRIX!$B$1:$Z$1,AA$1))),EXP_MATRIX!$B51:$Z51,1))^IF(ISERROR(FIND("2",AA$1)),1,2))</f>
        <v/>
      </c>
    </row>
    <row r="52" spans="1:27" x14ac:dyDescent="0.25">
      <c r="A52">
        <v>51</v>
      </c>
      <c r="B52" s="1" t="str" cm="1">
        <f t="array" ref="B52">IF(OR(B$1="",EXP_MATRIX!$C52=""),"",PRODUCT(IF(NOT(ISERROR(FIND(EXP_MATRIX!$B$1:$Z$1,B$1))),EXP_MATRIX!$B52:$Z52,1))^IF(ISERROR(FIND("2",B$1)),1,2))</f>
        <v/>
      </c>
      <c r="C52" s="1" t="str" cm="1">
        <f t="array" ref="C52">IF(OR(C$1="",EXP_MATRIX!$C52=""),"",PRODUCT(IF(NOT(ISERROR(FIND(EXP_MATRIX!$B$1:$Z$1,C$1))),EXP_MATRIX!$B52:$Z52,1))^IF(ISERROR(FIND("2",C$1)),1,2))</f>
        <v/>
      </c>
      <c r="D52" s="1" t="str" cm="1">
        <f t="array" ref="D52">IF(OR(D$1="",EXP_MATRIX!$C52=""),"",PRODUCT(IF(NOT(ISERROR(FIND(EXP_MATRIX!$B$1:$Z$1,D$1))),EXP_MATRIX!$B52:$Z52,1))^IF(ISERROR(FIND("2",D$1)),1,2))</f>
        <v/>
      </c>
      <c r="E52" s="1" t="str" cm="1">
        <f t="array" ref="E52">IF(OR(E$1="",EXP_MATRIX!$C52=""),"",PRODUCT(IF(NOT(ISERROR(FIND(EXP_MATRIX!$B$1:$Z$1,E$1))),EXP_MATRIX!$B52:$Z52,1))^IF(ISERROR(FIND("2",E$1)),1,2))</f>
        <v/>
      </c>
      <c r="F52" s="1" t="str" cm="1">
        <f t="array" ref="F52">IF(OR(F$1="",EXP_MATRIX!$C52=""),"",PRODUCT(IF(NOT(ISERROR(FIND(EXP_MATRIX!$B$1:$Z$1,F$1))),EXP_MATRIX!$B52:$Z52,1))^IF(ISERROR(FIND("2",F$1)),1,2))</f>
        <v/>
      </c>
      <c r="G52" s="1" t="str" cm="1">
        <f t="array" ref="G52">IF(OR(G$1="",EXP_MATRIX!$C52=""),"",PRODUCT(IF(NOT(ISERROR(FIND(EXP_MATRIX!$B$1:$Z$1,G$1))),EXP_MATRIX!$B52:$Z52,1))^IF(ISERROR(FIND("2",G$1)),1,2))</f>
        <v/>
      </c>
      <c r="H52" s="1" t="str" cm="1">
        <f t="array" ref="H52">IF(OR(H$1="",EXP_MATRIX!$C52=""),"",PRODUCT(IF(NOT(ISERROR(FIND(EXP_MATRIX!$B$1:$Z$1,H$1))),EXP_MATRIX!$B52:$Z52,1))^IF(ISERROR(FIND("2",H$1)),1,2))</f>
        <v/>
      </c>
      <c r="I52" s="1" t="str" cm="1">
        <f t="array" ref="I52">IF(OR(I$1="",EXP_MATRIX!$C52=""),"",PRODUCT(IF(NOT(ISERROR(FIND(EXP_MATRIX!$B$1:$Z$1,I$1))),EXP_MATRIX!$B52:$Z52,1))^IF(ISERROR(FIND("2",I$1)),1,2))</f>
        <v/>
      </c>
      <c r="J52" s="1" t="str" cm="1">
        <f t="array" ref="J52">IF(OR(J$1="",EXP_MATRIX!$C52=""),"",PRODUCT(IF(NOT(ISERROR(FIND(EXP_MATRIX!$B$1:$Z$1,J$1))),EXP_MATRIX!$B52:$Z52,1))^IF(ISERROR(FIND("2",J$1)),1,2))</f>
        <v/>
      </c>
      <c r="K52" s="1" t="str" cm="1">
        <f t="array" ref="K52">IF(OR(K$1="",EXP_MATRIX!$C52=""),"",PRODUCT(IF(NOT(ISERROR(FIND(EXP_MATRIX!$B$1:$Z$1,K$1))),EXP_MATRIX!$B52:$Z52,1))^IF(ISERROR(FIND("2",K$1)),1,2))</f>
        <v/>
      </c>
      <c r="L52" s="1" t="str" cm="1">
        <f t="array" ref="L52">IF(OR(L$1="",EXP_MATRIX!$C52=""),"",PRODUCT(IF(NOT(ISERROR(FIND(EXP_MATRIX!$B$1:$Z$1,L$1))),EXP_MATRIX!$B52:$Z52,1))^IF(ISERROR(FIND("2",L$1)),1,2))</f>
        <v/>
      </c>
      <c r="M52" s="1" t="str" cm="1">
        <f t="array" ref="M52">IF(OR(M$1="",EXP_MATRIX!$C52=""),"",PRODUCT(IF(NOT(ISERROR(FIND(EXP_MATRIX!$B$1:$Z$1,M$1))),EXP_MATRIX!$B52:$Z52,1))^IF(ISERROR(FIND("2",M$1)),1,2))</f>
        <v/>
      </c>
      <c r="N52" s="1" t="str" cm="1">
        <f t="array" ref="N52">IF(OR(N$1="",EXP_MATRIX!$C52=""),"",PRODUCT(IF(NOT(ISERROR(FIND(EXP_MATRIX!$B$1:$Z$1,N$1))),EXP_MATRIX!$B52:$Z52,1))^IF(ISERROR(FIND("2",N$1)),1,2))</f>
        <v/>
      </c>
      <c r="O52" s="1" t="str" cm="1">
        <f t="array" ref="O52">IF(OR(O$1="",EXP_MATRIX!$C52=""),"",PRODUCT(IF(NOT(ISERROR(FIND(EXP_MATRIX!$B$1:$Z$1,O$1))),EXP_MATRIX!$B52:$Z52,1))^IF(ISERROR(FIND("2",O$1)),1,2))</f>
        <v/>
      </c>
      <c r="P52" s="1" t="str" cm="1">
        <f t="array" ref="P52">IF(OR(P$1="",EXP_MATRIX!$C52=""),"",PRODUCT(IF(NOT(ISERROR(FIND(EXP_MATRIX!$B$1:$Z$1,P$1))),EXP_MATRIX!$B52:$Z52,1))^IF(ISERROR(FIND("2",P$1)),1,2))</f>
        <v/>
      </c>
      <c r="Q52" s="1" t="str" cm="1">
        <f t="array" ref="Q52">IF(OR(Q$1="",EXP_MATRIX!$C52=""),"",PRODUCT(IF(NOT(ISERROR(FIND(EXP_MATRIX!$B$1:$Z$1,Q$1))),EXP_MATRIX!$B52:$Z52,1))^IF(ISERROR(FIND("2",Q$1)),1,2))</f>
        <v/>
      </c>
      <c r="R52" s="1" t="str" cm="1">
        <f t="array" ref="R52">IF(OR(R$1="",EXP_MATRIX!$C52=""),"",PRODUCT(IF(NOT(ISERROR(FIND(EXP_MATRIX!$B$1:$Z$1,R$1))),EXP_MATRIX!$B52:$Z52,1))^IF(ISERROR(FIND("2",R$1)),1,2))</f>
        <v/>
      </c>
      <c r="S52" s="1" t="str" cm="1">
        <f t="array" ref="S52">IF(OR(S$1="",EXP_MATRIX!$C52=""),"",PRODUCT(IF(NOT(ISERROR(FIND(EXP_MATRIX!$B$1:$Z$1,S$1))),EXP_MATRIX!$B52:$Z52,1))^IF(ISERROR(FIND("2",S$1)),1,2))</f>
        <v/>
      </c>
      <c r="T52" s="1" t="str" cm="1">
        <f t="array" ref="T52">IF(OR(T$1="",EXP_MATRIX!$C52=""),"",PRODUCT(IF(NOT(ISERROR(FIND(EXP_MATRIX!$B$1:$Z$1,T$1))),EXP_MATRIX!$B52:$Z52,1))^IF(ISERROR(FIND("2",T$1)),1,2))</f>
        <v/>
      </c>
      <c r="U52" s="1" t="str" cm="1">
        <f t="array" ref="U52">IF(OR(U$1="",EXP_MATRIX!$C52=""),"",PRODUCT(IF(NOT(ISERROR(FIND(EXP_MATRIX!$B$1:$Z$1,U$1))),EXP_MATRIX!$B52:$Z52,1))^IF(ISERROR(FIND("2",U$1)),1,2))</f>
        <v/>
      </c>
      <c r="V52" s="1" t="str" cm="1">
        <f t="array" ref="V52">IF(OR(V$1="",EXP_MATRIX!$C52=""),"",PRODUCT(IF(NOT(ISERROR(FIND(EXP_MATRIX!$B$1:$Z$1,V$1))),EXP_MATRIX!$B52:$Z52,1))^IF(ISERROR(FIND("2",V$1)),1,2))</f>
        <v/>
      </c>
      <c r="W52" s="1" t="str" cm="1">
        <f t="array" ref="W52">IF(OR(W$1="",EXP_MATRIX!$C52=""),"",PRODUCT(IF(NOT(ISERROR(FIND(EXP_MATRIX!$B$1:$Z$1,W$1))),EXP_MATRIX!$B52:$Z52,1))^IF(ISERROR(FIND("2",W$1)),1,2))</f>
        <v/>
      </c>
      <c r="X52" s="1" t="str" cm="1">
        <f t="array" ref="X52">IF(OR(X$1="",EXP_MATRIX!$C52=""),"",PRODUCT(IF(NOT(ISERROR(FIND(EXP_MATRIX!$B$1:$Z$1,X$1))),EXP_MATRIX!$B52:$Z52,1))^IF(ISERROR(FIND("2",X$1)),1,2))</f>
        <v/>
      </c>
      <c r="Y52" s="1" t="str" cm="1">
        <f t="array" ref="Y52">IF(OR(Y$1="",EXP_MATRIX!$C52=""),"",PRODUCT(IF(NOT(ISERROR(FIND(EXP_MATRIX!$B$1:$Z$1,Y$1))),EXP_MATRIX!$B52:$Z52,1))^IF(ISERROR(FIND("2",Y$1)),1,2))</f>
        <v/>
      </c>
      <c r="Z52" s="1" t="str" cm="1">
        <f t="array" ref="Z52">IF(OR(Z$1="",EXP_MATRIX!$C52=""),"",PRODUCT(IF(NOT(ISERROR(FIND(EXP_MATRIX!$B$1:$Z$1,Z$1))),EXP_MATRIX!$B52:$Z52,1))^IF(ISERROR(FIND("2",Z$1)),1,2))</f>
        <v/>
      </c>
      <c r="AA52" s="1" t="str" cm="1">
        <f t="array" ref="AA52">IF(OR(AA$1="",EXP_MATRIX!$C52=""),"",PRODUCT(IF(NOT(ISERROR(FIND(EXP_MATRIX!$B$1:$Z$1,AA$1))),EXP_MATRIX!$B52:$Z52,1))^IF(ISERROR(FIND("2",AA$1)),1,2))</f>
        <v/>
      </c>
    </row>
    <row r="53" spans="1:27" x14ac:dyDescent="0.25">
      <c r="A53">
        <v>52</v>
      </c>
      <c r="B53" s="1" t="str" cm="1">
        <f t="array" ref="B53">IF(OR(B$1="",EXP_MATRIX!$C53=""),"",PRODUCT(IF(NOT(ISERROR(FIND(EXP_MATRIX!$B$1:$Z$1,B$1))),EXP_MATRIX!$B53:$Z53,1))^IF(ISERROR(FIND("2",B$1)),1,2))</f>
        <v/>
      </c>
      <c r="C53" s="1" t="str" cm="1">
        <f t="array" ref="C53">IF(OR(C$1="",EXP_MATRIX!$C53=""),"",PRODUCT(IF(NOT(ISERROR(FIND(EXP_MATRIX!$B$1:$Z$1,C$1))),EXP_MATRIX!$B53:$Z53,1))^IF(ISERROR(FIND("2",C$1)),1,2))</f>
        <v/>
      </c>
      <c r="D53" s="1" t="str" cm="1">
        <f t="array" ref="D53">IF(OR(D$1="",EXP_MATRIX!$C53=""),"",PRODUCT(IF(NOT(ISERROR(FIND(EXP_MATRIX!$B$1:$Z$1,D$1))),EXP_MATRIX!$B53:$Z53,1))^IF(ISERROR(FIND("2",D$1)),1,2))</f>
        <v/>
      </c>
      <c r="E53" s="1" t="str" cm="1">
        <f t="array" ref="E53">IF(OR(E$1="",EXP_MATRIX!$C53=""),"",PRODUCT(IF(NOT(ISERROR(FIND(EXP_MATRIX!$B$1:$Z$1,E$1))),EXP_MATRIX!$B53:$Z53,1))^IF(ISERROR(FIND("2",E$1)),1,2))</f>
        <v/>
      </c>
      <c r="F53" s="1" t="str" cm="1">
        <f t="array" ref="F53">IF(OR(F$1="",EXP_MATRIX!$C53=""),"",PRODUCT(IF(NOT(ISERROR(FIND(EXP_MATRIX!$B$1:$Z$1,F$1))),EXP_MATRIX!$B53:$Z53,1))^IF(ISERROR(FIND("2",F$1)),1,2))</f>
        <v/>
      </c>
      <c r="G53" s="1" t="str" cm="1">
        <f t="array" ref="G53">IF(OR(G$1="",EXP_MATRIX!$C53=""),"",PRODUCT(IF(NOT(ISERROR(FIND(EXP_MATRIX!$B$1:$Z$1,G$1))),EXP_MATRIX!$B53:$Z53,1))^IF(ISERROR(FIND("2",G$1)),1,2))</f>
        <v/>
      </c>
      <c r="H53" s="1" t="str" cm="1">
        <f t="array" ref="H53">IF(OR(H$1="",EXP_MATRIX!$C53=""),"",PRODUCT(IF(NOT(ISERROR(FIND(EXP_MATRIX!$B$1:$Z$1,H$1))),EXP_MATRIX!$B53:$Z53,1))^IF(ISERROR(FIND("2",H$1)),1,2))</f>
        <v/>
      </c>
      <c r="I53" s="1" t="str" cm="1">
        <f t="array" ref="I53">IF(OR(I$1="",EXP_MATRIX!$C53=""),"",PRODUCT(IF(NOT(ISERROR(FIND(EXP_MATRIX!$B$1:$Z$1,I$1))),EXP_MATRIX!$B53:$Z53,1))^IF(ISERROR(FIND("2",I$1)),1,2))</f>
        <v/>
      </c>
      <c r="J53" s="1" t="str" cm="1">
        <f t="array" ref="J53">IF(OR(J$1="",EXP_MATRIX!$C53=""),"",PRODUCT(IF(NOT(ISERROR(FIND(EXP_MATRIX!$B$1:$Z$1,J$1))),EXP_MATRIX!$B53:$Z53,1))^IF(ISERROR(FIND("2",J$1)),1,2))</f>
        <v/>
      </c>
      <c r="K53" s="1" t="str" cm="1">
        <f t="array" ref="K53">IF(OR(K$1="",EXP_MATRIX!$C53=""),"",PRODUCT(IF(NOT(ISERROR(FIND(EXP_MATRIX!$B$1:$Z$1,K$1))),EXP_MATRIX!$B53:$Z53,1))^IF(ISERROR(FIND("2",K$1)),1,2))</f>
        <v/>
      </c>
      <c r="L53" s="1" t="str" cm="1">
        <f t="array" ref="L53">IF(OR(L$1="",EXP_MATRIX!$C53=""),"",PRODUCT(IF(NOT(ISERROR(FIND(EXP_MATRIX!$B$1:$Z$1,L$1))),EXP_MATRIX!$B53:$Z53,1))^IF(ISERROR(FIND("2",L$1)),1,2))</f>
        <v/>
      </c>
      <c r="M53" s="1" t="str" cm="1">
        <f t="array" ref="M53">IF(OR(M$1="",EXP_MATRIX!$C53=""),"",PRODUCT(IF(NOT(ISERROR(FIND(EXP_MATRIX!$B$1:$Z$1,M$1))),EXP_MATRIX!$B53:$Z53,1))^IF(ISERROR(FIND("2",M$1)),1,2))</f>
        <v/>
      </c>
      <c r="N53" s="1" t="str" cm="1">
        <f t="array" ref="N53">IF(OR(N$1="",EXP_MATRIX!$C53=""),"",PRODUCT(IF(NOT(ISERROR(FIND(EXP_MATRIX!$B$1:$Z$1,N$1))),EXP_MATRIX!$B53:$Z53,1))^IF(ISERROR(FIND("2",N$1)),1,2))</f>
        <v/>
      </c>
      <c r="O53" s="1" t="str" cm="1">
        <f t="array" ref="O53">IF(OR(O$1="",EXP_MATRIX!$C53=""),"",PRODUCT(IF(NOT(ISERROR(FIND(EXP_MATRIX!$B$1:$Z$1,O$1))),EXP_MATRIX!$B53:$Z53,1))^IF(ISERROR(FIND("2",O$1)),1,2))</f>
        <v/>
      </c>
      <c r="P53" s="1" t="str" cm="1">
        <f t="array" ref="P53">IF(OR(P$1="",EXP_MATRIX!$C53=""),"",PRODUCT(IF(NOT(ISERROR(FIND(EXP_MATRIX!$B$1:$Z$1,P$1))),EXP_MATRIX!$B53:$Z53,1))^IF(ISERROR(FIND("2",P$1)),1,2))</f>
        <v/>
      </c>
      <c r="Q53" s="1" t="str" cm="1">
        <f t="array" ref="Q53">IF(OR(Q$1="",EXP_MATRIX!$C53=""),"",PRODUCT(IF(NOT(ISERROR(FIND(EXP_MATRIX!$B$1:$Z$1,Q$1))),EXP_MATRIX!$B53:$Z53,1))^IF(ISERROR(FIND("2",Q$1)),1,2))</f>
        <v/>
      </c>
      <c r="R53" s="1" t="str" cm="1">
        <f t="array" ref="R53">IF(OR(R$1="",EXP_MATRIX!$C53=""),"",PRODUCT(IF(NOT(ISERROR(FIND(EXP_MATRIX!$B$1:$Z$1,R$1))),EXP_MATRIX!$B53:$Z53,1))^IF(ISERROR(FIND("2",R$1)),1,2))</f>
        <v/>
      </c>
      <c r="S53" s="1" t="str" cm="1">
        <f t="array" ref="S53">IF(OR(S$1="",EXP_MATRIX!$C53=""),"",PRODUCT(IF(NOT(ISERROR(FIND(EXP_MATRIX!$B$1:$Z$1,S$1))),EXP_MATRIX!$B53:$Z53,1))^IF(ISERROR(FIND("2",S$1)),1,2))</f>
        <v/>
      </c>
      <c r="T53" s="1" t="str" cm="1">
        <f t="array" ref="T53">IF(OR(T$1="",EXP_MATRIX!$C53=""),"",PRODUCT(IF(NOT(ISERROR(FIND(EXP_MATRIX!$B$1:$Z$1,T$1))),EXP_MATRIX!$B53:$Z53,1))^IF(ISERROR(FIND("2",T$1)),1,2))</f>
        <v/>
      </c>
      <c r="U53" s="1" t="str" cm="1">
        <f t="array" ref="U53">IF(OR(U$1="",EXP_MATRIX!$C53=""),"",PRODUCT(IF(NOT(ISERROR(FIND(EXP_MATRIX!$B$1:$Z$1,U$1))),EXP_MATRIX!$B53:$Z53,1))^IF(ISERROR(FIND("2",U$1)),1,2))</f>
        <v/>
      </c>
      <c r="V53" s="1" t="str" cm="1">
        <f t="array" ref="V53">IF(OR(V$1="",EXP_MATRIX!$C53=""),"",PRODUCT(IF(NOT(ISERROR(FIND(EXP_MATRIX!$B$1:$Z$1,V$1))),EXP_MATRIX!$B53:$Z53,1))^IF(ISERROR(FIND("2",V$1)),1,2))</f>
        <v/>
      </c>
      <c r="W53" s="1" t="str" cm="1">
        <f t="array" ref="W53">IF(OR(W$1="",EXP_MATRIX!$C53=""),"",PRODUCT(IF(NOT(ISERROR(FIND(EXP_MATRIX!$B$1:$Z$1,W$1))),EXP_MATRIX!$B53:$Z53,1))^IF(ISERROR(FIND("2",W$1)),1,2))</f>
        <v/>
      </c>
      <c r="X53" s="1" t="str" cm="1">
        <f t="array" ref="X53">IF(OR(X$1="",EXP_MATRIX!$C53=""),"",PRODUCT(IF(NOT(ISERROR(FIND(EXP_MATRIX!$B$1:$Z$1,X$1))),EXP_MATRIX!$B53:$Z53,1))^IF(ISERROR(FIND("2",X$1)),1,2))</f>
        <v/>
      </c>
      <c r="Y53" s="1" t="str" cm="1">
        <f t="array" ref="Y53">IF(OR(Y$1="",EXP_MATRIX!$C53=""),"",PRODUCT(IF(NOT(ISERROR(FIND(EXP_MATRIX!$B$1:$Z$1,Y$1))),EXP_MATRIX!$B53:$Z53,1))^IF(ISERROR(FIND("2",Y$1)),1,2))</f>
        <v/>
      </c>
      <c r="Z53" s="1" t="str" cm="1">
        <f t="array" ref="Z53">IF(OR(Z$1="",EXP_MATRIX!$C53=""),"",PRODUCT(IF(NOT(ISERROR(FIND(EXP_MATRIX!$B$1:$Z$1,Z$1))),EXP_MATRIX!$B53:$Z53,1))^IF(ISERROR(FIND("2",Z$1)),1,2))</f>
        <v/>
      </c>
      <c r="AA53" s="1" t="str" cm="1">
        <f t="array" ref="AA53">IF(OR(AA$1="",EXP_MATRIX!$C53=""),"",PRODUCT(IF(NOT(ISERROR(FIND(EXP_MATRIX!$B$1:$Z$1,AA$1))),EXP_MATRIX!$B53:$Z53,1))^IF(ISERROR(FIND("2",AA$1)),1,2))</f>
        <v/>
      </c>
    </row>
    <row r="54" spans="1:27" x14ac:dyDescent="0.25">
      <c r="A54">
        <v>53</v>
      </c>
      <c r="B54" s="1" t="str" cm="1">
        <f t="array" ref="B54">IF(OR(B$1="",EXP_MATRIX!$C54=""),"",PRODUCT(IF(NOT(ISERROR(FIND(EXP_MATRIX!$B$1:$Z$1,B$1))),EXP_MATRIX!$B54:$Z54,1))^IF(ISERROR(FIND("2",B$1)),1,2))</f>
        <v/>
      </c>
      <c r="C54" s="1" t="str" cm="1">
        <f t="array" ref="C54">IF(OR(C$1="",EXP_MATRIX!$C54=""),"",PRODUCT(IF(NOT(ISERROR(FIND(EXP_MATRIX!$B$1:$Z$1,C$1))),EXP_MATRIX!$B54:$Z54,1))^IF(ISERROR(FIND("2",C$1)),1,2))</f>
        <v/>
      </c>
      <c r="D54" s="1" t="str" cm="1">
        <f t="array" ref="D54">IF(OR(D$1="",EXP_MATRIX!$C54=""),"",PRODUCT(IF(NOT(ISERROR(FIND(EXP_MATRIX!$B$1:$Z$1,D$1))),EXP_MATRIX!$B54:$Z54,1))^IF(ISERROR(FIND("2",D$1)),1,2))</f>
        <v/>
      </c>
      <c r="E54" s="1" t="str" cm="1">
        <f t="array" ref="E54">IF(OR(E$1="",EXP_MATRIX!$C54=""),"",PRODUCT(IF(NOT(ISERROR(FIND(EXP_MATRIX!$B$1:$Z$1,E$1))),EXP_MATRIX!$B54:$Z54,1))^IF(ISERROR(FIND("2",E$1)),1,2))</f>
        <v/>
      </c>
      <c r="F54" s="1" t="str" cm="1">
        <f t="array" ref="F54">IF(OR(F$1="",EXP_MATRIX!$C54=""),"",PRODUCT(IF(NOT(ISERROR(FIND(EXP_MATRIX!$B$1:$Z$1,F$1))),EXP_MATRIX!$B54:$Z54,1))^IF(ISERROR(FIND("2",F$1)),1,2))</f>
        <v/>
      </c>
      <c r="G54" s="1" t="str" cm="1">
        <f t="array" ref="G54">IF(OR(G$1="",EXP_MATRIX!$C54=""),"",PRODUCT(IF(NOT(ISERROR(FIND(EXP_MATRIX!$B$1:$Z$1,G$1))),EXP_MATRIX!$B54:$Z54,1))^IF(ISERROR(FIND("2",G$1)),1,2))</f>
        <v/>
      </c>
      <c r="H54" s="1" t="str" cm="1">
        <f t="array" ref="H54">IF(OR(H$1="",EXP_MATRIX!$C54=""),"",PRODUCT(IF(NOT(ISERROR(FIND(EXP_MATRIX!$B$1:$Z$1,H$1))),EXP_MATRIX!$B54:$Z54,1))^IF(ISERROR(FIND("2",H$1)),1,2))</f>
        <v/>
      </c>
      <c r="I54" s="1" t="str" cm="1">
        <f t="array" ref="I54">IF(OR(I$1="",EXP_MATRIX!$C54=""),"",PRODUCT(IF(NOT(ISERROR(FIND(EXP_MATRIX!$B$1:$Z$1,I$1))),EXP_MATRIX!$B54:$Z54,1))^IF(ISERROR(FIND("2",I$1)),1,2))</f>
        <v/>
      </c>
      <c r="J54" s="1" t="str" cm="1">
        <f t="array" ref="J54">IF(OR(J$1="",EXP_MATRIX!$C54=""),"",PRODUCT(IF(NOT(ISERROR(FIND(EXP_MATRIX!$B$1:$Z$1,J$1))),EXP_MATRIX!$B54:$Z54,1))^IF(ISERROR(FIND("2",J$1)),1,2))</f>
        <v/>
      </c>
      <c r="K54" s="1" t="str" cm="1">
        <f t="array" ref="K54">IF(OR(K$1="",EXP_MATRIX!$C54=""),"",PRODUCT(IF(NOT(ISERROR(FIND(EXP_MATRIX!$B$1:$Z$1,K$1))),EXP_MATRIX!$B54:$Z54,1))^IF(ISERROR(FIND("2",K$1)),1,2))</f>
        <v/>
      </c>
      <c r="L54" s="1" t="str" cm="1">
        <f t="array" ref="L54">IF(OR(L$1="",EXP_MATRIX!$C54=""),"",PRODUCT(IF(NOT(ISERROR(FIND(EXP_MATRIX!$B$1:$Z$1,L$1))),EXP_MATRIX!$B54:$Z54,1))^IF(ISERROR(FIND("2",L$1)),1,2))</f>
        <v/>
      </c>
      <c r="M54" s="1" t="str" cm="1">
        <f t="array" ref="M54">IF(OR(M$1="",EXP_MATRIX!$C54=""),"",PRODUCT(IF(NOT(ISERROR(FIND(EXP_MATRIX!$B$1:$Z$1,M$1))),EXP_MATRIX!$B54:$Z54,1))^IF(ISERROR(FIND("2",M$1)),1,2))</f>
        <v/>
      </c>
      <c r="N54" s="1" t="str" cm="1">
        <f t="array" ref="N54">IF(OR(N$1="",EXP_MATRIX!$C54=""),"",PRODUCT(IF(NOT(ISERROR(FIND(EXP_MATRIX!$B$1:$Z$1,N$1))),EXP_MATRIX!$B54:$Z54,1))^IF(ISERROR(FIND("2",N$1)),1,2))</f>
        <v/>
      </c>
      <c r="O54" s="1" t="str" cm="1">
        <f t="array" ref="O54">IF(OR(O$1="",EXP_MATRIX!$C54=""),"",PRODUCT(IF(NOT(ISERROR(FIND(EXP_MATRIX!$B$1:$Z$1,O$1))),EXP_MATRIX!$B54:$Z54,1))^IF(ISERROR(FIND("2",O$1)),1,2))</f>
        <v/>
      </c>
      <c r="P54" s="1" t="str" cm="1">
        <f t="array" ref="P54">IF(OR(P$1="",EXP_MATRIX!$C54=""),"",PRODUCT(IF(NOT(ISERROR(FIND(EXP_MATRIX!$B$1:$Z$1,P$1))),EXP_MATRIX!$B54:$Z54,1))^IF(ISERROR(FIND("2",P$1)),1,2))</f>
        <v/>
      </c>
      <c r="Q54" s="1" t="str" cm="1">
        <f t="array" ref="Q54">IF(OR(Q$1="",EXP_MATRIX!$C54=""),"",PRODUCT(IF(NOT(ISERROR(FIND(EXP_MATRIX!$B$1:$Z$1,Q$1))),EXP_MATRIX!$B54:$Z54,1))^IF(ISERROR(FIND("2",Q$1)),1,2))</f>
        <v/>
      </c>
      <c r="R54" s="1" t="str" cm="1">
        <f t="array" ref="R54">IF(OR(R$1="",EXP_MATRIX!$C54=""),"",PRODUCT(IF(NOT(ISERROR(FIND(EXP_MATRIX!$B$1:$Z$1,R$1))),EXP_MATRIX!$B54:$Z54,1))^IF(ISERROR(FIND("2",R$1)),1,2))</f>
        <v/>
      </c>
      <c r="S54" s="1" t="str" cm="1">
        <f t="array" ref="S54">IF(OR(S$1="",EXP_MATRIX!$C54=""),"",PRODUCT(IF(NOT(ISERROR(FIND(EXP_MATRIX!$B$1:$Z$1,S$1))),EXP_MATRIX!$B54:$Z54,1))^IF(ISERROR(FIND("2",S$1)),1,2))</f>
        <v/>
      </c>
      <c r="T54" s="1" t="str" cm="1">
        <f t="array" ref="T54">IF(OR(T$1="",EXP_MATRIX!$C54=""),"",PRODUCT(IF(NOT(ISERROR(FIND(EXP_MATRIX!$B$1:$Z$1,T$1))),EXP_MATRIX!$B54:$Z54,1))^IF(ISERROR(FIND("2",T$1)),1,2))</f>
        <v/>
      </c>
      <c r="U54" s="1" t="str" cm="1">
        <f t="array" ref="U54">IF(OR(U$1="",EXP_MATRIX!$C54=""),"",PRODUCT(IF(NOT(ISERROR(FIND(EXP_MATRIX!$B$1:$Z$1,U$1))),EXP_MATRIX!$B54:$Z54,1))^IF(ISERROR(FIND("2",U$1)),1,2))</f>
        <v/>
      </c>
      <c r="V54" s="1" t="str" cm="1">
        <f t="array" ref="V54">IF(OR(V$1="",EXP_MATRIX!$C54=""),"",PRODUCT(IF(NOT(ISERROR(FIND(EXP_MATRIX!$B$1:$Z$1,V$1))),EXP_MATRIX!$B54:$Z54,1))^IF(ISERROR(FIND("2",V$1)),1,2))</f>
        <v/>
      </c>
      <c r="W54" s="1" t="str" cm="1">
        <f t="array" ref="W54">IF(OR(W$1="",EXP_MATRIX!$C54=""),"",PRODUCT(IF(NOT(ISERROR(FIND(EXP_MATRIX!$B$1:$Z$1,W$1))),EXP_MATRIX!$B54:$Z54,1))^IF(ISERROR(FIND("2",W$1)),1,2))</f>
        <v/>
      </c>
      <c r="X54" s="1" t="str" cm="1">
        <f t="array" ref="X54">IF(OR(X$1="",EXP_MATRIX!$C54=""),"",PRODUCT(IF(NOT(ISERROR(FIND(EXP_MATRIX!$B$1:$Z$1,X$1))),EXP_MATRIX!$B54:$Z54,1))^IF(ISERROR(FIND("2",X$1)),1,2))</f>
        <v/>
      </c>
      <c r="Y54" s="1" t="str" cm="1">
        <f t="array" ref="Y54">IF(OR(Y$1="",EXP_MATRIX!$C54=""),"",PRODUCT(IF(NOT(ISERROR(FIND(EXP_MATRIX!$B$1:$Z$1,Y$1))),EXP_MATRIX!$B54:$Z54,1))^IF(ISERROR(FIND("2",Y$1)),1,2))</f>
        <v/>
      </c>
      <c r="Z54" s="1" t="str" cm="1">
        <f t="array" ref="Z54">IF(OR(Z$1="",EXP_MATRIX!$C54=""),"",PRODUCT(IF(NOT(ISERROR(FIND(EXP_MATRIX!$B$1:$Z$1,Z$1))),EXP_MATRIX!$B54:$Z54,1))^IF(ISERROR(FIND("2",Z$1)),1,2))</f>
        <v/>
      </c>
      <c r="AA54" s="1" t="str" cm="1">
        <f t="array" ref="AA54">IF(OR(AA$1="",EXP_MATRIX!$C54=""),"",PRODUCT(IF(NOT(ISERROR(FIND(EXP_MATRIX!$B$1:$Z$1,AA$1))),EXP_MATRIX!$B54:$Z54,1))^IF(ISERROR(FIND("2",AA$1)),1,2))</f>
        <v/>
      </c>
    </row>
    <row r="55" spans="1:27" x14ac:dyDescent="0.25">
      <c r="A55">
        <v>54</v>
      </c>
      <c r="B55" s="1" t="str" cm="1">
        <f t="array" ref="B55">IF(OR(B$1="",EXP_MATRIX!$C55=""),"",PRODUCT(IF(NOT(ISERROR(FIND(EXP_MATRIX!$B$1:$Z$1,B$1))),EXP_MATRIX!$B55:$Z55,1))^IF(ISERROR(FIND("2",B$1)),1,2))</f>
        <v/>
      </c>
      <c r="C55" s="1" t="str" cm="1">
        <f t="array" ref="C55">IF(OR(C$1="",EXP_MATRIX!$C55=""),"",PRODUCT(IF(NOT(ISERROR(FIND(EXP_MATRIX!$B$1:$Z$1,C$1))),EXP_MATRIX!$B55:$Z55,1))^IF(ISERROR(FIND("2",C$1)),1,2))</f>
        <v/>
      </c>
      <c r="D55" s="1" t="str" cm="1">
        <f t="array" ref="D55">IF(OR(D$1="",EXP_MATRIX!$C55=""),"",PRODUCT(IF(NOT(ISERROR(FIND(EXP_MATRIX!$B$1:$Z$1,D$1))),EXP_MATRIX!$B55:$Z55,1))^IF(ISERROR(FIND("2",D$1)),1,2))</f>
        <v/>
      </c>
      <c r="E55" s="1" t="str" cm="1">
        <f t="array" ref="E55">IF(OR(E$1="",EXP_MATRIX!$C55=""),"",PRODUCT(IF(NOT(ISERROR(FIND(EXP_MATRIX!$B$1:$Z$1,E$1))),EXP_MATRIX!$B55:$Z55,1))^IF(ISERROR(FIND("2",E$1)),1,2))</f>
        <v/>
      </c>
      <c r="F55" s="1" t="str" cm="1">
        <f t="array" ref="F55">IF(OR(F$1="",EXP_MATRIX!$C55=""),"",PRODUCT(IF(NOT(ISERROR(FIND(EXP_MATRIX!$B$1:$Z$1,F$1))),EXP_MATRIX!$B55:$Z55,1))^IF(ISERROR(FIND("2",F$1)),1,2))</f>
        <v/>
      </c>
      <c r="G55" s="1" t="str" cm="1">
        <f t="array" ref="G55">IF(OR(G$1="",EXP_MATRIX!$C55=""),"",PRODUCT(IF(NOT(ISERROR(FIND(EXP_MATRIX!$B$1:$Z$1,G$1))),EXP_MATRIX!$B55:$Z55,1))^IF(ISERROR(FIND("2",G$1)),1,2))</f>
        <v/>
      </c>
      <c r="H55" s="1" t="str" cm="1">
        <f t="array" ref="H55">IF(OR(H$1="",EXP_MATRIX!$C55=""),"",PRODUCT(IF(NOT(ISERROR(FIND(EXP_MATRIX!$B$1:$Z$1,H$1))),EXP_MATRIX!$B55:$Z55,1))^IF(ISERROR(FIND("2",H$1)),1,2))</f>
        <v/>
      </c>
      <c r="I55" s="1" t="str" cm="1">
        <f t="array" ref="I55">IF(OR(I$1="",EXP_MATRIX!$C55=""),"",PRODUCT(IF(NOT(ISERROR(FIND(EXP_MATRIX!$B$1:$Z$1,I$1))),EXP_MATRIX!$B55:$Z55,1))^IF(ISERROR(FIND("2",I$1)),1,2))</f>
        <v/>
      </c>
      <c r="J55" s="1" t="str" cm="1">
        <f t="array" ref="J55">IF(OR(J$1="",EXP_MATRIX!$C55=""),"",PRODUCT(IF(NOT(ISERROR(FIND(EXP_MATRIX!$B$1:$Z$1,J$1))),EXP_MATRIX!$B55:$Z55,1))^IF(ISERROR(FIND("2",J$1)),1,2))</f>
        <v/>
      </c>
      <c r="K55" s="1" t="str" cm="1">
        <f t="array" ref="K55">IF(OR(K$1="",EXP_MATRIX!$C55=""),"",PRODUCT(IF(NOT(ISERROR(FIND(EXP_MATRIX!$B$1:$Z$1,K$1))),EXP_MATRIX!$B55:$Z55,1))^IF(ISERROR(FIND("2",K$1)),1,2))</f>
        <v/>
      </c>
      <c r="L55" s="1" t="str" cm="1">
        <f t="array" ref="L55">IF(OR(L$1="",EXP_MATRIX!$C55=""),"",PRODUCT(IF(NOT(ISERROR(FIND(EXP_MATRIX!$B$1:$Z$1,L$1))),EXP_MATRIX!$B55:$Z55,1))^IF(ISERROR(FIND("2",L$1)),1,2))</f>
        <v/>
      </c>
      <c r="M55" s="1" t="str" cm="1">
        <f t="array" ref="M55">IF(OR(M$1="",EXP_MATRIX!$C55=""),"",PRODUCT(IF(NOT(ISERROR(FIND(EXP_MATRIX!$B$1:$Z$1,M$1))),EXP_MATRIX!$B55:$Z55,1))^IF(ISERROR(FIND("2",M$1)),1,2))</f>
        <v/>
      </c>
      <c r="N55" s="1" t="str" cm="1">
        <f t="array" ref="N55">IF(OR(N$1="",EXP_MATRIX!$C55=""),"",PRODUCT(IF(NOT(ISERROR(FIND(EXP_MATRIX!$B$1:$Z$1,N$1))),EXP_MATRIX!$B55:$Z55,1))^IF(ISERROR(FIND("2",N$1)),1,2))</f>
        <v/>
      </c>
      <c r="O55" s="1" t="str" cm="1">
        <f t="array" ref="O55">IF(OR(O$1="",EXP_MATRIX!$C55=""),"",PRODUCT(IF(NOT(ISERROR(FIND(EXP_MATRIX!$B$1:$Z$1,O$1))),EXP_MATRIX!$B55:$Z55,1))^IF(ISERROR(FIND("2",O$1)),1,2))</f>
        <v/>
      </c>
      <c r="P55" s="1" t="str" cm="1">
        <f t="array" ref="P55">IF(OR(P$1="",EXP_MATRIX!$C55=""),"",PRODUCT(IF(NOT(ISERROR(FIND(EXP_MATRIX!$B$1:$Z$1,P$1))),EXP_MATRIX!$B55:$Z55,1))^IF(ISERROR(FIND("2",P$1)),1,2))</f>
        <v/>
      </c>
      <c r="Q55" s="1" t="str" cm="1">
        <f t="array" ref="Q55">IF(OR(Q$1="",EXP_MATRIX!$C55=""),"",PRODUCT(IF(NOT(ISERROR(FIND(EXP_MATRIX!$B$1:$Z$1,Q$1))),EXP_MATRIX!$B55:$Z55,1))^IF(ISERROR(FIND("2",Q$1)),1,2))</f>
        <v/>
      </c>
      <c r="R55" s="1" t="str" cm="1">
        <f t="array" ref="R55">IF(OR(R$1="",EXP_MATRIX!$C55=""),"",PRODUCT(IF(NOT(ISERROR(FIND(EXP_MATRIX!$B$1:$Z$1,R$1))),EXP_MATRIX!$B55:$Z55,1))^IF(ISERROR(FIND("2",R$1)),1,2))</f>
        <v/>
      </c>
      <c r="S55" s="1" t="str" cm="1">
        <f t="array" ref="S55">IF(OR(S$1="",EXP_MATRIX!$C55=""),"",PRODUCT(IF(NOT(ISERROR(FIND(EXP_MATRIX!$B$1:$Z$1,S$1))),EXP_MATRIX!$B55:$Z55,1))^IF(ISERROR(FIND("2",S$1)),1,2))</f>
        <v/>
      </c>
      <c r="T55" s="1" t="str" cm="1">
        <f t="array" ref="T55">IF(OR(T$1="",EXP_MATRIX!$C55=""),"",PRODUCT(IF(NOT(ISERROR(FIND(EXP_MATRIX!$B$1:$Z$1,T$1))),EXP_MATRIX!$B55:$Z55,1))^IF(ISERROR(FIND("2",T$1)),1,2))</f>
        <v/>
      </c>
      <c r="U55" s="1" t="str" cm="1">
        <f t="array" ref="U55">IF(OR(U$1="",EXP_MATRIX!$C55=""),"",PRODUCT(IF(NOT(ISERROR(FIND(EXP_MATRIX!$B$1:$Z$1,U$1))),EXP_MATRIX!$B55:$Z55,1))^IF(ISERROR(FIND("2",U$1)),1,2))</f>
        <v/>
      </c>
      <c r="V55" s="1" t="str" cm="1">
        <f t="array" ref="V55">IF(OR(V$1="",EXP_MATRIX!$C55=""),"",PRODUCT(IF(NOT(ISERROR(FIND(EXP_MATRIX!$B$1:$Z$1,V$1))),EXP_MATRIX!$B55:$Z55,1))^IF(ISERROR(FIND("2",V$1)),1,2))</f>
        <v/>
      </c>
      <c r="W55" s="1" t="str" cm="1">
        <f t="array" ref="W55">IF(OR(W$1="",EXP_MATRIX!$C55=""),"",PRODUCT(IF(NOT(ISERROR(FIND(EXP_MATRIX!$B$1:$Z$1,W$1))),EXP_MATRIX!$B55:$Z55,1))^IF(ISERROR(FIND("2",W$1)),1,2))</f>
        <v/>
      </c>
      <c r="X55" s="1" t="str" cm="1">
        <f t="array" ref="X55">IF(OR(X$1="",EXP_MATRIX!$C55=""),"",PRODUCT(IF(NOT(ISERROR(FIND(EXP_MATRIX!$B$1:$Z$1,X$1))),EXP_MATRIX!$B55:$Z55,1))^IF(ISERROR(FIND("2",X$1)),1,2))</f>
        <v/>
      </c>
      <c r="Y55" s="1" t="str" cm="1">
        <f t="array" ref="Y55">IF(OR(Y$1="",EXP_MATRIX!$C55=""),"",PRODUCT(IF(NOT(ISERROR(FIND(EXP_MATRIX!$B$1:$Z$1,Y$1))),EXP_MATRIX!$B55:$Z55,1))^IF(ISERROR(FIND("2",Y$1)),1,2))</f>
        <v/>
      </c>
      <c r="Z55" s="1" t="str" cm="1">
        <f t="array" ref="Z55">IF(OR(Z$1="",EXP_MATRIX!$C55=""),"",PRODUCT(IF(NOT(ISERROR(FIND(EXP_MATRIX!$B$1:$Z$1,Z$1))),EXP_MATRIX!$B55:$Z55,1))^IF(ISERROR(FIND("2",Z$1)),1,2))</f>
        <v/>
      </c>
      <c r="AA55" s="1" t="str" cm="1">
        <f t="array" ref="AA55">IF(OR(AA$1="",EXP_MATRIX!$C55=""),"",PRODUCT(IF(NOT(ISERROR(FIND(EXP_MATRIX!$B$1:$Z$1,AA$1))),EXP_MATRIX!$B55:$Z55,1))^IF(ISERROR(FIND("2",AA$1)),1,2))</f>
        <v/>
      </c>
    </row>
    <row r="56" spans="1:27" x14ac:dyDescent="0.25">
      <c r="A56">
        <v>55</v>
      </c>
      <c r="B56" s="1" t="str" cm="1">
        <f t="array" ref="B56">IF(OR(B$1="",EXP_MATRIX!$C56=""),"",PRODUCT(IF(NOT(ISERROR(FIND(EXP_MATRIX!$B$1:$Z$1,B$1))),EXP_MATRIX!$B56:$Z56,1))^IF(ISERROR(FIND("2",B$1)),1,2))</f>
        <v/>
      </c>
      <c r="C56" s="1" t="str" cm="1">
        <f t="array" ref="C56">IF(OR(C$1="",EXP_MATRIX!$C56=""),"",PRODUCT(IF(NOT(ISERROR(FIND(EXP_MATRIX!$B$1:$Z$1,C$1))),EXP_MATRIX!$B56:$Z56,1))^IF(ISERROR(FIND("2",C$1)),1,2))</f>
        <v/>
      </c>
      <c r="D56" s="1" t="str" cm="1">
        <f t="array" ref="D56">IF(OR(D$1="",EXP_MATRIX!$C56=""),"",PRODUCT(IF(NOT(ISERROR(FIND(EXP_MATRIX!$B$1:$Z$1,D$1))),EXP_MATRIX!$B56:$Z56,1))^IF(ISERROR(FIND("2",D$1)),1,2))</f>
        <v/>
      </c>
      <c r="E56" s="1" t="str" cm="1">
        <f t="array" ref="E56">IF(OR(E$1="",EXP_MATRIX!$C56=""),"",PRODUCT(IF(NOT(ISERROR(FIND(EXP_MATRIX!$B$1:$Z$1,E$1))),EXP_MATRIX!$B56:$Z56,1))^IF(ISERROR(FIND("2",E$1)),1,2))</f>
        <v/>
      </c>
      <c r="F56" s="1" t="str" cm="1">
        <f t="array" ref="F56">IF(OR(F$1="",EXP_MATRIX!$C56=""),"",PRODUCT(IF(NOT(ISERROR(FIND(EXP_MATRIX!$B$1:$Z$1,F$1))),EXP_MATRIX!$B56:$Z56,1))^IF(ISERROR(FIND("2",F$1)),1,2))</f>
        <v/>
      </c>
      <c r="G56" s="1" t="str" cm="1">
        <f t="array" ref="G56">IF(OR(G$1="",EXP_MATRIX!$C56=""),"",PRODUCT(IF(NOT(ISERROR(FIND(EXP_MATRIX!$B$1:$Z$1,G$1))),EXP_MATRIX!$B56:$Z56,1))^IF(ISERROR(FIND("2",G$1)),1,2))</f>
        <v/>
      </c>
      <c r="H56" s="1" t="str" cm="1">
        <f t="array" ref="H56">IF(OR(H$1="",EXP_MATRIX!$C56=""),"",PRODUCT(IF(NOT(ISERROR(FIND(EXP_MATRIX!$B$1:$Z$1,H$1))),EXP_MATRIX!$B56:$Z56,1))^IF(ISERROR(FIND("2",H$1)),1,2))</f>
        <v/>
      </c>
      <c r="I56" s="1" t="str" cm="1">
        <f t="array" ref="I56">IF(OR(I$1="",EXP_MATRIX!$C56=""),"",PRODUCT(IF(NOT(ISERROR(FIND(EXP_MATRIX!$B$1:$Z$1,I$1))),EXP_MATRIX!$B56:$Z56,1))^IF(ISERROR(FIND("2",I$1)),1,2))</f>
        <v/>
      </c>
      <c r="J56" s="1" t="str" cm="1">
        <f t="array" ref="J56">IF(OR(J$1="",EXP_MATRIX!$C56=""),"",PRODUCT(IF(NOT(ISERROR(FIND(EXP_MATRIX!$B$1:$Z$1,J$1))),EXP_MATRIX!$B56:$Z56,1))^IF(ISERROR(FIND("2",J$1)),1,2))</f>
        <v/>
      </c>
      <c r="K56" s="1" t="str" cm="1">
        <f t="array" ref="K56">IF(OR(K$1="",EXP_MATRIX!$C56=""),"",PRODUCT(IF(NOT(ISERROR(FIND(EXP_MATRIX!$B$1:$Z$1,K$1))),EXP_MATRIX!$B56:$Z56,1))^IF(ISERROR(FIND("2",K$1)),1,2))</f>
        <v/>
      </c>
      <c r="L56" s="1" t="str" cm="1">
        <f t="array" ref="L56">IF(OR(L$1="",EXP_MATRIX!$C56=""),"",PRODUCT(IF(NOT(ISERROR(FIND(EXP_MATRIX!$B$1:$Z$1,L$1))),EXP_MATRIX!$B56:$Z56,1))^IF(ISERROR(FIND("2",L$1)),1,2))</f>
        <v/>
      </c>
      <c r="M56" s="1" t="str" cm="1">
        <f t="array" ref="M56">IF(OR(M$1="",EXP_MATRIX!$C56=""),"",PRODUCT(IF(NOT(ISERROR(FIND(EXP_MATRIX!$B$1:$Z$1,M$1))),EXP_MATRIX!$B56:$Z56,1))^IF(ISERROR(FIND("2",M$1)),1,2))</f>
        <v/>
      </c>
      <c r="N56" s="1" t="str" cm="1">
        <f t="array" ref="N56">IF(OR(N$1="",EXP_MATRIX!$C56=""),"",PRODUCT(IF(NOT(ISERROR(FIND(EXP_MATRIX!$B$1:$Z$1,N$1))),EXP_MATRIX!$B56:$Z56,1))^IF(ISERROR(FIND("2",N$1)),1,2))</f>
        <v/>
      </c>
      <c r="O56" s="1" t="str" cm="1">
        <f t="array" ref="O56">IF(OR(O$1="",EXP_MATRIX!$C56=""),"",PRODUCT(IF(NOT(ISERROR(FIND(EXP_MATRIX!$B$1:$Z$1,O$1))),EXP_MATRIX!$B56:$Z56,1))^IF(ISERROR(FIND("2",O$1)),1,2))</f>
        <v/>
      </c>
      <c r="P56" s="1" t="str" cm="1">
        <f t="array" ref="P56">IF(OR(P$1="",EXP_MATRIX!$C56=""),"",PRODUCT(IF(NOT(ISERROR(FIND(EXP_MATRIX!$B$1:$Z$1,P$1))),EXP_MATRIX!$B56:$Z56,1))^IF(ISERROR(FIND("2",P$1)),1,2))</f>
        <v/>
      </c>
      <c r="Q56" s="1" t="str" cm="1">
        <f t="array" ref="Q56">IF(OR(Q$1="",EXP_MATRIX!$C56=""),"",PRODUCT(IF(NOT(ISERROR(FIND(EXP_MATRIX!$B$1:$Z$1,Q$1))),EXP_MATRIX!$B56:$Z56,1))^IF(ISERROR(FIND("2",Q$1)),1,2))</f>
        <v/>
      </c>
      <c r="R56" s="1" t="str" cm="1">
        <f t="array" ref="R56">IF(OR(R$1="",EXP_MATRIX!$C56=""),"",PRODUCT(IF(NOT(ISERROR(FIND(EXP_MATRIX!$B$1:$Z$1,R$1))),EXP_MATRIX!$B56:$Z56,1))^IF(ISERROR(FIND("2",R$1)),1,2))</f>
        <v/>
      </c>
      <c r="S56" s="1" t="str" cm="1">
        <f t="array" ref="S56">IF(OR(S$1="",EXP_MATRIX!$C56=""),"",PRODUCT(IF(NOT(ISERROR(FIND(EXP_MATRIX!$B$1:$Z$1,S$1))),EXP_MATRIX!$B56:$Z56,1))^IF(ISERROR(FIND("2",S$1)),1,2))</f>
        <v/>
      </c>
      <c r="T56" s="1" t="str" cm="1">
        <f t="array" ref="T56">IF(OR(T$1="",EXP_MATRIX!$C56=""),"",PRODUCT(IF(NOT(ISERROR(FIND(EXP_MATRIX!$B$1:$Z$1,T$1))),EXP_MATRIX!$B56:$Z56,1))^IF(ISERROR(FIND("2",T$1)),1,2))</f>
        <v/>
      </c>
      <c r="U56" s="1" t="str" cm="1">
        <f t="array" ref="U56">IF(OR(U$1="",EXP_MATRIX!$C56=""),"",PRODUCT(IF(NOT(ISERROR(FIND(EXP_MATRIX!$B$1:$Z$1,U$1))),EXP_MATRIX!$B56:$Z56,1))^IF(ISERROR(FIND("2",U$1)),1,2))</f>
        <v/>
      </c>
      <c r="V56" s="1" t="str" cm="1">
        <f t="array" ref="V56">IF(OR(V$1="",EXP_MATRIX!$C56=""),"",PRODUCT(IF(NOT(ISERROR(FIND(EXP_MATRIX!$B$1:$Z$1,V$1))),EXP_MATRIX!$B56:$Z56,1))^IF(ISERROR(FIND("2",V$1)),1,2))</f>
        <v/>
      </c>
      <c r="W56" s="1" t="str" cm="1">
        <f t="array" ref="W56">IF(OR(W$1="",EXP_MATRIX!$C56=""),"",PRODUCT(IF(NOT(ISERROR(FIND(EXP_MATRIX!$B$1:$Z$1,W$1))),EXP_MATRIX!$B56:$Z56,1))^IF(ISERROR(FIND("2",W$1)),1,2))</f>
        <v/>
      </c>
      <c r="X56" s="1" t="str" cm="1">
        <f t="array" ref="X56">IF(OR(X$1="",EXP_MATRIX!$C56=""),"",PRODUCT(IF(NOT(ISERROR(FIND(EXP_MATRIX!$B$1:$Z$1,X$1))),EXP_MATRIX!$B56:$Z56,1))^IF(ISERROR(FIND("2",X$1)),1,2))</f>
        <v/>
      </c>
      <c r="Y56" s="1" t="str" cm="1">
        <f t="array" ref="Y56">IF(OR(Y$1="",EXP_MATRIX!$C56=""),"",PRODUCT(IF(NOT(ISERROR(FIND(EXP_MATRIX!$B$1:$Z$1,Y$1))),EXP_MATRIX!$B56:$Z56,1))^IF(ISERROR(FIND("2",Y$1)),1,2))</f>
        <v/>
      </c>
      <c r="Z56" s="1" t="str" cm="1">
        <f t="array" ref="Z56">IF(OR(Z$1="",EXP_MATRIX!$C56=""),"",PRODUCT(IF(NOT(ISERROR(FIND(EXP_MATRIX!$B$1:$Z$1,Z$1))),EXP_MATRIX!$B56:$Z56,1))^IF(ISERROR(FIND("2",Z$1)),1,2))</f>
        <v/>
      </c>
      <c r="AA56" s="1" t="str" cm="1">
        <f t="array" ref="AA56">IF(OR(AA$1="",EXP_MATRIX!$C56=""),"",PRODUCT(IF(NOT(ISERROR(FIND(EXP_MATRIX!$B$1:$Z$1,AA$1))),EXP_MATRIX!$B56:$Z56,1))^IF(ISERROR(FIND("2",AA$1)),1,2))</f>
        <v/>
      </c>
    </row>
    <row r="57" spans="1:27" x14ac:dyDescent="0.25">
      <c r="A57">
        <v>56</v>
      </c>
      <c r="B57" s="1" t="str" cm="1">
        <f t="array" ref="B57">IF(OR(B$1="",EXP_MATRIX!$C57=""),"",PRODUCT(IF(NOT(ISERROR(FIND(EXP_MATRIX!$B$1:$Z$1,B$1))),EXP_MATRIX!$B57:$Z57,1))^IF(ISERROR(FIND("2",B$1)),1,2))</f>
        <v/>
      </c>
      <c r="C57" s="1" t="str" cm="1">
        <f t="array" ref="C57">IF(OR(C$1="",EXP_MATRIX!$C57=""),"",PRODUCT(IF(NOT(ISERROR(FIND(EXP_MATRIX!$B$1:$Z$1,C$1))),EXP_MATRIX!$B57:$Z57,1))^IF(ISERROR(FIND("2",C$1)),1,2))</f>
        <v/>
      </c>
      <c r="D57" s="1" t="str" cm="1">
        <f t="array" ref="D57">IF(OR(D$1="",EXP_MATRIX!$C57=""),"",PRODUCT(IF(NOT(ISERROR(FIND(EXP_MATRIX!$B$1:$Z$1,D$1))),EXP_MATRIX!$B57:$Z57,1))^IF(ISERROR(FIND("2",D$1)),1,2))</f>
        <v/>
      </c>
      <c r="E57" s="1" t="str" cm="1">
        <f t="array" ref="E57">IF(OR(E$1="",EXP_MATRIX!$C57=""),"",PRODUCT(IF(NOT(ISERROR(FIND(EXP_MATRIX!$B$1:$Z$1,E$1))),EXP_MATRIX!$B57:$Z57,1))^IF(ISERROR(FIND("2",E$1)),1,2))</f>
        <v/>
      </c>
      <c r="F57" s="1" t="str" cm="1">
        <f t="array" ref="F57">IF(OR(F$1="",EXP_MATRIX!$C57=""),"",PRODUCT(IF(NOT(ISERROR(FIND(EXP_MATRIX!$B$1:$Z$1,F$1))),EXP_MATRIX!$B57:$Z57,1))^IF(ISERROR(FIND("2",F$1)),1,2))</f>
        <v/>
      </c>
      <c r="G57" s="1" t="str" cm="1">
        <f t="array" ref="G57">IF(OR(G$1="",EXP_MATRIX!$C57=""),"",PRODUCT(IF(NOT(ISERROR(FIND(EXP_MATRIX!$B$1:$Z$1,G$1))),EXP_MATRIX!$B57:$Z57,1))^IF(ISERROR(FIND("2",G$1)),1,2))</f>
        <v/>
      </c>
      <c r="H57" s="1" t="str" cm="1">
        <f t="array" ref="H57">IF(OR(H$1="",EXP_MATRIX!$C57=""),"",PRODUCT(IF(NOT(ISERROR(FIND(EXP_MATRIX!$B$1:$Z$1,H$1))),EXP_MATRIX!$B57:$Z57,1))^IF(ISERROR(FIND("2",H$1)),1,2))</f>
        <v/>
      </c>
      <c r="I57" s="1" t="str" cm="1">
        <f t="array" ref="I57">IF(OR(I$1="",EXP_MATRIX!$C57=""),"",PRODUCT(IF(NOT(ISERROR(FIND(EXP_MATRIX!$B$1:$Z$1,I$1))),EXP_MATRIX!$B57:$Z57,1))^IF(ISERROR(FIND("2",I$1)),1,2))</f>
        <v/>
      </c>
      <c r="J57" s="1" t="str" cm="1">
        <f t="array" ref="J57">IF(OR(J$1="",EXP_MATRIX!$C57=""),"",PRODUCT(IF(NOT(ISERROR(FIND(EXP_MATRIX!$B$1:$Z$1,J$1))),EXP_MATRIX!$B57:$Z57,1))^IF(ISERROR(FIND("2",J$1)),1,2))</f>
        <v/>
      </c>
      <c r="K57" s="1" t="str" cm="1">
        <f t="array" ref="K57">IF(OR(K$1="",EXP_MATRIX!$C57=""),"",PRODUCT(IF(NOT(ISERROR(FIND(EXP_MATRIX!$B$1:$Z$1,K$1))),EXP_MATRIX!$B57:$Z57,1))^IF(ISERROR(FIND("2",K$1)),1,2))</f>
        <v/>
      </c>
      <c r="L57" s="1" t="str" cm="1">
        <f t="array" ref="L57">IF(OR(L$1="",EXP_MATRIX!$C57=""),"",PRODUCT(IF(NOT(ISERROR(FIND(EXP_MATRIX!$B$1:$Z$1,L$1))),EXP_MATRIX!$B57:$Z57,1))^IF(ISERROR(FIND("2",L$1)),1,2))</f>
        <v/>
      </c>
      <c r="M57" s="1" t="str" cm="1">
        <f t="array" ref="M57">IF(OR(M$1="",EXP_MATRIX!$C57=""),"",PRODUCT(IF(NOT(ISERROR(FIND(EXP_MATRIX!$B$1:$Z$1,M$1))),EXP_MATRIX!$B57:$Z57,1))^IF(ISERROR(FIND("2",M$1)),1,2))</f>
        <v/>
      </c>
      <c r="N57" s="1" t="str" cm="1">
        <f t="array" ref="N57">IF(OR(N$1="",EXP_MATRIX!$C57=""),"",PRODUCT(IF(NOT(ISERROR(FIND(EXP_MATRIX!$B$1:$Z$1,N$1))),EXP_MATRIX!$B57:$Z57,1))^IF(ISERROR(FIND("2",N$1)),1,2))</f>
        <v/>
      </c>
      <c r="O57" s="1" t="str" cm="1">
        <f t="array" ref="O57">IF(OR(O$1="",EXP_MATRIX!$C57=""),"",PRODUCT(IF(NOT(ISERROR(FIND(EXP_MATRIX!$B$1:$Z$1,O$1))),EXP_MATRIX!$B57:$Z57,1))^IF(ISERROR(FIND("2",O$1)),1,2))</f>
        <v/>
      </c>
      <c r="P57" s="1" t="str" cm="1">
        <f t="array" ref="P57">IF(OR(P$1="",EXP_MATRIX!$C57=""),"",PRODUCT(IF(NOT(ISERROR(FIND(EXP_MATRIX!$B$1:$Z$1,P$1))),EXP_MATRIX!$B57:$Z57,1))^IF(ISERROR(FIND("2",P$1)),1,2))</f>
        <v/>
      </c>
      <c r="Q57" s="1" t="str" cm="1">
        <f t="array" ref="Q57">IF(OR(Q$1="",EXP_MATRIX!$C57=""),"",PRODUCT(IF(NOT(ISERROR(FIND(EXP_MATRIX!$B$1:$Z$1,Q$1))),EXP_MATRIX!$B57:$Z57,1))^IF(ISERROR(FIND("2",Q$1)),1,2))</f>
        <v/>
      </c>
      <c r="R57" s="1" t="str" cm="1">
        <f t="array" ref="R57">IF(OR(R$1="",EXP_MATRIX!$C57=""),"",PRODUCT(IF(NOT(ISERROR(FIND(EXP_MATRIX!$B$1:$Z$1,R$1))),EXP_MATRIX!$B57:$Z57,1))^IF(ISERROR(FIND("2",R$1)),1,2))</f>
        <v/>
      </c>
      <c r="S57" s="1" t="str" cm="1">
        <f t="array" ref="S57">IF(OR(S$1="",EXP_MATRIX!$C57=""),"",PRODUCT(IF(NOT(ISERROR(FIND(EXP_MATRIX!$B$1:$Z$1,S$1))),EXP_MATRIX!$B57:$Z57,1))^IF(ISERROR(FIND("2",S$1)),1,2))</f>
        <v/>
      </c>
      <c r="T57" s="1" t="str" cm="1">
        <f t="array" ref="T57">IF(OR(T$1="",EXP_MATRIX!$C57=""),"",PRODUCT(IF(NOT(ISERROR(FIND(EXP_MATRIX!$B$1:$Z$1,T$1))),EXP_MATRIX!$B57:$Z57,1))^IF(ISERROR(FIND("2",T$1)),1,2))</f>
        <v/>
      </c>
      <c r="U57" s="1" t="str" cm="1">
        <f t="array" ref="U57">IF(OR(U$1="",EXP_MATRIX!$C57=""),"",PRODUCT(IF(NOT(ISERROR(FIND(EXP_MATRIX!$B$1:$Z$1,U$1))),EXP_MATRIX!$B57:$Z57,1))^IF(ISERROR(FIND("2",U$1)),1,2))</f>
        <v/>
      </c>
      <c r="V57" s="1" t="str" cm="1">
        <f t="array" ref="V57">IF(OR(V$1="",EXP_MATRIX!$C57=""),"",PRODUCT(IF(NOT(ISERROR(FIND(EXP_MATRIX!$B$1:$Z$1,V$1))),EXP_MATRIX!$B57:$Z57,1))^IF(ISERROR(FIND("2",V$1)),1,2))</f>
        <v/>
      </c>
      <c r="W57" s="1" t="str" cm="1">
        <f t="array" ref="W57">IF(OR(W$1="",EXP_MATRIX!$C57=""),"",PRODUCT(IF(NOT(ISERROR(FIND(EXP_MATRIX!$B$1:$Z$1,W$1))),EXP_MATRIX!$B57:$Z57,1))^IF(ISERROR(FIND("2",W$1)),1,2))</f>
        <v/>
      </c>
      <c r="X57" s="1" t="str" cm="1">
        <f t="array" ref="X57">IF(OR(X$1="",EXP_MATRIX!$C57=""),"",PRODUCT(IF(NOT(ISERROR(FIND(EXP_MATRIX!$B$1:$Z$1,X$1))),EXP_MATRIX!$B57:$Z57,1))^IF(ISERROR(FIND("2",X$1)),1,2))</f>
        <v/>
      </c>
      <c r="Y57" s="1" t="str" cm="1">
        <f t="array" ref="Y57">IF(OR(Y$1="",EXP_MATRIX!$C57=""),"",PRODUCT(IF(NOT(ISERROR(FIND(EXP_MATRIX!$B$1:$Z$1,Y$1))),EXP_MATRIX!$B57:$Z57,1))^IF(ISERROR(FIND("2",Y$1)),1,2))</f>
        <v/>
      </c>
      <c r="Z57" s="1" t="str" cm="1">
        <f t="array" ref="Z57">IF(OR(Z$1="",EXP_MATRIX!$C57=""),"",PRODUCT(IF(NOT(ISERROR(FIND(EXP_MATRIX!$B$1:$Z$1,Z$1))),EXP_MATRIX!$B57:$Z57,1))^IF(ISERROR(FIND("2",Z$1)),1,2))</f>
        <v/>
      </c>
      <c r="AA57" s="1" t="str" cm="1">
        <f t="array" ref="AA57">IF(OR(AA$1="",EXP_MATRIX!$C57=""),"",PRODUCT(IF(NOT(ISERROR(FIND(EXP_MATRIX!$B$1:$Z$1,AA$1))),EXP_MATRIX!$B57:$Z57,1))^IF(ISERROR(FIND("2",AA$1)),1,2))</f>
        <v/>
      </c>
    </row>
    <row r="58" spans="1:27" x14ac:dyDescent="0.25">
      <c r="A58">
        <v>57</v>
      </c>
      <c r="B58" s="1" t="str" cm="1">
        <f t="array" ref="B58">IF(OR(B$1="",EXP_MATRIX!$C58=""),"",PRODUCT(IF(NOT(ISERROR(FIND(EXP_MATRIX!$B$1:$Z$1,B$1))),EXP_MATRIX!$B58:$Z58,1))^IF(ISERROR(FIND("2",B$1)),1,2))</f>
        <v/>
      </c>
      <c r="C58" s="1" t="str" cm="1">
        <f t="array" ref="C58">IF(OR(C$1="",EXP_MATRIX!$C58=""),"",PRODUCT(IF(NOT(ISERROR(FIND(EXP_MATRIX!$B$1:$Z$1,C$1))),EXP_MATRIX!$B58:$Z58,1))^IF(ISERROR(FIND("2",C$1)),1,2))</f>
        <v/>
      </c>
      <c r="D58" s="1" t="str" cm="1">
        <f t="array" ref="D58">IF(OR(D$1="",EXP_MATRIX!$C58=""),"",PRODUCT(IF(NOT(ISERROR(FIND(EXP_MATRIX!$B$1:$Z$1,D$1))),EXP_MATRIX!$B58:$Z58,1))^IF(ISERROR(FIND("2",D$1)),1,2))</f>
        <v/>
      </c>
      <c r="E58" s="1" t="str" cm="1">
        <f t="array" ref="E58">IF(OR(E$1="",EXP_MATRIX!$C58=""),"",PRODUCT(IF(NOT(ISERROR(FIND(EXP_MATRIX!$B$1:$Z$1,E$1))),EXP_MATRIX!$B58:$Z58,1))^IF(ISERROR(FIND("2",E$1)),1,2))</f>
        <v/>
      </c>
      <c r="F58" s="1" t="str" cm="1">
        <f t="array" ref="F58">IF(OR(F$1="",EXP_MATRIX!$C58=""),"",PRODUCT(IF(NOT(ISERROR(FIND(EXP_MATRIX!$B$1:$Z$1,F$1))),EXP_MATRIX!$B58:$Z58,1))^IF(ISERROR(FIND("2",F$1)),1,2))</f>
        <v/>
      </c>
      <c r="G58" s="1" t="str" cm="1">
        <f t="array" ref="G58">IF(OR(G$1="",EXP_MATRIX!$C58=""),"",PRODUCT(IF(NOT(ISERROR(FIND(EXP_MATRIX!$B$1:$Z$1,G$1))),EXP_MATRIX!$B58:$Z58,1))^IF(ISERROR(FIND("2",G$1)),1,2))</f>
        <v/>
      </c>
      <c r="H58" s="1" t="str" cm="1">
        <f t="array" ref="H58">IF(OR(H$1="",EXP_MATRIX!$C58=""),"",PRODUCT(IF(NOT(ISERROR(FIND(EXP_MATRIX!$B$1:$Z$1,H$1))),EXP_MATRIX!$B58:$Z58,1))^IF(ISERROR(FIND("2",H$1)),1,2))</f>
        <v/>
      </c>
      <c r="I58" s="1" t="str" cm="1">
        <f t="array" ref="I58">IF(OR(I$1="",EXP_MATRIX!$C58=""),"",PRODUCT(IF(NOT(ISERROR(FIND(EXP_MATRIX!$B$1:$Z$1,I$1))),EXP_MATRIX!$B58:$Z58,1))^IF(ISERROR(FIND("2",I$1)),1,2))</f>
        <v/>
      </c>
      <c r="J58" s="1" t="str" cm="1">
        <f t="array" ref="J58">IF(OR(J$1="",EXP_MATRIX!$C58=""),"",PRODUCT(IF(NOT(ISERROR(FIND(EXP_MATRIX!$B$1:$Z$1,J$1))),EXP_MATRIX!$B58:$Z58,1))^IF(ISERROR(FIND("2",J$1)),1,2))</f>
        <v/>
      </c>
      <c r="K58" s="1" t="str" cm="1">
        <f t="array" ref="K58">IF(OR(K$1="",EXP_MATRIX!$C58=""),"",PRODUCT(IF(NOT(ISERROR(FIND(EXP_MATRIX!$B$1:$Z$1,K$1))),EXP_MATRIX!$B58:$Z58,1))^IF(ISERROR(FIND("2",K$1)),1,2))</f>
        <v/>
      </c>
      <c r="L58" s="1" t="str" cm="1">
        <f t="array" ref="L58">IF(OR(L$1="",EXP_MATRIX!$C58=""),"",PRODUCT(IF(NOT(ISERROR(FIND(EXP_MATRIX!$B$1:$Z$1,L$1))),EXP_MATRIX!$B58:$Z58,1))^IF(ISERROR(FIND("2",L$1)),1,2))</f>
        <v/>
      </c>
      <c r="M58" s="1" t="str" cm="1">
        <f t="array" ref="M58">IF(OR(M$1="",EXP_MATRIX!$C58=""),"",PRODUCT(IF(NOT(ISERROR(FIND(EXP_MATRIX!$B$1:$Z$1,M$1))),EXP_MATRIX!$B58:$Z58,1))^IF(ISERROR(FIND("2",M$1)),1,2))</f>
        <v/>
      </c>
      <c r="N58" s="1" t="str" cm="1">
        <f t="array" ref="N58">IF(OR(N$1="",EXP_MATRIX!$C58=""),"",PRODUCT(IF(NOT(ISERROR(FIND(EXP_MATRIX!$B$1:$Z$1,N$1))),EXP_MATRIX!$B58:$Z58,1))^IF(ISERROR(FIND("2",N$1)),1,2))</f>
        <v/>
      </c>
      <c r="O58" s="1" t="str" cm="1">
        <f t="array" ref="O58">IF(OR(O$1="",EXP_MATRIX!$C58=""),"",PRODUCT(IF(NOT(ISERROR(FIND(EXP_MATRIX!$B$1:$Z$1,O$1))),EXP_MATRIX!$B58:$Z58,1))^IF(ISERROR(FIND("2",O$1)),1,2))</f>
        <v/>
      </c>
      <c r="P58" s="1" t="str" cm="1">
        <f t="array" ref="P58">IF(OR(P$1="",EXP_MATRIX!$C58=""),"",PRODUCT(IF(NOT(ISERROR(FIND(EXP_MATRIX!$B$1:$Z$1,P$1))),EXP_MATRIX!$B58:$Z58,1))^IF(ISERROR(FIND("2",P$1)),1,2))</f>
        <v/>
      </c>
      <c r="Q58" s="1" t="str" cm="1">
        <f t="array" ref="Q58">IF(OR(Q$1="",EXP_MATRIX!$C58=""),"",PRODUCT(IF(NOT(ISERROR(FIND(EXP_MATRIX!$B$1:$Z$1,Q$1))),EXP_MATRIX!$B58:$Z58,1))^IF(ISERROR(FIND("2",Q$1)),1,2))</f>
        <v/>
      </c>
      <c r="R58" s="1" t="str" cm="1">
        <f t="array" ref="R58">IF(OR(R$1="",EXP_MATRIX!$C58=""),"",PRODUCT(IF(NOT(ISERROR(FIND(EXP_MATRIX!$B$1:$Z$1,R$1))),EXP_MATRIX!$B58:$Z58,1))^IF(ISERROR(FIND("2",R$1)),1,2))</f>
        <v/>
      </c>
      <c r="S58" s="1" t="str" cm="1">
        <f t="array" ref="S58">IF(OR(S$1="",EXP_MATRIX!$C58=""),"",PRODUCT(IF(NOT(ISERROR(FIND(EXP_MATRIX!$B$1:$Z$1,S$1))),EXP_MATRIX!$B58:$Z58,1))^IF(ISERROR(FIND("2",S$1)),1,2))</f>
        <v/>
      </c>
      <c r="T58" s="1" t="str" cm="1">
        <f t="array" ref="T58">IF(OR(T$1="",EXP_MATRIX!$C58=""),"",PRODUCT(IF(NOT(ISERROR(FIND(EXP_MATRIX!$B$1:$Z$1,T$1))),EXP_MATRIX!$B58:$Z58,1))^IF(ISERROR(FIND("2",T$1)),1,2))</f>
        <v/>
      </c>
      <c r="U58" s="1" t="str" cm="1">
        <f t="array" ref="U58">IF(OR(U$1="",EXP_MATRIX!$C58=""),"",PRODUCT(IF(NOT(ISERROR(FIND(EXP_MATRIX!$B$1:$Z$1,U$1))),EXP_MATRIX!$B58:$Z58,1))^IF(ISERROR(FIND("2",U$1)),1,2))</f>
        <v/>
      </c>
      <c r="V58" s="1" t="str" cm="1">
        <f t="array" ref="V58">IF(OR(V$1="",EXP_MATRIX!$C58=""),"",PRODUCT(IF(NOT(ISERROR(FIND(EXP_MATRIX!$B$1:$Z$1,V$1))),EXP_MATRIX!$B58:$Z58,1))^IF(ISERROR(FIND("2",V$1)),1,2))</f>
        <v/>
      </c>
      <c r="W58" s="1" t="str" cm="1">
        <f t="array" ref="W58">IF(OR(W$1="",EXP_MATRIX!$C58=""),"",PRODUCT(IF(NOT(ISERROR(FIND(EXP_MATRIX!$B$1:$Z$1,W$1))),EXP_MATRIX!$B58:$Z58,1))^IF(ISERROR(FIND("2",W$1)),1,2))</f>
        <v/>
      </c>
      <c r="X58" s="1" t="str" cm="1">
        <f t="array" ref="X58">IF(OR(X$1="",EXP_MATRIX!$C58=""),"",PRODUCT(IF(NOT(ISERROR(FIND(EXP_MATRIX!$B$1:$Z$1,X$1))),EXP_MATRIX!$B58:$Z58,1))^IF(ISERROR(FIND("2",X$1)),1,2))</f>
        <v/>
      </c>
      <c r="Y58" s="1" t="str" cm="1">
        <f t="array" ref="Y58">IF(OR(Y$1="",EXP_MATRIX!$C58=""),"",PRODUCT(IF(NOT(ISERROR(FIND(EXP_MATRIX!$B$1:$Z$1,Y$1))),EXP_MATRIX!$B58:$Z58,1))^IF(ISERROR(FIND("2",Y$1)),1,2))</f>
        <v/>
      </c>
      <c r="Z58" s="1" t="str" cm="1">
        <f t="array" ref="Z58">IF(OR(Z$1="",EXP_MATRIX!$C58=""),"",PRODUCT(IF(NOT(ISERROR(FIND(EXP_MATRIX!$B$1:$Z$1,Z$1))),EXP_MATRIX!$B58:$Z58,1))^IF(ISERROR(FIND("2",Z$1)),1,2))</f>
        <v/>
      </c>
      <c r="AA58" s="1" t="str" cm="1">
        <f t="array" ref="AA58">IF(OR(AA$1="",EXP_MATRIX!$C58=""),"",PRODUCT(IF(NOT(ISERROR(FIND(EXP_MATRIX!$B$1:$Z$1,AA$1))),EXP_MATRIX!$B58:$Z58,1))^IF(ISERROR(FIND("2",AA$1)),1,2))</f>
        <v/>
      </c>
    </row>
    <row r="59" spans="1:27" x14ac:dyDescent="0.25">
      <c r="A59">
        <v>58</v>
      </c>
      <c r="B59" s="1" t="str" cm="1">
        <f t="array" ref="B59">IF(OR(B$1="",EXP_MATRIX!$C59=""),"",PRODUCT(IF(NOT(ISERROR(FIND(EXP_MATRIX!$B$1:$Z$1,B$1))),EXP_MATRIX!$B59:$Z59,1))^IF(ISERROR(FIND("2",B$1)),1,2))</f>
        <v/>
      </c>
      <c r="C59" s="1" t="str" cm="1">
        <f t="array" ref="C59">IF(OR(C$1="",EXP_MATRIX!$C59=""),"",PRODUCT(IF(NOT(ISERROR(FIND(EXP_MATRIX!$B$1:$Z$1,C$1))),EXP_MATRIX!$B59:$Z59,1))^IF(ISERROR(FIND("2",C$1)),1,2))</f>
        <v/>
      </c>
      <c r="D59" s="1" t="str" cm="1">
        <f t="array" ref="D59">IF(OR(D$1="",EXP_MATRIX!$C59=""),"",PRODUCT(IF(NOT(ISERROR(FIND(EXP_MATRIX!$B$1:$Z$1,D$1))),EXP_MATRIX!$B59:$Z59,1))^IF(ISERROR(FIND("2",D$1)),1,2))</f>
        <v/>
      </c>
      <c r="E59" s="1" t="str" cm="1">
        <f t="array" ref="E59">IF(OR(E$1="",EXP_MATRIX!$C59=""),"",PRODUCT(IF(NOT(ISERROR(FIND(EXP_MATRIX!$B$1:$Z$1,E$1))),EXP_MATRIX!$B59:$Z59,1))^IF(ISERROR(FIND("2",E$1)),1,2))</f>
        <v/>
      </c>
      <c r="F59" s="1" t="str" cm="1">
        <f t="array" ref="F59">IF(OR(F$1="",EXP_MATRIX!$C59=""),"",PRODUCT(IF(NOT(ISERROR(FIND(EXP_MATRIX!$B$1:$Z$1,F$1))),EXP_MATRIX!$B59:$Z59,1))^IF(ISERROR(FIND("2",F$1)),1,2))</f>
        <v/>
      </c>
      <c r="G59" s="1" t="str" cm="1">
        <f t="array" ref="G59">IF(OR(G$1="",EXP_MATRIX!$C59=""),"",PRODUCT(IF(NOT(ISERROR(FIND(EXP_MATRIX!$B$1:$Z$1,G$1))),EXP_MATRIX!$B59:$Z59,1))^IF(ISERROR(FIND("2",G$1)),1,2))</f>
        <v/>
      </c>
      <c r="H59" s="1" t="str" cm="1">
        <f t="array" ref="H59">IF(OR(H$1="",EXP_MATRIX!$C59=""),"",PRODUCT(IF(NOT(ISERROR(FIND(EXP_MATRIX!$B$1:$Z$1,H$1))),EXP_MATRIX!$B59:$Z59,1))^IF(ISERROR(FIND("2",H$1)),1,2))</f>
        <v/>
      </c>
      <c r="I59" s="1" t="str" cm="1">
        <f t="array" ref="I59">IF(OR(I$1="",EXP_MATRIX!$C59=""),"",PRODUCT(IF(NOT(ISERROR(FIND(EXP_MATRIX!$B$1:$Z$1,I$1))),EXP_MATRIX!$B59:$Z59,1))^IF(ISERROR(FIND("2",I$1)),1,2))</f>
        <v/>
      </c>
      <c r="J59" s="1" t="str" cm="1">
        <f t="array" ref="J59">IF(OR(J$1="",EXP_MATRIX!$C59=""),"",PRODUCT(IF(NOT(ISERROR(FIND(EXP_MATRIX!$B$1:$Z$1,J$1))),EXP_MATRIX!$B59:$Z59,1))^IF(ISERROR(FIND("2",J$1)),1,2))</f>
        <v/>
      </c>
      <c r="K59" s="1" t="str" cm="1">
        <f t="array" ref="K59">IF(OR(K$1="",EXP_MATRIX!$C59=""),"",PRODUCT(IF(NOT(ISERROR(FIND(EXP_MATRIX!$B$1:$Z$1,K$1))),EXP_MATRIX!$B59:$Z59,1))^IF(ISERROR(FIND("2",K$1)),1,2))</f>
        <v/>
      </c>
      <c r="L59" s="1" t="str" cm="1">
        <f t="array" ref="L59">IF(OR(L$1="",EXP_MATRIX!$C59=""),"",PRODUCT(IF(NOT(ISERROR(FIND(EXP_MATRIX!$B$1:$Z$1,L$1))),EXP_MATRIX!$B59:$Z59,1))^IF(ISERROR(FIND("2",L$1)),1,2))</f>
        <v/>
      </c>
      <c r="M59" s="1" t="str" cm="1">
        <f t="array" ref="M59">IF(OR(M$1="",EXP_MATRIX!$C59=""),"",PRODUCT(IF(NOT(ISERROR(FIND(EXP_MATRIX!$B$1:$Z$1,M$1))),EXP_MATRIX!$B59:$Z59,1))^IF(ISERROR(FIND("2",M$1)),1,2))</f>
        <v/>
      </c>
      <c r="N59" s="1" t="str" cm="1">
        <f t="array" ref="N59">IF(OR(N$1="",EXP_MATRIX!$C59=""),"",PRODUCT(IF(NOT(ISERROR(FIND(EXP_MATRIX!$B$1:$Z$1,N$1))),EXP_MATRIX!$B59:$Z59,1))^IF(ISERROR(FIND("2",N$1)),1,2))</f>
        <v/>
      </c>
      <c r="O59" s="1" t="str" cm="1">
        <f t="array" ref="O59">IF(OR(O$1="",EXP_MATRIX!$C59=""),"",PRODUCT(IF(NOT(ISERROR(FIND(EXP_MATRIX!$B$1:$Z$1,O$1))),EXP_MATRIX!$B59:$Z59,1))^IF(ISERROR(FIND("2",O$1)),1,2))</f>
        <v/>
      </c>
      <c r="P59" s="1" t="str" cm="1">
        <f t="array" ref="P59">IF(OR(P$1="",EXP_MATRIX!$C59=""),"",PRODUCT(IF(NOT(ISERROR(FIND(EXP_MATRIX!$B$1:$Z$1,P$1))),EXP_MATRIX!$B59:$Z59,1))^IF(ISERROR(FIND("2",P$1)),1,2))</f>
        <v/>
      </c>
      <c r="Q59" s="1" t="str" cm="1">
        <f t="array" ref="Q59">IF(OR(Q$1="",EXP_MATRIX!$C59=""),"",PRODUCT(IF(NOT(ISERROR(FIND(EXP_MATRIX!$B$1:$Z$1,Q$1))),EXP_MATRIX!$B59:$Z59,1))^IF(ISERROR(FIND("2",Q$1)),1,2))</f>
        <v/>
      </c>
      <c r="R59" s="1" t="str" cm="1">
        <f t="array" ref="R59">IF(OR(R$1="",EXP_MATRIX!$C59=""),"",PRODUCT(IF(NOT(ISERROR(FIND(EXP_MATRIX!$B$1:$Z$1,R$1))),EXP_MATRIX!$B59:$Z59,1))^IF(ISERROR(FIND("2",R$1)),1,2))</f>
        <v/>
      </c>
      <c r="S59" s="1" t="str" cm="1">
        <f t="array" ref="S59">IF(OR(S$1="",EXP_MATRIX!$C59=""),"",PRODUCT(IF(NOT(ISERROR(FIND(EXP_MATRIX!$B$1:$Z$1,S$1))),EXP_MATRIX!$B59:$Z59,1))^IF(ISERROR(FIND("2",S$1)),1,2))</f>
        <v/>
      </c>
      <c r="T59" s="1" t="str" cm="1">
        <f t="array" ref="T59">IF(OR(T$1="",EXP_MATRIX!$C59=""),"",PRODUCT(IF(NOT(ISERROR(FIND(EXP_MATRIX!$B$1:$Z$1,T$1))),EXP_MATRIX!$B59:$Z59,1))^IF(ISERROR(FIND("2",T$1)),1,2))</f>
        <v/>
      </c>
      <c r="U59" s="1" t="str" cm="1">
        <f t="array" ref="U59">IF(OR(U$1="",EXP_MATRIX!$C59=""),"",PRODUCT(IF(NOT(ISERROR(FIND(EXP_MATRIX!$B$1:$Z$1,U$1))),EXP_MATRIX!$B59:$Z59,1))^IF(ISERROR(FIND("2",U$1)),1,2))</f>
        <v/>
      </c>
      <c r="V59" s="1" t="str" cm="1">
        <f t="array" ref="V59">IF(OR(V$1="",EXP_MATRIX!$C59=""),"",PRODUCT(IF(NOT(ISERROR(FIND(EXP_MATRIX!$B$1:$Z$1,V$1))),EXP_MATRIX!$B59:$Z59,1))^IF(ISERROR(FIND("2",V$1)),1,2))</f>
        <v/>
      </c>
      <c r="W59" s="1" t="str" cm="1">
        <f t="array" ref="W59">IF(OR(W$1="",EXP_MATRIX!$C59=""),"",PRODUCT(IF(NOT(ISERROR(FIND(EXP_MATRIX!$B$1:$Z$1,W$1))),EXP_MATRIX!$B59:$Z59,1))^IF(ISERROR(FIND("2",W$1)),1,2))</f>
        <v/>
      </c>
      <c r="X59" s="1" t="str" cm="1">
        <f t="array" ref="X59">IF(OR(X$1="",EXP_MATRIX!$C59=""),"",PRODUCT(IF(NOT(ISERROR(FIND(EXP_MATRIX!$B$1:$Z$1,X$1))),EXP_MATRIX!$B59:$Z59,1))^IF(ISERROR(FIND("2",X$1)),1,2))</f>
        <v/>
      </c>
      <c r="Y59" s="1" t="str" cm="1">
        <f t="array" ref="Y59">IF(OR(Y$1="",EXP_MATRIX!$C59=""),"",PRODUCT(IF(NOT(ISERROR(FIND(EXP_MATRIX!$B$1:$Z$1,Y$1))),EXP_MATRIX!$B59:$Z59,1))^IF(ISERROR(FIND("2",Y$1)),1,2))</f>
        <v/>
      </c>
      <c r="Z59" s="1" t="str" cm="1">
        <f t="array" ref="Z59">IF(OR(Z$1="",EXP_MATRIX!$C59=""),"",PRODUCT(IF(NOT(ISERROR(FIND(EXP_MATRIX!$B$1:$Z$1,Z$1))),EXP_MATRIX!$B59:$Z59,1))^IF(ISERROR(FIND("2",Z$1)),1,2))</f>
        <v/>
      </c>
      <c r="AA59" s="1" t="str" cm="1">
        <f t="array" ref="AA59">IF(OR(AA$1="",EXP_MATRIX!$C59=""),"",PRODUCT(IF(NOT(ISERROR(FIND(EXP_MATRIX!$B$1:$Z$1,AA$1))),EXP_MATRIX!$B59:$Z59,1))^IF(ISERROR(FIND("2",AA$1)),1,2))</f>
        <v/>
      </c>
    </row>
    <row r="60" spans="1:27" x14ac:dyDescent="0.25">
      <c r="A60">
        <v>59</v>
      </c>
      <c r="B60" s="1" t="str" cm="1">
        <f t="array" ref="B60">IF(OR(B$1="",EXP_MATRIX!$C60=""),"",PRODUCT(IF(NOT(ISERROR(FIND(EXP_MATRIX!$B$1:$Z$1,B$1))),EXP_MATRIX!$B60:$Z60,1))^IF(ISERROR(FIND("2",B$1)),1,2))</f>
        <v/>
      </c>
      <c r="C60" s="1" t="str" cm="1">
        <f t="array" ref="C60">IF(OR(C$1="",EXP_MATRIX!$C60=""),"",PRODUCT(IF(NOT(ISERROR(FIND(EXP_MATRIX!$B$1:$Z$1,C$1))),EXP_MATRIX!$B60:$Z60,1))^IF(ISERROR(FIND("2",C$1)),1,2))</f>
        <v/>
      </c>
      <c r="D60" s="1" t="str" cm="1">
        <f t="array" ref="D60">IF(OR(D$1="",EXP_MATRIX!$C60=""),"",PRODUCT(IF(NOT(ISERROR(FIND(EXP_MATRIX!$B$1:$Z$1,D$1))),EXP_MATRIX!$B60:$Z60,1))^IF(ISERROR(FIND("2",D$1)),1,2))</f>
        <v/>
      </c>
      <c r="E60" s="1" t="str" cm="1">
        <f t="array" ref="E60">IF(OR(E$1="",EXP_MATRIX!$C60=""),"",PRODUCT(IF(NOT(ISERROR(FIND(EXP_MATRIX!$B$1:$Z$1,E$1))),EXP_MATRIX!$B60:$Z60,1))^IF(ISERROR(FIND("2",E$1)),1,2))</f>
        <v/>
      </c>
      <c r="F60" s="1" t="str" cm="1">
        <f t="array" ref="F60">IF(OR(F$1="",EXP_MATRIX!$C60=""),"",PRODUCT(IF(NOT(ISERROR(FIND(EXP_MATRIX!$B$1:$Z$1,F$1))),EXP_MATRIX!$B60:$Z60,1))^IF(ISERROR(FIND("2",F$1)),1,2))</f>
        <v/>
      </c>
      <c r="G60" s="1" t="str" cm="1">
        <f t="array" ref="G60">IF(OR(G$1="",EXP_MATRIX!$C60=""),"",PRODUCT(IF(NOT(ISERROR(FIND(EXP_MATRIX!$B$1:$Z$1,G$1))),EXP_MATRIX!$B60:$Z60,1))^IF(ISERROR(FIND("2",G$1)),1,2))</f>
        <v/>
      </c>
      <c r="H60" s="1" t="str" cm="1">
        <f t="array" ref="H60">IF(OR(H$1="",EXP_MATRIX!$C60=""),"",PRODUCT(IF(NOT(ISERROR(FIND(EXP_MATRIX!$B$1:$Z$1,H$1))),EXP_MATRIX!$B60:$Z60,1))^IF(ISERROR(FIND("2",H$1)),1,2))</f>
        <v/>
      </c>
      <c r="I60" s="1" t="str" cm="1">
        <f t="array" ref="I60">IF(OR(I$1="",EXP_MATRIX!$C60=""),"",PRODUCT(IF(NOT(ISERROR(FIND(EXP_MATRIX!$B$1:$Z$1,I$1))),EXP_MATRIX!$B60:$Z60,1))^IF(ISERROR(FIND("2",I$1)),1,2))</f>
        <v/>
      </c>
      <c r="J60" s="1" t="str" cm="1">
        <f t="array" ref="J60">IF(OR(J$1="",EXP_MATRIX!$C60=""),"",PRODUCT(IF(NOT(ISERROR(FIND(EXP_MATRIX!$B$1:$Z$1,J$1))),EXP_MATRIX!$B60:$Z60,1))^IF(ISERROR(FIND("2",J$1)),1,2))</f>
        <v/>
      </c>
      <c r="K60" s="1" t="str" cm="1">
        <f t="array" ref="K60">IF(OR(K$1="",EXP_MATRIX!$C60=""),"",PRODUCT(IF(NOT(ISERROR(FIND(EXP_MATRIX!$B$1:$Z$1,K$1))),EXP_MATRIX!$B60:$Z60,1))^IF(ISERROR(FIND("2",K$1)),1,2))</f>
        <v/>
      </c>
      <c r="L60" s="1" t="str" cm="1">
        <f t="array" ref="L60">IF(OR(L$1="",EXP_MATRIX!$C60=""),"",PRODUCT(IF(NOT(ISERROR(FIND(EXP_MATRIX!$B$1:$Z$1,L$1))),EXP_MATRIX!$B60:$Z60,1))^IF(ISERROR(FIND("2",L$1)),1,2))</f>
        <v/>
      </c>
      <c r="M60" s="1" t="str" cm="1">
        <f t="array" ref="M60">IF(OR(M$1="",EXP_MATRIX!$C60=""),"",PRODUCT(IF(NOT(ISERROR(FIND(EXP_MATRIX!$B$1:$Z$1,M$1))),EXP_MATRIX!$B60:$Z60,1))^IF(ISERROR(FIND("2",M$1)),1,2))</f>
        <v/>
      </c>
      <c r="N60" s="1" t="str" cm="1">
        <f t="array" ref="N60">IF(OR(N$1="",EXP_MATRIX!$C60=""),"",PRODUCT(IF(NOT(ISERROR(FIND(EXP_MATRIX!$B$1:$Z$1,N$1))),EXP_MATRIX!$B60:$Z60,1))^IF(ISERROR(FIND("2",N$1)),1,2))</f>
        <v/>
      </c>
      <c r="O60" s="1" t="str" cm="1">
        <f t="array" ref="O60">IF(OR(O$1="",EXP_MATRIX!$C60=""),"",PRODUCT(IF(NOT(ISERROR(FIND(EXP_MATRIX!$B$1:$Z$1,O$1))),EXP_MATRIX!$B60:$Z60,1))^IF(ISERROR(FIND("2",O$1)),1,2))</f>
        <v/>
      </c>
      <c r="P60" s="1" t="str" cm="1">
        <f t="array" ref="P60">IF(OR(P$1="",EXP_MATRIX!$C60=""),"",PRODUCT(IF(NOT(ISERROR(FIND(EXP_MATRIX!$B$1:$Z$1,P$1))),EXP_MATRIX!$B60:$Z60,1))^IF(ISERROR(FIND("2",P$1)),1,2))</f>
        <v/>
      </c>
      <c r="Q60" s="1" t="str" cm="1">
        <f t="array" ref="Q60">IF(OR(Q$1="",EXP_MATRIX!$C60=""),"",PRODUCT(IF(NOT(ISERROR(FIND(EXP_MATRIX!$B$1:$Z$1,Q$1))),EXP_MATRIX!$B60:$Z60,1))^IF(ISERROR(FIND("2",Q$1)),1,2))</f>
        <v/>
      </c>
      <c r="R60" s="1" t="str" cm="1">
        <f t="array" ref="R60">IF(OR(R$1="",EXP_MATRIX!$C60=""),"",PRODUCT(IF(NOT(ISERROR(FIND(EXP_MATRIX!$B$1:$Z$1,R$1))),EXP_MATRIX!$B60:$Z60,1))^IF(ISERROR(FIND("2",R$1)),1,2))</f>
        <v/>
      </c>
      <c r="S60" s="1" t="str" cm="1">
        <f t="array" ref="S60">IF(OR(S$1="",EXP_MATRIX!$C60=""),"",PRODUCT(IF(NOT(ISERROR(FIND(EXP_MATRIX!$B$1:$Z$1,S$1))),EXP_MATRIX!$B60:$Z60,1))^IF(ISERROR(FIND("2",S$1)),1,2))</f>
        <v/>
      </c>
      <c r="T60" s="1" t="str" cm="1">
        <f t="array" ref="T60">IF(OR(T$1="",EXP_MATRIX!$C60=""),"",PRODUCT(IF(NOT(ISERROR(FIND(EXP_MATRIX!$B$1:$Z$1,T$1))),EXP_MATRIX!$B60:$Z60,1))^IF(ISERROR(FIND("2",T$1)),1,2))</f>
        <v/>
      </c>
      <c r="U60" s="1" t="str" cm="1">
        <f t="array" ref="U60">IF(OR(U$1="",EXP_MATRIX!$C60=""),"",PRODUCT(IF(NOT(ISERROR(FIND(EXP_MATRIX!$B$1:$Z$1,U$1))),EXP_MATRIX!$B60:$Z60,1))^IF(ISERROR(FIND("2",U$1)),1,2))</f>
        <v/>
      </c>
      <c r="V60" s="1" t="str" cm="1">
        <f t="array" ref="V60">IF(OR(V$1="",EXP_MATRIX!$C60=""),"",PRODUCT(IF(NOT(ISERROR(FIND(EXP_MATRIX!$B$1:$Z$1,V$1))),EXP_MATRIX!$B60:$Z60,1))^IF(ISERROR(FIND("2",V$1)),1,2))</f>
        <v/>
      </c>
      <c r="W60" s="1" t="str" cm="1">
        <f t="array" ref="W60">IF(OR(W$1="",EXP_MATRIX!$C60=""),"",PRODUCT(IF(NOT(ISERROR(FIND(EXP_MATRIX!$B$1:$Z$1,W$1))),EXP_MATRIX!$B60:$Z60,1))^IF(ISERROR(FIND("2",W$1)),1,2))</f>
        <v/>
      </c>
      <c r="X60" s="1" t="str" cm="1">
        <f t="array" ref="X60">IF(OR(X$1="",EXP_MATRIX!$C60=""),"",PRODUCT(IF(NOT(ISERROR(FIND(EXP_MATRIX!$B$1:$Z$1,X$1))),EXP_MATRIX!$B60:$Z60,1))^IF(ISERROR(FIND("2",X$1)),1,2))</f>
        <v/>
      </c>
      <c r="Y60" s="1" t="str" cm="1">
        <f t="array" ref="Y60">IF(OR(Y$1="",EXP_MATRIX!$C60=""),"",PRODUCT(IF(NOT(ISERROR(FIND(EXP_MATRIX!$B$1:$Z$1,Y$1))),EXP_MATRIX!$B60:$Z60,1))^IF(ISERROR(FIND("2",Y$1)),1,2))</f>
        <v/>
      </c>
      <c r="Z60" s="1" t="str" cm="1">
        <f t="array" ref="Z60">IF(OR(Z$1="",EXP_MATRIX!$C60=""),"",PRODUCT(IF(NOT(ISERROR(FIND(EXP_MATRIX!$B$1:$Z$1,Z$1))),EXP_MATRIX!$B60:$Z60,1))^IF(ISERROR(FIND("2",Z$1)),1,2))</f>
        <v/>
      </c>
      <c r="AA60" s="1" t="str" cm="1">
        <f t="array" ref="AA60">IF(OR(AA$1="",EXP_MATRIX!$C60=""),"",PRODUCT(IF(NOT(ISERROR(FIND(EXP_MATRIX!$B$1:$Z$1,AA$1))),EXP_MATRIX!$B60:$Z60,1))^IF(ISERROR(FIND("2",AA$1)),1,2))</f>
        <v/>
      </c>
    </row>
    <row r="61" spans="1:27" x14ac:dyDescent="0.25">
      <c r="A61">
        <v>60</v>
      </c>
      <c r="B61" s="1" t="str" cm="1">
        <f t="array" ref="B61">IF(OR(B$1="",EXP_MATRIX!$C61=""),"",PRODUCT(IF(NOT(ISERROR(FIND(EXP_MATRIX!$B$1:$Z$1,B$1))),EXP_MATRIX!$B61:$Z61,1))^IF(ISERROR(FIND("2",B$1)),1,2))</f>
        <v/>
      </c>
      <c r="C61" s="1" t="str" cm="1">
        <f t="array" ref="C61">IF(OR(C$1="",EXP_MATRIX!$C61=""),"",PRODUCT(IF(NOT(ISERROR(FIND(EXP_MATRIX!$B$1:$Z$1,C$1))),EXP_MATRIX!$B61:$Z61,1))^IF(ISERROR(FIND("2",C$1)),1,2))</f>
        <v/>
      </c>
      <c r="D61" s="1" t="str" cm="1">
        <f t="array" ref="D61">IF(OR(D$1="",EXP_MATRIX!$C61=""),"",PRODUCT(IF(NOT(ISERROR(FIND(EXP_MATRIX!$B$1:$Z$1,D$1))),EXP_MATRIX!$B61:$Z61,1))^IF(ISERROR(FIND("2",D$1)),1,2))</f>
        <v/>
      </c>
      <c r="E61" s="1" t="str" cm="1">
        <f t="array" ref="E61">IF(OR(E$1="",EXP_MATRIX!$C61=""),"",PRODUCT(IF(NOT(ISERROR(FIND(EXP_MATRIX!$B$1:$Z$1,E$1))),EXP_MATRIX!$B61:$Z61,1))^IF(ISERROR(FIND("2",E$1)),1,2))</f>
        <v/>
      </c>
      <c r="F61" s="1" t="str" cm="1">
        <f t="array" ref="F61">IF(OR(F$1="",EXP_MATRIX!$C61=""),"",PRODUCT(IF(NOT(ISERROR(FIND(EXP_MATRIX!$B$1:$Z$1,F$1))),EXP_MATRIX!$B61:$Z61,1))^IF(ISERROR(FIND("2",F$1)),1,2))</f>
        <v/>
      </c>
      <c r="G61" s="1" t="str" cm="1">
        <f t="array" ref="G61">IF(OR(G$1="",EXP_MATRIX!$C61=""),"",PRODUCT(IF(NOT(ISERROR(FIND(EXP_MATRIX!$B$1:$Z$1,G$1))),EXP_MATRIX!$B61:$Z61,1))^IF(ISERROR(FIND("2",G$1)),1,2))</f>
        <v/>
      </c>
      <c r="H61" s="1" t="str" cm="1">
        <f t="array" ref="H61">IF(OR(H$1="",EXP_MATRIX!$C61=""),"",PRODUCT(IF(NOT(ISERROR(FIND(EXP_MATRIX!$B$1:$Z$1,H$1))),EXP_MATRIX!$B61:$Z61,1))^IF(ISERROR(FIND("2",H$1)),1,2))</f>
        <v/>
      </c>
      <c r="I61" s="1" t="str" cm="1">
        <f t="array" ref="I61">IF(OR(I$1="",EXP_MATRIX!$C61=""),"",PRODUCT(IF(NOT(ISERROR(FIND(EXP_MATRIX!$B$1:$Z$1,I$1))),EXP_MATRIX!$B61:$Z61,1))^IF(ISERROR(FIND("2",I$1)),1,2))</f>
        <v/>
      </c>
      <c r="J61" s="1" t="str" cm="1">
        <f t="array" ref="J61">IF(OR(J$1="",EXP_MATRIX!$C61=""),"",PRODUCT(IF(NOT(ISERROR(FIND(EXP_MATRIX!$B$1:$Z$1,J$1))),EXP_MATRIX!$B61:$Z61,1))^IF(ISERROR(FIND("2",J$1)),1,2))</f>
        <v/>
      </c>
      <c r="K61" s="1" t="str" cm="1">
        <f t="array" ref="K61">IF(OR(K$1="",EXP_MATRIX!$C61=""),"",PRODUCT(IF(NOT(ISERROR(FIND(EXP_MATRIX!$B$1:$Z$1,K$1))),EXP_MATRIX!$B61:$Z61,1))^IF(ISERROR(FIND("2",K$1)),1,2))</f>
        <v/>
      </c>
      <c r="L61" s="1" t="str" cm="1">
        <f t="array" ref="L61">IF(OR(L$1="",EXP_MATRIX!$C61=""),"",PRODUCT(IF(NOT(ISERROR(FIND(EXP_MATRIX!$B$1:$Z$1,L$1))),EXP_MATRIX!$B61:$Z61,1))^IF(ISERROR(FIND("2",L$1)),1,2))</f>
        <v/>
      </c>
      <c r="M61" s="1" t="str" cm="1">
        <f t="array" ref="M61">IF(OR(M$1="",EXP_MATRIX!$C61=""),"",PRODUCT(IF(NOT(ISERROR(FIND(EXP_MATRIX!$B$1:$Z$1,M$1))),EXP_MATRIX!$B61:$Z61,1))^IF(ISERROR(FIND("2",M$1)),1,2))</f>
        <v/>
      </c>
      <c r="N61" s="1" t="str" cm="1">
        <f t="array" ref="N61">IF(OR(N$1="",EXP_MATRIX!$C61=""),"",PRODUCT(IF(NOT(ISERROR(FIND(EXP_MATRIX!$B$1:$Z$1,N$1))),EXP_MATRIX!$B61:$Z61,1))^IF(ISERROR(FIND("2",N$1)),1,2))</f>
        <v/>
      </c>
      <c r="O61" s="1" t="str" cm="1">
        <f t="array" ref="O61">IF(OR(O$1="",EXP_MATRIX!$C61=""),"",PRODUCT(IF(NOT(ISERROR(FIND(EXP_MATRIX!$B$1:$Z$1,O$1))),EXP_MATRIX!$B61:$Z61,1))^IF(ISERROR(FIND("2",O$1)),1,2))</f>
        <v/>
      </c>
      <c r="P61" s="1" t="str" cm="1">
        <f t="array" ref="P61">IF(OR(P$1="",EXP_MATRIX!$C61=""),"",PRODUCT(IF(NOT(ISERROR(FIND(EXP_MATRIX!$B$1:$Z$1,P$1))),EXP_MATRIX!$B61:$Z61,1))^IF(ISERROR(FIND("2",P$1)),1,2))</f>
        <v/>
      </c>
      <c r="Q61" s="1" t="str" cm="1">
        <f t="array" ref="Q61">IF(OR(Q$1="",EXP_MATRIX!$C61=""),"",PRODUCT(IF(NOT(ISERROR(FIND(EXP_MATRIX!$B$1:$Z$1,Q$1))),EXP_MATRIX!$B61:$Z61,1))^IF(ISERROR(FIND("2",Q$1)),1,2))</f>
        <v/>
      </c>
      <c r="R61" s="1" t="str" cm="1">
        <f t="array" ref="R61">IF(OR(R$1="",EXP_MATRIX!$C61=""),"",PRODUCT(IF(NOT(ISERROR(FIND(EXP_MATRIX!$B$1:$Z$1,R$1))),EXP_MATRIX!$B61:$Z61,1))^IF(ISERROR(FIND("2",R$1)),1,2))</f>
        <v/>
      </c>
      <c r="S61" s="1" t="str" cm="1">
        <f t="array" ref="S61">IF(OR(S$1="",EXP_MATRIX!$C61=""),"",PRODUCT(IF(NOT(ISERROR(FIND(EXP_MATRIX!$B$1:$Z$1,S$1))),EXP_MATRIX!$B61:$Z61,1))^IF(ISERROR(FIND("2",S$1)),1,2))</f>
        <v/>
      </c>
      <c r="T61" s="1" t="str" cm="1">
        <f t="array" ref="T61">IF(OR(T$1="",EXP_MATRIX!$C61=""),"",PRODUCT(IF(NOT(ISERROR(FIND(EXP_MATRIX!$B$1:$Z$1,T$1))),EXP_MATRIX!$B61:$Z61,1))^IF(ISERROR(FIND("2",T$1)),1,2))</f>
        <v/>
      </c>
      <c r="U61" s="1" t="str" cm="1">
        <f t="array" ref="U61">IF(OR(U$1="",EXP_MATRIX!$C61=""),"",PRODUCT(IF(NOT(ISERROR(FIND(EXP_MATRIX!$B$1:$Z$1,U$1))),EXP_MATRIX!$B61:$Z61,1))^IF(ISERROR(FIND("2",U$1)),1,2))</f>
        <v/>
      </c>
      <c r="V61" s="1" t="str" cm="1">
        <f t="array" ref="V61">IF(OR(V$1="",EXP_MATRIX!$C61=""),"",PRODUCT(IF(NOT(ISERROR(FIND(EXP_MATRIX!$B$1:$Z$1,V$1))),EXP_MATRIX!$B61:$Z61,1))^IF(ISERROR(FIND("2",V$1)),1,2))</f>
        <v/>
      </c>
      <c r="W61" s="1" t="str" cm="1">
        <f t="array" ref="W61">IF(OR(W$1="",EXP_MATRIX!$C61=""),"",PRODUCT(IF(NOT(ISERROR(FIND(EXP_MATRIX!$B$1:$Z$1,W$1))),EXP_MATRIX!$B61:$Z61,1))^IF(ISERROR(FIND("2",W$1)),1,2))</f>
        <v/>
      </c>
      <c r="X61" s="1" t="str" cm="1">
        <f t="array" ref="X61">IF(OR(X$1="",EXP_MATRIX!$C61=""),"",PRODUCT(IF(NOT(ISERROR(FIND(EXP_MATRIX!$B$1:$Z$1,X$1))),EXP_MATRIX!$B61:$Z61,1))^IF(ISERROR(FIND("2",X$1)),1,2))</f>
        <v/>
      </c>
      <c r="Y61" s="1" t="str" cm="1">
        <f t="array" ref="Y61">IF(OR(Y$1="",EXP_MATRIX!$C61=""),"",PRODUCT(IF(NOT(ISERROR(FIND(EXP_MATRIX!$B$1:$Z$1,Y$1))),EXP_MATRIX!$B61:$Z61,1))^IF(ISERROR(FIND("2",Y$1)),1,2))</f>
        <v/>
      </c>
      <c r="Z61" s="1" t="str" cm="1">
        <f t="array" ref="Z61">IF(OR(Z$1="",EXP_MATRIX!$C61=""),"",PRODUCT(IF(NOT(ISERROR(FIND(EXP_MATRIX!$B$1:$Z$1,Z$1))),EXP_MATRIX!$B61:$Z61,1))^IF(ISERROR(FIND("2",Z$1)),1,2))</f>
        <v/>
      </c>
      <c r="AA61" s="1" t="str" cm="1">
        <f t="array" ref="AA61">IF(OR(AA$1="",EXP_MATRIX!$C61=""),"",PRODUCT(IF(NOT(ISERROR(FIND(EXP_MATRIX!$B$1:$Z$1,AA$1))),EXP_MATRIX!$B61:$Z61,1))^IF(ISERROR(FIND("2",AA$1)),1,2))</f>
        <v/>
      </c>
    </row>
    <row r="62" spans="1:27" x14ac:dyDescent="0.25">
      <c r="A62">
        <v>61</v>
      </c>
      <c r="B62" s="1" t="str" cm="1">
        <f t="array" ref="B62">IF(OR(B$1="",EXP_MATRIX!$C62=""),"",PRODUCT(IF(NOT(ISERROR(FIND(EXP_MATRIX!$B$1:$Z$1,B$1))),EXP_MATRIX!$B62:$Z62,1))^IF(ISERROR(FIND("2",B$1)),1,2))</f>
        <v/>
      </c>
      <c r="C62" s="1" t="str" cm="1">
        <f t="array" ref="C62">IF(OR(C$1="",EXP_MATRIX!$C62=""),"",PRODUCT(IF(NOT(ISERROR(FIND(EXP_MATRIX!$B$1:$Z$1,C$1))),EXP_MATRIX!$B62:$Z62,1))^IF(ISERROR(FIND("2",C$1)),1,2))</f>
        <v/>
      </c>
      <c r="D62" s="1" t="str" cm="1">
        <f t="array" ref="D62">IF(OR(D$1="",EXP_MATRIX!$C62=""),"",PRODUCT(IF(NOT(ISERROR(FIND(EXP_MATRIX!$B$1:$Z$1,D$1))),EXP_MATRIX!$B62:$Z62,1))^IF(ISERROR(FIND("2",D$1)),1,2))</f>
        <v/>
      </c>
      <c r="E62" s="1" t="str" cm="1">
        <f t="array" ref="E62">IF(OR(E$1="",EXP_MATRIX!$C62=""),"",PRODUCT(IF(NOT(ISERROR(FIND(EXP_MATRIX!$B$1:$Z$1,E$1))),EXP_MATRIX!$B62:$Z62,1))^IF(ISERROR(FIND("2",E$1)),1,2))</f>
        <v/>
      </c>
      <c r="F62" s="1" t="str" cm="1">
        <f t="array" ref="F62">IF(OR(F$1="",EXP_MATRIX!$C62=""),"",PRODUCT(IF(NOT(ISERROR(FIND(EXP_MATRIX!$B$1:$Z$1,F$1))),EXP_MATRIX!$B62:$Z62,1))^IF(ISERROR(FIND("2",F$1)),1,2))</f>
        <v/>
      </c>
      <c r="G62" s="1" t="str" cm="1">
        <f t="array" ref="G62">IF(OR(G$1="",EXP_MATRIX!$C62=""),"",PRODUCT(IF(NOT(ISERROR(FIND(EXP_MATRIX!$B$1:$Z$1,G$1))),EXP_MATRIX!$B62:$Z62,1))^IF(ISERROR(FIND("2",G$1)),1,2))</f>
        <v/>
      </c>
      <c r="H62" s="1" t="str" cm="1">
        <f t="array" ref="H62">IF(OR(H$1="",EXP_MATRIX!$C62=""),"",PRODUCT(IF(NOT(ISERROR(FIND(EXP_MATRIX!$B$1:$Z$1,H$1))),EXP_MATRIX!$B62:$Z62,1))^IF(ISERROR(FIND("2",H$1)),1,2))</f>
        <v/>
      </c>
      <c r="I62" s="1" t="str" cm="1">
        <f t="array" ref="I62">IF(OR(I$1="",EXP_MATRIX!$C62=""),"",PRODUCT(IF(NOT(ISERROR(FIND(EXP_MATRIX!$B$1:$Z$1,I$1))),EXP_MATRIX!$B62:$Z62,1))^IF(ISERROR(FIND("2",I$1)),1,2))</f>
        <v/>
      </c>
      <c r="J62" s="1" t="str" cm="1">
        <f t="array" ref="J62">IF(OR(J$1="",EXP_MATRIX!$C62=""),"",PRODUCT(IF(NOT(ISERROR(FIND(EXP_MATRIX!$B$1:$Z$1,J$1))),EXP_MATRIX!$B62:$Z62,1))^IF(ISERROR(FIND("2",J$1)),1,2))</f>
        <v/>
      </c>
      <c r="K62" s="1" t="str" cm="1">
        <f t="array" ref="K62">IF(OR(K$1="",EXP_MATRIX!$C62=""),"",PRODUCT(IF(NOT(ISERROR(FIND(EXP_MATRIX!$B$1:$Z$1,K$1))),EXP_MATRIX!$B62:$Z62,1))^IF(ISERROR(FIND("2",K$1)),1,2))</f>
        <v/>
      </c>
      <c r="L62" s="1" t="str" cm="1">
        <f t="array" ref="L62">IF(OR(L$1="",EXP_MATRIX!$C62=""),"",PRODUCT(IF(NOT(ISERROR(FIND(EXP_MATRIX!$B$1:$Z$1,L$1))),EXP_MATRIX!$B62:$Z62,1))^IF(ISERROR(FIND("2",L$1)),1,2))</f>
        <v/>
      </c>
      <c r="M62" s="1" t="str" cm="1">
        <f t="array" ref="M62">IF(OR(M$1="",EXP_MATRIX!$C62=""),"",PRODUCT(IF(NOT(ISERROR(FIND(EXP_MATRIX!$B$1:$Z$1,M$1))),EXP_MATRIX!$B62:$Z62,1))^IF(ISERROR(FIND("2",M$1)),1,2))</f>
        <v/>
      </c>
      <c r="N62" s="1" t="str" cm="1">
        <f t="array" ref="N62">IF(OR(N$1="",EXP_MATRIX!$C62=""),"",PRODUCT(IF(NOT(ISERROR(FIND(EXP_MATRIX!$B$1:$Z$1,N$1))),EXP_MATRIX!$B62:$Z62,1))^IF(ISERROR(FIND("2",N$1)),1,2))</f>
        <v/>
      </c>
      <c r="O62" s="1" t="str" cm="1">
        <f t="array" ref="O62">IF(OR(O$1="",EXP_MATRIX!$C62=""),"",PRODUCT(IF(NOT(ISERROR(FIND(EXP_MATRIX!$B$1:$Z$1,O$1))),EXP_MATRIX!$B62:$Z62,1))^IF(ISERROR(FIND("2",O$1)),1,2))</f>
        <v/>
      </c>
      <c r="P62" s="1" t="str" cm="1">
        <f t="array" ref="P62">IF(OR(P$1="",EXP_MATRIX!$C62=""),"",PRODUCT(IF(NOT(ISERROR(FIND(EXP_MATRIX!$B$1:$Z$1,P$1))),EXP_MATRIX!$B62:$Z62,1))^IF(ISERROR(FIND("2",P$1)),1,2))</f>
        <v/>
      </c>
      <c r="Q62" s="1" t="str" cm="1">
        <f t="array" ref="Q62">IF(OR(Q$1="",EXP_MATRIX!$C62=""),"",PRODUCT(IF(NOT(ISERROR(FIND(EXP_MATRIX!$B$1:$Z$1,Q$1))),EXP_MATRIX!$B62:$Z62,1))^IF(ISERROR(FIND("2",Q$1)),1,2))</f>
        <v/>
      </c>
      <c r="R62" s="1" t="str" cm="1">
        <f t="array" ref="R62">IF(OR(R$1="",EXP_MATRIX!$C62=""),"",PRODUCT(IF(NOT(ISERROR(FIND(EXP_MATRIX!$B$1:$Z$1,R$1))),EXP_MATRIX!$B62:$Z62,1))^IF(ISERROR(FIND("2",R$1)),1,2))</f>
        <v/>
      </c>
      <c r="S62" s="1" t="str" cm="1">
        <f t="array" ref="S62">IF(OR(S$1="",EXP_MATRIX!$C62=""),"",PRODUCT(IF(NOT(ISERROR(FIND(EXP_MATRIX!$B$1:$Z$1,S$1))),EXP_MATRIX!$B62:$Z62,1))^IF(ISERROR(FIND("2",S$1)),1,2))</f>
        <v/>
      </c>
      <c r="T62" s="1" t="str" cm="1">
        <f t="array" ref="T62">IF(OR(T$1="",EXP_MATRIX!$C62=""),"",PRODUCT(IF(NOT(ISERROR(FIND(EXP_MATRIX!$B$1:$Z$1,T$1))),EXP_MATRIX!$B62:$Z62,1))^IF(ISERROR(FIND("2",T$1)),1,2))</f>
        <v/>
      </c>
      <c r="U62" s="1" t="str" cm="1">
        <f t="array" ref="U62">IF(OR(U$1="",EXP_MATRIX!$C62=""),"",PRODUCT(IF(NOT(ISERROR(FIND(EXP_MATRIX!$B$1:$Z$1,U$1))),EXP_MATRIX!$B62:$Z62,1))^IF(ISERROR(FIND("2",U$1)),1,2))</f>
        <v/>
      </c>
      <c r="V62" s="1" t="str" cm="1">
        <f t="array" ref="V62">IF(OR(V$1="",EXP_MATRIX!$C62=""),"",PRODUCT(IF(NOT(ISERROR(FIND(EXP_MATRIX!$B$1:$Z$1,V$1))),EXP_MATRIX!$B62:$Z62,1))^IF(ISERROR(FIND("2",V$1)),1,2))</f>
        <v/>
      </c>
      <c r="W62" s="1" t="str" cm="1">
        <f t="array" ref="W62">IF(OR(W$1="",EXP_MATRIX!$C62=""),"",PRODUCT(IF(NOT(ISERROR(FIND(EXP_MATRIX!$B$1:$Z$1,W$1))),EXP_MATRIX!$B62:$Z62,1))^IF(ISERROR(FIND("2",W$1)),1,2))</f>
        <v/>
      </c>
      <c r="X62" s="1" t="str" cm="1">
        <f t="array" ref="X62">IF(OR(X$1="",EXP_MATRIX!$C62=""),"",PRODUCT(IF(NOT(ISERROR(FIND(EXP_MATRIX!$B$1:$Z$1,X$1))),EXP_MATRIX!$B62:$Z62,1))^IF(ISERROR(FIND("2",X$1)),1,2))</f>
        <v/>
      </c>
      <c r="Y62" s="1" t="str" cm="1">
        <f t="array" ref="Y62">IF(OR(Y$1="",EXP_MATRIX!$C62=""),"",PRODUCT(IF(NOT(ISERROR(FIND(EXP_MATRIX!$B$1:$Z$1,Y$1))),EXP_MATRIX!$B62:$Z62,1))^IF(ISERROR(FIND("2",Y$1)),1,2))</f>
        <v/>
      </c>
      <c r="Z62" s="1" t="str" cm="1">
        <f t="array" ref="Z62">IF(OR(Z$1="",EXP_MATRIX!$C62=""),"",PRODUCT(IF(NOT(ISERROR(FIND(EXP_MATRIX!$B$1:$Z$1,Z$1))),EXP_MATRIX!$B62:$Z62,1))^IF(ISERROR(FIND("2",Z$1)),1,2))</f>
        <v/>
      </c>
      <c r="AA62" s="1" t="str" cm="1">
        <f t="array" ref="AA62">IF(OR(AA$1="",EXP_MATRIX!$C62=""),"",PRODUCT(IF(NOT(ISERROR(FIND(EXP_MATRIX!$B$1:$Z$1,AA$1))),EXP_MATRIX!$B62:$Z62,1))^IF(ISERROR(FIND("2",AA$1)),1,2))</f>
        <v/>
      </c>
    </row>
    <row r="63" spans="1:27" x14ac:dyDescent="0.25">
      <c r="A63">
        <v>62</v>
      </c>
      <c r="B63" s="1" t="str" cm="1">
        <f t="array" ref="B63">IF(OR(B$1="",EXP_MATRIX!$C63=""),"",PRODUCT(IF(NOT(ISERROR(FIND(EXP_MATRIX!$B$1:$Z$1,B$1))),EXP_MATRIX!$B63:$Z63,1))^IF(ISERROR(FIND("2",B$1)),1,2))</f>
        <v/>
      </c>
      <c r="C63" s="1" t="str" cm="1">
        <f t="array" ref="C63">IF(OR(C$1="",EXP_MATRIX!$C63=""),"",PRODUCT(IF(NOT(ISERROR(FIND(EXP_MATRIX!$B$1:$Z$1,C$1))),EXP_MATRIX!$B63:$Z63,1))^IF(ISERROR(FIND("2",C$1)),1,2))</f>
        <v/>
      </c>
      <c r="D63" s="1" t="str" cm="1">
        <f t="array" ref="D63">IF(OR(D$1="",EXP_MATRIX!$C63=""),"",PRODUCT(IF(NOT(ISERROR(FIND(EXP_MATRIX!$B$1:$Z$1,D$1))),EXP_MATRIX!$B63:$Z63,1))^IF(ISERROR(FIND("2",D$1)),1,2))</f>
        <v/>
      </c>
      <c r="E63" s="1" t="str" cm="1">
        <f t="array" ref="E63">IF(OR(E$1="",EXP_MATRIX!$C63=""),"",PRODUCT(IF(NOT(ISERROR(FIND(EXP_MATRIX!$B$1:$Z$1,E$1))),EXP_MATRIX!$B63:$Z63,1))^IF(ISERROR(FIND("2",E$1)),1,2))</f>
        <v/>
      </c>
      <c r="F63" s="1" t="str" cm="1">
        <f t="array" ref="F63">IF(OR(F$1="",EXP_MATRIX!$C63=""),"",PRODUCT(IF(NOT(ISERROR(FIND(EXP_MATRIX!$B$1:$Z$1,F$1))),EXP_MATRIX!$B63:$Z63,1))^IF(ISERROR(FIND("2",F$1)),1,2))</f>
        <v/>
      </c>
      <c r="G63" s="1" t="str" cm="1">
        <f t="array" ref="G63">IF(OR(G$1="",EXP_MATRIX!$C63=""),"",PRODUCT(IF(NOT(ISERROR(FIND(EXP_MATRIX!$B$1:$Z$1,G$1))),EXP_MATRIX!$B63:$Z63,1))^IF(ISERROR(FIND("2",G$1)),1,2))</f>
        <v/>
      </c>
      <c r="H63" s="1" t="str" cm="1">
        <f t="array" ref="H63">IF(OR(H$1="",EXP_MATRIX!$C63=""),"",PRODUCT(IF(NOT(ISERROR(FIND(EXP_MATRIX!$B$1:$Z$1,H$1))),EXP_MATRIX!$B63:$Z63,1))^IF(ISERROR(FIND("2",H$1)),1,2))</f>
        <v/>
      </c>
      <c r="I63" s="1" t="str" cm="1">
        <f t="array" ref="I63">IF(OR(I$1="",EXP_MATRIX!$C63=""),"",PRODUCT(IF(NOT(ISERROR(FIND(EXP_MATRIX!$B$1:$Z$1,I$1))),EXP_MATRIX!$B63:$Z63,1))^IF(ISERROR(FIND("2",I$1)),1,2))</f>
        <v/>
      </c>
      <c r="J63" s="1" t="str" cm="1">
        <f t="array" ref="J63">IF(OR(J$1="",EXP_MATRIX!$C63=""),"",PRODUCT(IF(NOT(ISERROR(FIND(EXP_MATRIX!$B$1:$Z$1,J$1))),EXP_MATRIX!$B63:$Z63,1))^IF(ISERROR(FIND("2",J$1)),1,2))</f>
        <v/>
      </c>
      <c r="K63" s="1" t="str" cm="1">
        <f t="array" ref="K63">IF(OR(K$1="",EXP_MATRIX!$C63=""),"",PRODUCT(IF(NOT(ISERROR(FIND(EXP_MATRIX!$B$1:$Z$1,K$1))),EXP_MATRIX!$B63:$Z63,1))^IF(ISERROR(FIND("2",K$1)),1,2))</f>
        <v/>
      </c>
      <c r="L63" s="1" t="str" cm="1">
        <f t="array" ref="L63">IF(OR(L$1="",EXP_MATRIX!$C63=""),"",PRODUCT(IF(NOT(ISERROR(FIND(EXP_MATRIX!$B$1:$Z$1,L$1))),EXP_MATRIX!$B63:$Z63,1))^IF(ISERROR(FIND("2",L$1)),1,2))</f>
        <v/>
      </c>
      <c r="M63" s="1" t="str" cm="1">
        <f t="array" ref="M63">IF(OR(M$1="",EXP_MATRIX!$C63=""),"",PRODUCT(IF(NOT(ISERROR(FIND(EXP_MATRIX!$B$1:$Z$1,M$1))),EXP_MATRIX!$B63:$Z63,1))^IF(ISERROR(FIND("2",M$1)),1,2))</f>
        <v/>
      </c>
      <c r="N63" s="1" t="str" cm="1">
        <f t="array" ref="N63">IF(OR(N$1="",EXP_MATRIX!$C63=""),"",PRODUCT(IF(NOT(ISERROR(FIND(EXP_MATRIX!$B$1:$Z$1,N$1))),EXP_MATRIX!$B63:$Z63,1))^IF(ISERROR(FIND("2",N$1)),1,2))</f>
        <v/>
      </c>
      <c r="O63" s="1" t="str" cm="1">
        <f t="array" ref="O63">IF(OR(O$1="",EXP_MATRIX!$C63=""),"",PRODUCT(IF(NOT(ISERROR(FIND(EXP_MATRIX!$B$1:$Z$1,O$1))),EXP_MATRIX!$B63:$Z63,1))^IF(ISERROR(FIND("2",O$1)),1,2))</f>
        <v/>
      </c>
      <c r="P63" s="1" t="str" cm="1">
        <f t="array" ref="P63">IF(OR(P$1="",EXP_MATRIX!$C63=""),"",PRODUCT(IF(NOT(ISERROR(FIND(EXP_MATRIX!$B$1:$Z$1,P$1))),EXP_MATRIX!$B63:$Z63,1))^IF(ISERROR(FIND("2",P$1)),1,2))</f>
        <v/>
      </c>
      <c r="Q63" s="1" t="str" cm="1">
        <f t="array" ref="Q63">IF(OR(Q$1="",EXP_MATRIX!$C63=""),"",PRODUCT(IF(NOT(ISERROR(FIND(EXP_MATRIX!$B$1:$Z$1,Q$1))),EXP_MATRIX!$B63:$Z63,1))^IF(ISERROR(FIND("2",Q$1)),1,2))</f>
        <v/>
      </c>
      <c r="R63" s="1" t="str" cm="1">
        <f t="array" ref="R63">IF(OR(R$1="",EXP_MATRIX!$C63=""),"",PRODUCT(IF(NOT(ISERROR(FIND(EXP_MATRIX!$B$1:$Z$1,R$1))),EXP_MATRIX!$B63:$Z63,1))^IF(ISERROR(FIND("2",R$1)),1,2))</f>
        <v/>
      </c>
      <c r="S63" s="1" t="str" cm="1">
        <f t="array" ref="S63">IF(OR(S$1="",EXP_MATRIX!$C63=""),"",PRODUCT(IF(NOT(ISERROR(FIND(EXP_MATRIX!$B$1:$Z$1,S$1))),EXP_MATRIX!$B63:$Z63,1))^IF(ISERROR(FIND("2",S$1)),1,2))</f>
        <v/>
      </c>
      <c r="T63" s="1" t="str" cm="1">
        <f t="array" ref="T63">IF(OR(T$1="",EXP_MATRIX!$C63=""),"",PRODUCT(IF(NOT(ISERROR(FIND(EXP_MATRIX!$B$1:$Z$1,T$1))),EXP_MATRIX!$B63:$Z63,1))^IF(ISERROR(FIND("2",T$1)),1,2))</f>
        <v/>
      </c>
      <c r="U63" s="1" t="str" cm="1">
        <f t="array" ref="U63">IF(OR(U$1="",EXP_MATRIX!$C63=""),"",PRODUCT(IF(NOT(ISERROR(FIND(EXP_MATRIX!$B$1:$Z$1,U$1))),EXP_MATRIX!$B63:$Z63,1))^IF(ISERROR(FIND("2",U$1)),1,2))</f>
        <v/>
      </c>
      <c r="V63" s="1" t="str" cm="1">
        <f t="array" ref="V63">IF(OR(V$1="",EXP_MATRIX!$C63=""),"",PRODUCT(IF(NOT(ISERROR(FIND(EXP_MATRIX!$B$1:$Z$1,V$1))),EXP_MATRIX!$B63:$Z63,1))^IF(ISERROR(FIND("2",V$1)),1,2))</f>
        <v/>
      </c>
      <c r="W63" s="1" t="str" cm="1">
        <f t="array" ref="W63">IF(OR(W$1="",EXP_MATRIX!$C63=""),"",PRODUCT(IF(NOT(ISERROR(FIND(EXP_MATRIX!$B$1:$Z$1,W$1))),EXP_MATRIX!$B63:$Z63,1))^IF(ISERROR(FIND("2",W$1)),1,2))</f>
        <v/>
      </c>
      <c r="X63" s="1" t="str" cm="1">
        <f t="array" ref="X63">IF(OR(X$1="",EXP_MATRIX!$C63=""),"",PRODUCT(IF(NOT(ISERROR(FIND(EXP_MATRIX!$B$1:$Z$1,X$1))),EXP_MATRIX!$B63:$Z63,1))^IF(ISERROR(FIND("2",X$1)),1,2))</f>
        <v/>
      </c>
      <c r="Y63" s="1" t="str" cm="1">
        <f t="array" ref="Y63">IF(OR(Y$1="",EXP_MATRIX!$C63=""),"",PRODUCT(IF(NOT(ISERROR(FIND(EXP_MATRIX!$B$1:$Z$1,Y$1))),EXP_MATRIX!$B63:$Z63,1))^IF(ISERROR(FIND("2",Y$1)),1,2))</f>
        <v/>
      </c>
      <c r="Z63" s="1" t="str" cm="1">
        <f t="array" ref="Z63">IF(OR(Z$1="",EXP_MATRIX!$C63=""),"",PRODUCT(IF(NOT(ISERROR(FIND(EXP_MATRIX!$B$1:$Z$1,Z$1))),EXP_MATRIX!$B63:$Z63,1))^IF(ISERROR(FIND("2",Z$1)),1,2))</f>
        <v/>
      </c>
      <c r="AA63" s="1" t="str" cm="1">
        <f t="array" ref="AA63">IF(OR(AA$1="",EXP_MATRIX!$C63=""),"",PRODUCT(IF(NOT(ISERROR(FIND(EXP_MATRIX!$B$1:$Z$1,AA$1))),EXP_MATRIX!$B63:$Z63,1))^IF(ISERROR(FIND("2",AA$1)),1,2))</f>
        <v/>
      </c>
    </row>
    <row r="64" spans="1:27" x14ac:dyDescent="0.25">
      <c r="A64">
        <v>63</v>
      </c>
      <c r="B64" s="1" t="str" cm="1">
        <f t="array" ref="B64">IF(OR(B$1="",EXP_MATRIX!$C64=""),"",PRODUCT(IF(NOT(ISERROR(FIND(EXP_MATRIX!$B$1:$Z$1,B$1))),EXP_MATRIX!$B64:$Z64,1))^IF(ISERROR(FIND("2",B$1)),1,2))</f>
        <v/>
      </c>
      <c r="C64" s="1" t="str" cm="1">
        <f t="array" ref="C64">IF(OR(C$1="",EXP_MATRIX!$C64=""),"",PRODUCT(IF(NOT(ISERROR(FIND(EXP_MATRIX!$B$1:$Z$1,C$1))),EXP_MATRIX!$B64:$Z64,1))^IF(ISERROR(FIND("2",C$1)),1,2))</f>
        <v/>
      </c>
      <c r="D64" s="1" t="str" cm="1">
        <f t="array" ref="D64">IF(OR(D$1="",EXP_MATRIX!$C64=""),"",PRODUCT(IF(NOT(ISERROR(FIND(EXP_MATRIX!$B$1:$Z$1,D$1))),EXP_MATRIX!$B64:$Z64,1))^IF(ISERROR(FIND("2",D$1)),1,2))</f>
        <v/>
      </c>
      <c r="E64" s="1" t="str" cm="1">
        <f t="array" ref="E64">IF(OR(E$1="",EXP_MATRIX!$C64=""),"",PRODUCT(IF(NOT(ISERROR(FIND(EXP_MATRIX!$B$1:$Z$1,E$1))),EXP_MATRIX!$B64:$Z64,1))^IF(ISERROR(FIND("2",E$1)),1,2))</f>
        <v/>
      </c>
      <c r="F64" s="1" t="str" cm="1">
        <f t="array" ref="F64">IF(OR(F$1="",EXP_MATRIX!$C64=""),"",PRODUCT(IF(NOT(ISERROR(FIND(EXP_MATRIX!$B$1:$Z$1,F$1))),EXP_MATRIX!$B64:$Z64,1))^IF(ISERROR(FIND("2",F$1)),1,2))</f>
        <v/>
      </c>
      <c r="G64" s="1" t="str" cm="1">
        <f t="array" ref="G64">IF(OR(G$1="",EXP_MATRIX!$C64=""),"",PRODUCT(IF(NOT(ISERROR(FIND(EXP_MATRIX!$B$1:$Z$1,G$1))),EXP_MATRIX!$B64:$Z64,1))^IF(ISERROR(FIND("2",G$1)),1,2))</f>
        <v/>
      </c>
      <c r="H64" s="1" t="str" cm="1">
        <f t="array" ref="H64">IF(OR(H$1="",EXP_MATRIX!$C64=""),"",PRODUCT(IF(NOT(ISERROR(FIND(EXP_MATRIX!$B$1:$Z$1,H$1))),EXP_MATRIX!$B64:$Z64,1))^IF(ISERROR(FIND("2",H$1)),1,2))</f>
        <v/>
      </c>
      <c r="I64" s="1" t="str" cm="1">
        <f t="array" ref="I64">IF(OR(I$1="",EXP_MATRIX!$C64=""),"",PRODUCT(IF(NOT(ISERROR(FIND(EXP_MATRIX!$B$1:$Z$1,I$1))),EXP_MATRIX!$B64:$Z64,1))^IF(ISERROR(FIND("2",I$1)),1,2))</f>
        <v/>
      </c>
      <c r="J64" s="1" t="str" cm="1">
        <f t="array" ref="J64">IF(OR(J$1="",EXP_MATRIX!$C64=""),"",PRODUCT(IF(NOT(ISERROR(FIND(EXP_MATRIX!$B$1:$Z$1,J$1))),EXP_MATRIX!$B64:$Z64,1))^IF(ISERROR(FIND("2",J$1)),1,2))</f>
        <v/>
      </c>
      <c r="K64" s="1" t="str" cm="1">
        <f t="array" ref="K64">IF(OR(K$1="",EXP_MATRIX!$C64=""),"",PRODUCT(IF(NOT(ISERROR(FIND(EXP_MATRIX!$B$1:$Z$1,K$1))),EXP_MATRIX!$B64:$Z64,1))^IF(ISERROR(FIND("2",K$1)),1,2))</f>
        <v/>
      </c>
      <c r="L64" s="1" t="str" cm="1">
        <f t="array" ref="L64">IF(OR(L$1="",EXP_MATRIX!$C64=""),"",PRODUCT(IF(NOT(ISERROR(FIND(EXP_MATRIX!$B$1:$Z$1,L$1))),EXP_MATRIX!$B64:$Z64,1))^IF(ISERROR(FIND("2",L$1)),1,2))</f>
        <v/>
      </c>
      <c r="M64" s="1" t="str" cm="1">
        <f t="array" ref="M64">IF(OR(M$1="",EXP_MATRIX!$C64=""),"",PRODUCT(IF(NOT(ISERROR(FIND(EXP_MATRIX!$B$1:$Z$1,M$1))),EXP_MATRIX!$B64:$Z64,1))^IF(ISERROR(FIND("2",M$1)),1,2))</f>
        <v/>
      </c>
      <c r="N64" s="1" t="str" cm="1">
        <f t="array" ref="N64">IF(OR(N$1="",EXP_MATRIX!$C64=""),"",PRODUCT(IF(NOT(ISERROR(FIND(EXP_MATRIX!$B$1:$Z$1,N$1))),EXP_MATRIX!$B64:$Z64,1))^IF(ISERROR(FIND("2",N$1)),1,2))</f>
        <v/>
      </c>
      <c r="O64" s="1" t="str" cm="1">
        <f t="array" ref="O64">IF(OR(O$1="",EXP_MATRIX!$C64=""),"",PRODUCT(IF(NOT(ISERROR(FIND(EXP_MATRIX!$B$1:$Z$1,O$1))),EXP_MATRIX!$B64:$Z64,1))^IF(ISERROR(FIND("2",O$1)),1,2))</f>
        <v/>
      </c>
      <c r="P64" s="1" t="str" cm="1">
        <f t="array" ref="P64">IF(OR(P$1="",EXP_MATRIX!$C64=""),"",PRODUCT(IF(NOT(ISERROR(FIND(EXP_MATRIX!$B$1:$Z$1,P$1))),EXP_MATRIX!$B64:$Z64,1))^IF(ISERROR(FIND("2",P$1)),1,2))</f>
        <v/>
      </c>
      <c r="Q64" s="1" t="str" cm="1">
        <f t="array" ref="Q64">IF(OR(Q$1="",EXP_MATRIX!$C64=""),"",PRODUCT(IF(NOT(ISERROR(FIND(EXP_MATRIX!$B$1:$Z$1,Q$1))),EXP_MATRIX!$B64:$Z64,1))^IF(ISERROR(FIND("2",Q$1)),1,2))</f>
        <v/>
      </c>
      <c r="R64" s="1" t="str" cm="1">
        <f t="array" ref="R64">IF(OR(R$1="",EXP_MATRIX!$C64=""),"",PRODUCT(IF(NOT(ISERROR(FIND(EXP_MATRIX!$B$1:$Z$1,R$1))),EXP_MATRIX!$B64:$Z64,1))^IF(ISERROR(FIND("2",R$1)),1,2))</f>
        <v/>
      </c>
      <c r="S64" s="1" t="str" cm="1">
        <f t="array" ref="S64">IF(OR(S$1="",EXP_MATRIX!$C64=""),"",PRODUCT(IF(NOT(ISERROR(FIND(EXP_MATRIX!$B$1:$Z$1,S$1))),EXP_MATRIX!$B64:$Z64,1))^IF(ISERROR(FIND("2",S$1)),1,2))</f>
        <v/>
      </c>
      <c r="T64" s="1" t="str" cm="1">
        <f t="array" ref="T64">IF(OR(T$1="",EXP_MATRIX!$C64=""),"",PRODUCT(IF(NOT(ISERROR(FIND(EXP_MATRIX!$B$1:$Z$1,T$1))),EXP_MATRIX!$B64:$Z64,1))^IF(ISERROR(FIND("2",T$1)),1,2))</f>
        <v/>
      </c>
      <c r="U64" s="1" t="str" cm="1">
        <f t="array" ref="U64">IF(OR(U$1="",EXP_MATRIX!$C64=""),"",PRODUCT(IF(NOT(ISERROR(FIND(EXP_MATRIX!$B$1:$Z$1,U$1))),EXP_MATRIX!$B64:$Z64,1))^IF(ISERROR(FIND("2",U$1)),1,2))</f>
        <v/>
      </c>
      <c r="V64" s="1" t="str" cm="1">
        <f t="array" ref="V64">IF(OR(V$1="",EXP_MATRIX!$C64=""),"",PRODUCT(IF(NOT(ISERROR(FIND(EXP_MATRIX!$B$1:$Z$1,V$1))),EXP_MATRIX!$B64:$Z64,1))^IF(ISERROR(FIND("2",V$1)),1,2))</f>
        <v/>
      </c>
      <c r="W64" s="1" t="str" cm="1">
        <f t="array" ref="W64">IF(OR(W$1="",EXP_MATRIX!$C64=""),"",PRODUCT(IF(NOT(ISERROR(FIND(EXP_MATRIX!$B$1:$Z$1,W$1))),EXP_MATRIX!$B64:$Z64,1))^IF(ISERROR(FIND("2",W$1)),1,2))</f>
        <v/>
      </c>
      <c r="X64" s="1" t="str" cm="1">
        <f t="array" ref="X64">IF(OR(X$1="",EXP_MATRIX!$C64=""),"",PRODUCT(IF(NOT(ISERROR(FIND(EXP_MATRIX!$B$1:$Z$1,X$1))),EXP_MATRIX!$B64:$Z64,1))^IF(ISERROR(FIND("2",X$1)),1,2))</f>
        <v/>
      </c>
      <c r="Y64" s="1" t="str" cm="1">
        <f t="array" ref="Y64">IF(OR(Y$1="",EXP_MATRIX!$C64=""),"",PRODUCT(IF(NOT(ISERROR(FIND(EXP_MATRIX!$B$1:$Z$1,Y$1))),EXP_MATRIX!$B64:$Z64,1))^IF(ISERROR(FIND("2",Y$1)),1,2))</f>
        <v/>
      </c>
      <c r="Z64" s="1" t="str" cm="1">
        <f t="array" ref="Z64">IF(OR(Z$1="",EXP_MATRIX!$C64=""),"",PRODUCT(IF(NOT(ISERROR(FIND(EXP_MATRIX!$B$1:$Z$1,Z$1))),EXP_MATRIX!$B64:$Z64,1))^IF(ISERROR(FIND("2",Z$1)),1,2))</f>
        <v/>
      </c>
      <c r="AA64" s="1" t="str" cm="1">
        <f t="array" ref="AA64">IF(OR(AA$1="",EXP_MATRIX!$C64=""),"",PRODUCT(IF(NOT(ISERROR(FIND(EXP_MATRIX!$B$1:$Z$1,AA$1))),EXP_MATRIX!$B64:$Z64,1))^IF(ISERROR(FIND("2",AA$1)),1,2))</f>
        <v/>
      </c>
    </row>
    <row r="65" spans="1:27" x14ac:dyDescent="0.25">
      <c r="A65">
        <v>64</v>
      </c>
      <c r="B65" s="1" t="str" cm="1">
        <f t="array" ref="B65">IF(OR(B$1="",EXP_MATRIX!$C65=""),"",PRODUCT(IF(NOT(ISERROR(FIND(EXP_MATRIX!$B$1:$Z$1,B$1))),EXP_MATRIX!$B65:$Z65,1))^IF(ISERROR(FIND("2",B$1)),1,2))</f>
        <v/>
      </c>
      <c r="C65" s="1" t="str" cm="1">
        <f t="array" ref="C65">IF(OR(C$1="",EXP_MATRIX!$C65=""),"",PRODUCT(IF(NOT(ISERROR(FIND(EXP_MATRIX!$B$1:$Z$1,C$1))),EXP_MATRIX!$B65:$Z65,1))^IF(ISERROR(FIND("2",C$1)),1,2))</f>
        <v/>
      </c>
      <c r="D65" s="1" t="str" cm="1">
        <f t="array" ref="D65">IF(OR(D$1="",EXP_MATRIX!$C65=""),"",PRODUCT(IF(NOT(ISERROR(FIND(EXP_MATRIX!$B$1:$Z$1,D$1))),EXP_MATRIX!$B65:$Z65,1))^IF(ISERROR(FIND("2",D$1)),1,2))</f>
        <v/>
      </c>
      <c r="E65" s="1" t="str" cm="1">
        <f t="array" ref="E65">IF(OR(E$1="",EXP_MATRIX!$C65=""),"",PRODUCT(IF(NOT(ISERROR(FIND(EXP_MATRIX!$B$1:$Z$1,E$1))),EXP_MATRIX!$B65:$Z65,1))^IF(ISERROR(FIND("2",E$1)),1,2))</f>
        <v/>
      </c>
      <c r="F65" s="1" t="str" cm="1">
        <f t="array" ref="F65">IF(OR(F$1="",EXP_MATRIX!$C65=""),"",PRODUCT(IF(NOT(ISERROR(FIND(EXP_MATRIX!$B$1:$Z$1,F$1))),EXP_MATRIX!$B65:$Z65,1))^IF(ISERROR(FIND("2",F$1)),1,2))</f>
        <v/>
      </c>
      <c r="G65" s="1" t="str" cm="1">
        <f t="array" ref="G65">IF(OR(G$1="",EXP_MATRIX!$C65=""),"",PRODUCT(IF(NOT(ISERROR(FIND(EXP_MATRIX!$B$1:$Z$1,G$1))),EXP_MATRIX!$B65:$Z65,1))^IF(ISERROR(FIND("2",G$1)),1,2))</f>
        <v/>
      </c>
      <c r="H65" s="1" t="str" cm="1">
        <f t="array" ref="H65">IF(OR(H$1="",EXP_MATRIX!$C65=""),"",PRODUCT(IF(NOT(ISERROR(FIND(EXP_MATRIX!$B$1:$Z$1,H$1))),EXP_MATRIX!$B65:$Z65,1))^IF(ISERROR(FIND("2",H$1)),1,2))</f>
        <v/>
      </c>
      <c r="I65" s="1" t="str" cm="1">
        <f t="array" ref="I65">IF(OR(I$1="",EXP_MATRIX!$C65=""),"",PRODUCT(IF(NOT(ISERROR(FIND(EXP_MATRIX!$B$1:$Z$1,I$1))),EXP_MATRIX!$B65:$Z65,1))^IF(ISERROR(FIND("2",I$1)),1,2))</f>
        <v/>
      </c>
      <c r="J65" s="1" t="str" cm="1">
        <f t="array" ref="J65">IF(OR(J$1="",EXP_MATRIX!$C65=""),"",PRODUCT(IF(NOT(ISERROR(FIND(EXP_MATRIX!$B$1:$Z$1,J$1))),EXP_MATRIX!$B65:$Z65,1))^IF(ISERROR(FIND("2",J$1)),1,2))</f>
        <v/>
      </c>
      <c r="K65" s="1" t="str" cm="1">
        <f t="array" ref="K65">IF(OR(K$1="",EXP_MATRIX!$C65=""),"",PRODUCT(IF(NOT(ISERROR(FIND(EXP_MATRIX!$B$1:$Z$1,K$1))),EXP_MATRIX!$B65:$Z65,1))^IF(ISERROR(FIND("2",K$1)),1,2))</f>
        <v/>
      </c>
      <c r="L65" s="1" t="str" cm="1">
        <f t="array" ref="L65">IF(OR(L$1="",EXP_MATRIX!$C65=""),"",PRODUCT(IF(NOT(ISERROR(FIND(EXP_MATRIX!$B$1:$Z$1,L$1))),EXP_MATRIX!$B65:$Z65,1))^IF(ISERROR(FIND("2",L$1)),1,2))</f>
        <v/>
      </c>
      <c r="M65" s="1" t="str" cm="1">
        <f t="array" ref="M65">IF(OR(M$1="",EXP_MATRIX!$C65=""),"",PRODUCT(IF(NOT(ISERROR(FIND(EXP_MATRIX!$B$1:$Z$1,M$1))),EXP_MATRIX!$B65:$Z65,1))^IF(ISERROR(FIND("2",M$1)),1,2))</f>
        <v/>
      </c>
      <c r="N65" s="1" t="str" cm="1">
        <f t="array" ref="N65">IF(OR(N$1="",EXP_MATRIX!$C65=""),"",PRODUCT(IF(NOT(ISERROR(FIND(EXP_MATRIX!$B$1:$Z$1,N$1))),EXP_MATRIX!$B65:$Z65,1))^IF(ISERROR(FIND("2",N$1)),1,2))</f>
        <v/>
      </c>
      <c r="O65" s="1" t="str" cm="1">
        <f t="array" ref="O65">IF(OR(O$1="",EXP_MATRIX!$C65=""),"",PRODUCT(IF(NOT(ISERROR(FIND(EXP_MATRIX!$B$1:$Z$1,O$1))),EXP_MATRIX!$B65:$Z65,1))^IF(ISERROR(FIND("2",O$1)),1,2))</f>
        <v/>
      </c>
      <c r="P65" s="1" t="str" cm="1">
        <f t="array" ref="P65">IF(OR(P$1="",EXP_MATRIX!$C65=""),"",PRODUCT(IF(NOT(ISERROR(FIND(EXP_MATRIX!$B$1:$Z$1,P$1))),EXP_MATRIX!$B65:$Z65,1))^IF(ISERROR(FIND("2",P$1)),1,2))</f>
        <v/>
      </c>
      <c r="Q65" s="1" t="str" cm="1">
        <f t="array" ref="Q65">IF(OR(Q$1="",EXP_MATRIX!$C65=""),"",PRODUCT(IF(NOT(ISERROR(FIND(EXP_MATRIX!$B$1:$Z$1,Q$1))),EXP_MATRIX!$B65:$Z65,1))^IF(ISERROR(FIND("2",Q$1)),1,2))</f>
        <v/>
      </c>
      <c r="R65" s="1" t="str" cm="1">
        <f t="array" ref="R65">IF(OR(R$1="",EXP_MATRIX!$C65=""),"",PRODUCT(IF(NOT(ISERROR(FIND(EXP_MATRIX!$B$1:$Z$1,R$1))),EXP_MATRIX!$B65:$Z65,1))^IF(ISERROR(FIND("2",R$1)),1,2))</f>
        <v/>
      </c>
      <c r="S65" s="1" t="str" cm="1">
        <f t="array" ref="S65">IF(OR(S$1="",EXP_MATRIX!$C65=""),"",PRODUCT(IF(NOT(ISERROR(FIND(EXP_MATRIX!$B$1:$Z$1,S$1))),EXP_MATRIX!$B65:$Z65,1))^IF(ISERROR(FIND("2",S$1)),1,2))</f>
        <v/>
      </c>
      <c r="T65" s="1" t="str" cm="1">
        <f t="array" ref="T65">IF(OR(T$1="",EXP_MATRIX!$C65=""),"",PRODUCT(IF(NOT(ISERROR(FIND(EXP_MATRIX!$B$1:$Z$1,T$1))),EXP_MATRIX!$B65:$Z65,1))^IF(ISERROR(FIND("2",T$1)),1,2))</f>
        <v/>
      </c>
      <c r="U65" s="1" t="str" cm="1">
        <f t="array" ref="U65">IF(OR(U$1="",EXP_MATRIX!$C65=""),"",PRODUCT(IF(NOT(ISERROR(FIND(EXP_MATRIX!$B$1:$Z$1,U$1))),EXP_MATRIX!$B65:$Z65,1))^IF(ISERROR(FIND("2",U$1)),1,2))</f>
        <v/>
      </c>
      <c r="V65" s="1" t="str" cm="1">
        <f t="array" ref="V65">IF(OR(V$1="",EXP_MATRIX!$C65=""),"",PRODUCT(IF(NOT(ISERROR(FIND(EXP_MATRIX!$B$1:$Z$1,V$1))),EXP_MATRIX!$B65:$Z65,1))^IF(ISERROR(FIND("2",V$1)),1,2))</f>
        <v/>
      </c>
      <c r="W65" s="1" t="str" cm="1">
        <f t="array" ref="W65">IF(OR(W$1="",EXP_MATRIX!$C65=""),"",PRODUCT(IF(NOT(ISERROR(FIND(EXP_MATRIX!$B$1:$Z$1,W$1))),EXP_MATRIX!$B65:$Z65,1))^IF(ISERROR(FIND("2",W$1)),1,2))</f>
        <v/>
      </c>
      <c r="X65" s="1" t="str" cm="1">
        <f t="array" ref="X65">IF(OR(X$1="",EXP_MATRIX!$C65=""),"",PRODUCT(IF(NOT(ISERROR(FIND(EXP_MATRIX!$B$1:$Z$1,X$1))),EXP_MATRIX!$B65:$Z65,1))^IF(ISERROR(FIND("2",X$1)),1,2))</f>
        <v/>
      </c>
      <c r="Y65" s="1" t="str" cm="1">
        <f t="array" ref="Y65">IF(OR(Y$1="",EXP_MATRIX!$C65=""),"",PRODUCT(IF(NOT(ISERROR(FIND(EXP_MATRIX!$B$1:$Z$1,Y$1))),EXP_MATRIX!$B65:$Z65,1))^IF(ISERROR(FIND("2",Y$1)),1,2))</f>
        <v/>
      </c>
      <c r="Z65" s="1" t="str" cm="1">
        <f t="array" ref="Z65">IF(OR(Z$1="",EXP_MATRIX!$C65=""),"",PRODUCT(IF(NOT(ISERROR(FIND(EXP_MATRIX!$B$1:$Z$1,Z$1))),EXP_MATRIX!$B65:$Z65,1))^IF(ISERROR(FIND("2",Z$1)),1,2))</f>
        <v/>
      </c>
      <c r="AA65" s="1" t="str" cm="1">
        <f t="array" ref="AA65">IF(OR(AA$1="",EXP_MATRIX!$C65=""),"",PRODUCT(IF(NOT(ISERROR(FIND(EXP_MATRIX!$B$1:$Z$1,AA$1))),EXP_MATRIX!$B65:$Z65,1))^IF(ISERROR(FIND("2",AA$1)),1,2))</f>
        <v/>
      </c>
    </row>
    <row r="66" spans="1:27" x14ac:dyDescent="0.25">
      <c r="A66">
        <v>65</v>
      </c>
      <c r="B66" s="1" t="str" cm="1">
        <f t="array" ref="B66">IF(OR(B$1="",EXP_MATRIX!$C66=""),"",PRODUCT(IF(NOT(ISERROR(FIND(EXP_MATRIX!$B$1:$Z$1,B$1))),EXP_MATRIX!$B66:$Z66,1))^IF(ISERROR(FIND("2",B$1)),1,2))</f>
        <v/>
      </c>
      <c r="C66" s="1" t="str" cm="1">
        <f t="array" ref="C66">IF(OR(C$1="",EXP_MATRIX!$C66=""),"",PRODUCT(IF(NOT(ISERROR(FIND(EXP_MATRIX!$B$1:$Z$1,C$1))),EXP_MATRIX!$B66:$Z66,1))^IF(ISERROR(FIND("2",C$1)),1,2))</f>
        <v/>
      </c>
      <c r="D66" s="1" t="str" cm="1">
        <f t="array" ref="D66">IF(OR(D$1="",EXP_MATRIX!$C66=""),"",PRODUCT(IF(NOT(ISERROR(FIND(EXP_MATRIX!$B$1:$Z$1,D$1))),EXP_MATRIX!$B66:$Z66,1))^IF(ISERROR(FIND("2",D$1)),1,2))</f>
        <v/>
      </c>
      <c r="E66" s="1" t="str" cm="1">
        <f t="array" ref="E66">IF(OR(E$1="",EXP_MATRIX!$C66=""),"",PRODUCT(IF(NOT(ISERROR(FIND(EXP_MATRIX!$B$1:$Z$1,E$1))),EXP_MATRIX!$B66:$Z66,1))^IF(ISERROR(FIND("2",E$1)),1,2))</f>
        <v/>
      </c>
      <c r="F66" s="1" t="str" cm="1">
        <f t="array" ref="F66">IF(OR(F$1="",EXP_MATRIX!$C66=""),"",PRODUCT(IF(NOT(ISERROR(FIND(EXP_MATRIX!$B$1:$Z$1,F$1))),EXP_MATRIX!$B66:$Z66,1))^IF(ISERROR(FIND("2",F$1)),1,2))</f>
        <v/>
      </c>
      <c r="G66" s="1" t="str" cm="1">
        <f t="array" ref="G66">IF(OR(G$1="",EXP_MATRIX!$C66=""),"",PRODUCT(IF(NOT(ISERROR(FIND(EXP_MATRIX!$B$1:$Z$1,G$1))),EXP_MATRIX!$B66:$Z66,1))^IF(ISERROR(FIND("2",G$1)),1,2))</f>
        <v/>
      </c>
      <c r="H66" s="1" t="str" cm="1">
        <f t="array" ref="H66">IF(OR(H$1="",EXP_MATRIX!$C66=""),"",PRODUCT(IF(NOT(ISERROR(FIND(EXP_MATRIX!$B$1:$Z$1,H$1))),EXP_MATRIX!$B66:$Z66,1))^IF(ISERROR(FIND("2",H$1)),1,2))</f>
        <v/>
      </c>
      <c r="I66" s="1" t="str" cm="1">
        <f t="array" ref="I66">IF(OR(I$1="",EXP_MATRIX!$C66=""),"",PRODUCT(IF(NOT(ISERROR(FIND(EXP_MATRIX!$B$1:$Z$1,I$1))),EXP_MATRIX!$B66:$Z66,1))^IF(ISERROR(FIND("2",I$1)),1,2))</f>
        <v/>
      </c>
      <c r="J66" s="1" t="str" cm="1">
        <f t="array" ref="J66">IF(OR(J$1="",EXP_MATRIX!$C66=""),"",PRODUCT(IF(NOT(ISERROR(FIND(EXP_MATRIX!$B$1:$Z$1,J$1))),EXP_MATRIX!$B66:$Z66,1))^IF(ISERROR(FIND("2",J$1)),1,2))</f>
        <v/>
      </c>
      <c r="K66" s="1" t="str" cm="1">
        <f t="array" ref="K66">IF(OR(K$1="",EXP_MATRIX!$C66=""),"",PRODUCT(IF(NOT(ISERROR(FIND(EXP_MATRIX!$B$1:$Z$1,K$1))),EXP_MATRIX!$B66:$Z66,1))^IF(ISERROR(FIND("2",K$1)),1,2))</f>
        <v/>
      </c>
      <c r="L66" s="1" t="str" cm="1">
        <f t="array" ref="L66">IF(OR(L$1="",EXP_MATRIX!$C66=""),"",PRODUCT(IF(NOT(ISERROR(FIND(EXP_MATRIX!$B$1:$Z$1,L$1))),EXP_MATRIX!$B66:$Z66,1))^IF(ISERROR(FIND("2",L$1)),1,2))</f>
        <v/>
      </c>
      <c r="M66" s="1" t="str" cm="1">
        <f t="array" ref="M66">IF(OR(M$1="",EXP_MATRIX!$C66=""),"",PRODUCT(IF(NOT(ISERROR(FIND(EXP_MATRIX!$B$1:$Z$1,M$1))),EXP_MATRIX!$B66:$Z66,1))^IF(ISERROR(FIND("2",M$1)),1,2))</f>
        <v/>
      </c>
      <c r="N66" s="1" t="str" cm="1">
        <f t="array" ref="N66">IF(OR(N$1="",EXP_MATRIX!$C66=""),"",PRODUCT(IF(NOT(ISERROR(FIND(EXP_MATRIX!$B$1:$Z$1,N$1))),EXP_MATRIX!$B66:$Z66,1))^IF(ISERROR(FIND("2",N$1)),1,2))</f>
        <v/>
      </c>
      <c r="O66" s="1" t="str" cm="1">
        <f t="array" ref="O66">IF(OR(O$1="",EXP_MATRIX!$C66=""),"",PRODUCT(IF(NOT(ISERROR(FIND(EXP_MATRIX!$B$1:$Z$1,O$1))),EXP_MATRIX!$B66:$Z66,1))^IF(ISERROR(FIND("2",O$1)),1,2))</f>
        <v/>
      </c>
      <c r="P66" s="1" t="str" cm="1">
        <f t="array" ref="P66">IF(OR(P$1="",EXP_MATRIX!$C66=""),"",PRODUCT(IF(NOT(ISERROR(FIND(EXP_MATRIX!$B$1:$Z$1,P$1))),EXP_MATRIX!$B66:$Z66,1))^IF(ISERROR(FIND("2",P$1)),1,2))</f>
        <v/>
      </c>
      <c r="Q66" s="1" t="str" cm="1">
        <f t="array" ref="Q66">IF(OR(Q$1="",EXP_MATRIX!$C66=""),"",PRODUCT(IF(NOT(ISERROR(FIND(EXP_MATRIX!$B$1:$Z$1,Q$1))),EXP_MATRIX!$B66:$Z66,1))^IF(ISERROR(FIND("2",Q$1)),1,2))</f>
        <v/>
      </c>
      <c r="R66" s="1" t="str" cm="1">
        <f t="array" ref="R66">IF(OR(R$1="",EXP_MATRIX!$C66=""),"",PRODUCT(IF(NOT(ISERROR(FIND(EXP_MATRIX!$B$1:$Z$1,R$1))),EXP_MATRIX!$B66:$Z66,1))^IF(ISERROR(FIND("2",R$1)),1,2))</f>
        <v/>
      </c>
      <c r="S66" s="1" t="str" cm="1">
        <f t="array" ref="S66">IF(OR(S$1="",EXP_MATRIX!$C66=""),"",PRODUCT(IF(NOT(ISERROR(FIND(EXP_MATRIX!$B$1:$Z$1,S$1))),EXP_MATRIX!$B66:$Z66,1))^IF(ISERROR(FIND("2",S$1)),1,2))</f>
        <v/>
      </c>
      <c r="T66" s="1" t="str" cm="1">
        <f t="array" ref="T66">IF(OR(T$1="",EXP_MATRIX!$C66=""),"",PRODUCT(IF(NOT(ISERROR(FIND(EXP_MATRIX!$B$1:$Z$1,T$1))),EXP_MATRIX!$B66:$Z66,1))^IF(ISERROR(FIND("2",T$1)),1,2))</f>
        <v/>
      </c>
      <c r="U66" s="1" t="str" cm="1">
        <f t="array" ref="U66">IF(OR(U$1="",EXP_MATRIX!$C66=""),"",PRODUCT(IF(NOT(ISERROR(FIND(EXP_MATRIX!$B$1:$Z$1,U$1))),EXP_MATRIX!$B66:$Z66,1))^IF(ISERROR(FIND("2",U$1)),1,2))</f>
        <v/>
      </c>
      <c r="V66" s="1" t="str" cm="1">
        <f t="array" ref="V66">IF(OR(V$1="",EXP_MATRIX!$C66=""),"",PRODUCT(IF(NOT(ISERROR(FIND(EXP_MATRIX!$B$1:$Z$1,V$1))),EXP_MATRIX!$B66:$Z66,1))^IF(ISERROR(FIND("2",V$1)),1,2))</f>
        <v/>
      </c>
      <c r="W66" s="1" t="str" cm="1">
        <f t="array" ref="W66">IF(OR(W$1="",EXP_MATRIX!$C66=""),"",PRODUCT(IF(NOT(ISERROR(FIND(EXP_MATRIX!$B$1:$Z$1,W$1))),EXP_MATRIX!$B66:$Z66,1))^IF(ISERROR(FIND("2",W$1)),1,2))</f>
        <v/>
      </c>
      <c r="X66" s="1" t="str" cm="1">
        <f t="array" ref="X66">IF(OR(X$1="",EXP_MATRIX!$C66=""),"",PRODUCT(IF(NOT(ISERROR(FIND(EXP_MATRIX!$B$1:$Z$1,X$1))),EXP_MATRIX!$B66:$Z66,1))^IF(ISERROR(FIND("2",X$1)),1,2))</f>
        <v/>
      </c>
      <c r="Y66" s="1" t="str" cm="1">
        <f t="array" ref="Y66">IF(OR(Y$1="",EXP_MATRIX!$C66=""),"",PRODUCT(IF(NOT(ISERROR(FIND(EXP_MATRIX!$B$1:$Z$1,Y$1))),EXP_MATRIX!$B66:$Z66,1))^IF(ISERROR(FIND("2",Y$1)),1,2))</f>
        <v/>
      </c>
      <c r="Z66" s="1" t="str" cm="1">
        <f t="array" ref="Z66">IF(OR(Z$1="",EXP_MATRIX!$C66=""),"",PRODUCT(IF(NOT(ISERROR(FIND(EXP_MATRIX!$B$1:$Z$1,Z$1))),EXP_MATRIX!$B66:$Z66,1))^IF(ISERROR(FIND("2",Z$1)),1,2))</f>
        <v/>
      </c>
      <c r="AA66" s="1" t="str" cm="1">
        <f t="array" ref="AA66">IF(OR(AA$1="",EXP_MATRIX!$C66=""),"",PRODUCT(IF(NOT(ISERROR(FIND(EXP_MATRIX!$B$1:$Z$1,AA$1))),EXP_MATRIX!$B66:$Z66,1))^IF(ISERROR(FIND("2",AA$1)),1,2))</f>
        <v/>
      </c>
    </row>
    <row r="67" spans="1:27" x14ac:dyDescent="0.25">
      <c r="A67">
        <v>66</v>
      </c>
      <c r="B67" s="1" t="str" cm="1">
        <f t="array" ref="B67">IF(OR(B$1="",EXP_MATRIX!$C67=""),"",PRODUCT(IF(NOT(ISERROR(FIND(EXP_MATRIX!$B$1:$Z$1,B$1))),EXP_MATRIX!$B67:$Z67,1))^IF(ISERROR(FIND("2",B$1)),1,2))</f>
        <v/>
      </c>
      <c r="C67" s="1" t="str" cm="1">
        <f t="array" ref="C67">IF(OR(C$1="",EXP_MATRIX!$C67=""),"",PRODUCT(IF(NOT(ISERROR(FIND(EXP_MATRIX!$B$1:$Z$1,C$1))),EXP_MATRIX!$B67:$Z67,1))^IF(ISERROR(FIND("2",C$1)),1,2))</f>
        <v/>
      </c>
      <c r="D67" s="1" t="str" cm="1">
        <f t="array" ref="D67">IF(OR(D$1="",EXP_MATRIX!$C67=""),"",PRODUCT(IF(NOT(ISERROR(FIND(EXP_MATRIX!$B$1:$Z$1,D$1))),EXP_MATRIX!$B67:$Z67,1))^IF(ISERROR(FIND("2",D$1)),1,2))</f>
        <v/>
      </c>
      <c r="E67" s="1" t="str" cm="1">
        <f t="array" ref="E67">IF(OR(E$1="",EXP_MATRIX!$C67=""),"",PRODUCT(IF(NOT(ISERROR(FIND(EXP_MATRIX!$B$1:$Z$1,E$1))),EXP_MATRIX!$B67:$Z67,1))^IF(ISERROR(FIND("2",E$1)),1,2))</f>
        <v/>
      </c>
      <c r="F67" s="1" t="str" cm="1">
        <f t="array" ref="F67">IF(OR(F$1="",EXP_MATRIX!$C67=""),"",PRODUCT(IF(NOT(ISERROR(FIND(EXP_MATRIX!$B$1:$Z$1,F$1))),EXP_MATRIX!$B67:$Z67,1))^IF(ISERROR(FIND("2",F$1)),1,2))</f>
        <v/>
      </c>
      <c r="G67" s="1" t="str" cm="1">
        <f t="array" ref="G67">IF(OR(G$1="",EXP_MATRIX!$C67=""),"",PRODUCT(IF(NOT(ISERROR(FIND(EXP_MATRIX!$B$1:$Z$1,G$1))),EXP_MATRIX!$B67:$Z67,1))^IF(ISERROR(FIND("2",G$1)),1,2))</f>
        <v/>
      </c>
      <c r="H67" s="1" t="str" cm="1">
        <f t="array" ref="H67">IF(OR(H$1="",EXP_MATRIX!$C67=""),"",PRODUCT(IF(NOT(ISERROR(FIND(EXP_MATRIX!$B$1:$Z$1,H$1))),EXP_MATRIX!$B67:$Z67,1))^IF(ISERROR(FIND("2",H$1)),1,2))</f>
        <v/>
      </c>
      <c r="I67" s="1" t="str" cm="1">
        <f t="array" ref="I67">IF(OR(I$1="",EXP_MATRIX!$C67=""),"",PRODUCT(IF(NOT(ISERROR(FIND(EXP_MATRIX!$B$1:$Z$1,I$1))),EXP_MATRIX!$B67:$Z67,1))^IF(ISERROR(FIND("2",I$1)),1,2))</f>
        <v/>
      </c>
      <c r="J67" s="1" t="str" cm="1">
        <f t="array" ref="J67">IF(OR(J$1="",EXP_MATRIX!$C67=""),"",PRODUCT(IF(NOT(ISERROR(FIND(EXP_MATRIX!$B$1:$Z$1,J$1))),EXP_MATRIX!$B67:$Z67,1))^IF(ISERROR(FIND("2",J$1)),1,2))</f>
        <v/>
      </c>
      <c r="K67" s="1" t="str" cm="1">
        <f t="array" ref="K67">IF(OR(K$1="",EXP_MATRIX!$C67=""),"",PRODUCT(IF(NOT(ISERROR(FIND(EXP_MATRIX!$B$1:$Z$1,K$1))),EXP_MATRIX!$B67:$Z67,1))^IF(ISERROR(FIND("2",K$1)),1,2))</f>
        <v/>
      </c>
      <c r="L67" s="1" t="str" cm="1">
        <f t="array" ref="L67">IF(OR(L$1="",EXP_MATRIX!$C67=""),"",PRODUCT(IF(NOT(ISERROR(FIND(EXP_MATRIX!$B$1:$Z$1,L$1))),EXP_MATRIX!$B67:$Z67,1))^IF(ISERROR(FIND("2",L$1)),1,2))</f>
        <v/>
      </c>
      <c r="M67" s="1" t="str" cm="1">
        <f t="array" ref="M67">IF(OR(M$1="",EXP_MATRIX!$C67=""),"",PRODUCT(IF(NOT(ISERROR(FIND(EXP_MATRIX!$B$1:$Z$1,M$1))),EXP_MATRIX!$B67:$Z67,1))^IF(ISERROR(FIND("2",M$1)),1,2))</f>
        <v/>
      </c>
      <c r="N67" s="1" t="str" cm="1">
        <f t="array" ref="N67">IF(OR(N$1="",EXP_MATRIX!$C67=""),"",PRODUCT(IF(NOT(ISERROR(FIND(EXP_MATRIX!$B$1:$Z$1,N$1))),EXP_MATRIX!$B67:$Z67,1))^IF(ISERROR(FIND("2",N$1)),1,2))</f>
        <v/>
      </c>
      <c r="O67" s="1" t="str" cm="1">
        <f t="array" ref="O67">IF(OR(O$1="",EXP_MATRIX!$C67=""),"",PRODUCT(IF(NOT(ISERROR(FIND(EXP_MATRIX!$B$1:$Z$1,O$1))),EXP_MATRIX!$B67:$Z67,1))^IF(ISERROR(FIND("2",O$1)),1,2))</f>
        <v/>
      </c>
      <c r="P67" s="1" t="str" cm="1">
        <f t="array" ref="P67">IF(OR(P$1="",EXP_MATRIX!$C67=""),"",PRODUCT(IF(NOT(ISERROR(FIND(EXP_MATRIX!$B$1:$Z$1,P$1))),EXP_MATRIX!$B67:$Z67,1))^IF(ISERROR(FIND("2",P$1)),1,2))</f>
        <v/>
      </c>
      <c r="Q67" s="1" t="str" cm="1">
        <f t="array" ref="Q67">IF(OR(Q$1="",EXP_MATRIX!$C67=""),"",PRODUCT(IF(NOT(ISERROR(FIND(EXP_MATRIX!$B$1:$Z$1,Q$1))),EXP_MATRIX!$B67:$Z67,1))^IF(ISERROR(FIND("2",Q$1)),1,2))</f>
        <v/>
      </c>
      <c r="R67" s="1" t="str" cm="1">
        <f t="array" ref="R67">IF(OR(R$1="",EXP_MATRIX!$C67=""),"",PRODUCT(IF(NOT(ISERROR(FIND(EXP_MATRIX!$B$1:$Z$1,R$1))),EXP_MATRIX!$B67:$Z67,1))^IF(ISERROR(FIND("2",R$1)),1,2))</f>
        <v/>
      </c>
      <c r="S67" s="1" t="str" cm="1">
        <f t="array" ref="S67">IF(OR(S$1="",EXP_MATRIX!$C67=""),"",PRODUCT(IF(NOT(ISERROR(FIND(EXP_MATRIX!$B$1:$Z$1,S$1))),EXP_MATRIX!$B67:$Z67,1))^IF(ISERROR(FIND("2",S$1)),1,2))</f>
        <v/>
      </c>
      <c r="T67" s="1" t="str" cm="1">
        <f t="array" ref="T67">IF(OR(T$1="",EXP_MATRIX!$C67=""),"",PRODUCT(IF(NOT(ISERROR(FIND(EXP_MATRIX!$B$1:$Z$1,T$1))),EXP_MATRIX!$B67:$Z67,1))^IF(ISERROR(FIND("2",T$1)),1,2))</f>
        <v/>
      </c>
      <c r="U67" s="1" t="str" cm="1">
        <f t="array" ref="U67">IF(OR(U$1="",EXP_MATRIX!$C67=""),"",PRODUCT(IF(NOT(ISERROR(FIND(EXP_MATRIX!$B$1:$Z$1,U$1))),EXP_MATRIX!$B67:$Z67,1))^IF(ISERROR(FIND("2",U$1)),1,2))</f>
        <v/>
      </c>
      <c r="V67" s="1" t="str" cm="1">
        <f t="array" ref="V67">IF(OR(V$1="",EXP_MATRIX!$C67=""),"",PRODUCT(IF(NOT(ISERROR(FIND(EXP_MATRIX!$B$1:$Z$1,V$1))),EXP_MATRIX!$B67:$Z67,1))^IF(ISERROR(FIND("2",V$1)),1,2))</f>
        <v/>
      </c>
      <c r="W67" s="1" t="str" cm="1">
        <f t="array" ref="W67">IF(OR(W$1="",EXP_MATRIX!$C67=""),"",PRODUCT(IF(NOT(ISERROR(FIND(EXP_MATRIX!$B$1:$Z$1,W$1))),EXP_MATRIX!$B67:$Z67,1))^IF(ISERROR(FIND("2",W$1)),1,2))</f>
        <v/>
      </c>
      <c r="X67" s="1" t="str" cm="1">
        <f t="array" ref="X67">IF(OR(X$1="",EXP_MATRIX!$C67=""),"",PRODUCT(IF(NOT(ISERROR(FIND(EXP_MATRIX!$B$1:$Z$1,X$1))),EXP_MATRIX!$B67:$Z67,1))^IF(ISERROR(FIND("2",X$1)),1,2))</f>
        <v/>
      </c>
      <c r="Y67" s="1" t="str" cm="1">
        <f t="array" ref="Y67">IF(OR(Y$1="",EXP_MATRIX!$C67=""),"",PRODUCT(IF(NOT(ISERROR(FIND(EXP_MATRIX!$B$1:$Z$1,Y$1))),EXP_MATRIX!$B67:$Z67,1))^IF(ISERROR(FIND("2",Y$1)),1,2))</f>
        <v/>
      </c>
      <c r="Z67" s="1" t="str" cm="1">
        <f t="array" ref="Z67">IF(OR(Z$1="",EXP_MATRIX!$C67=""),"",PRODUCT(IF(NOT(ISERROR(FIND(EXP_MATRIX!$B$1:$Z$1,Z$1))),EXP_MATRIX!$B67:$Z67,1))^IF(ISERROR(FIND("2",Z$1)),1,2))</f>
        <v/>
      </c>
      <c r="AA67" s="1" t="str" cm="1">
        <f t="array" ref="AA67">IF(OR(AA$1="",EXP_MATRIX!$C67=""),"",PRODUCT(IF(NOT(ISERROR(FIND(EXP_MATRIX!$B$1:$Z$1,AA$1))),EXP_MATRIX!$B67:$Z67,1))^IF(ISERROR(FIND("2",AA$1)),1,2))</f>
        <v/>
      </c>
    </row>
    <row r="68" spans="1:27" x14ac:dyDescent="0.25">
      <c r="A68">
        <v>67</v>
      </c>
      <c r="B68" s="1" t="str" cm="1">
        <f t="array" ref="B68">IF(OR(B$1="",EXP_MATRIX!$C68=""),"",PRODUCT(IF(NOT(ISERROR(FIND(EXP_MATRIX!$B$1:$Z$1,B$1))),EXP_MATRIX!$B68:$Z68,1))^IF(ISERROR(FIND("2",B$1)),1,2))</f>
        <v/>
      </c>
      <c r="C68" s="1" t="str" cm="1">
        <f t="array" ref="C68">IF(OR(C$1="",EXP_MATRIX!$C68=""),"",PRODUCT(IF(NOT(ISERROR(FIND(EXP_MATRIX!$B$1:$Z$1,C$1))),EXP_MATRIX!$B68:$Z68,1))^IF(ISERROR(FIND("2",C$1)),1,2))</f>
        <v/>
      </c>
      <c r="D68" s="1" t="str" cm="1">
        <f t="array" ref="D68">IF(OR(D$1="",EXP_MATRIX!$C68=""),"",PRODUCT(IF(NOT(ISERROR(FIND(EXP_MATRIX!$B$1:$Z$1,D$1))),EXP_MATRIX!$B68:$Z68,1))^IF(ISERROR(FIND("2",D$1)),1,2))</f>
        <v/>
      </c>
      <c r="E68" s="1" t="str" cm="1">
        <f t="array" ref="E68">IF(OR(E$1="",EXP_MATRIX!$C68=""),"",PRODUCT(IF(NOT(ISERROR(FIND(EXP_MATRIX!$B$1:$Z$1,E$1))),EXP_MATRIX!$B68:$Z68,1))^IF(ISERROR(FIND("2",E$1)),1,2))</f>
        <v/>
      </c>
      <c r="F68" s="1" t="str" cm="1">
        <f t="array" ref="F68">IF(OR(F$1="",EXP_MATRIX!$C68=""),"",PRODUCT(IF(NOT(ISERROR(FIND(EXP_MATRIX!$B$1:$Z$1,F$1))),EXP_MATRIX!$B68:$Z68,1))^IF(ISERROR(FIND("2",F$1)),1,2))</f>
        <v/>
      </c>
      <c r="G68" s="1" t="str" cm="1">
        <f t="array" ref="G68">IF(OR(G$1="",EXP_MATRIX!$C68=""),"",PRODUCT(IF(NOT(ISERROR(FIND(EXP_MATRIX!$B$1:$Z$1,G$1))),EXP_MATRIX!$B68:$Z68,1))^IF(ISERROR(FIND("2",G$1)),1,2))</f>
        <v/>
      </c>
      <c r="H68" s="1" t="str" cm="1">
        <f t="array" ref="H68">IF(OR(H$1="",EXP_MATRIX!$C68=""),"",PRODUCT(IF(NOT(ISERROR(FIND(EXP_MATRIX!$B$1:$Z$1,H$1))),EXP_MATRIX!$B68:$Z68,1))^IF(ISERROR(FIND("2",H$1)),1,2))</f>
        <v/>
      </c>
      <c r="I68" s="1" t="str" cm="1">
        <f t="array" ref="I68">IF(OR(I$1="",EXP_MATRIX!$C68=""),"",PRODUCT(IF(NOT(ISERROR(FIND(EXP_MATRIX!$B$1:$Z$1,I$1))),EXP_MATRIX!$B68:$Z68,1))^IF(ISERROR(FIND("2",I$1)),1,2))</f>
        <v/>
      </c>
      <c r="J68" s="1" t="str" cm="1">
        <f t="array" ref="J68">IF(OR(J$1="",EXP_MATRIX!$C68=""),"",PRODUCT(IF(NOT(ISERROR(FIND(EXP_MATRIX!$B$1:$Z$1,J$1))),EXP_MATRIX!$B68:$Z68,1))^IF(ISERROR(FIND("2",J$1)),1,2))</f>
        <v/>
      </c>
      <c r="K68" s="1" t="str" cm="1">
        <f t="array" ref="K68">IF(OR(K$1="",EXP_MATRIX!$C68=""),"",PRODUCT(IF(NOT(ISERROR(FIND(EXP_MATRIX!$B$1:$Z$1,K$1))),EXP_MATRIX!$B68:$Z68,1))^IF(ISERROR(FIND("2",K$1)),1,2))</f>
        <v/>
      </c>
      <c r="L68" s="1" t="str" cm="1">
        <f t="array" ref="L68">IF(OR(L$1="",EXP_MATRIX!$C68=""),"",PRODUCT(IF(NOT(ISERROR(FIND(EXP_MATRIX!$B$1:$Z$1,L$1))),EXP_MATRIX!$B68:$Z68,1))^IF(ISERROR(FIND("2",L$1)),1,2))</f>
        <v/>
      </c>
      <c r="M68" s="1" t="str" cm="1">
        <f t="array" ref="M68">IF(OR(M$1="",EXP_MATRIX!$C68=""),"",PRODUCT(IF(NOT(ISERROR(FIND(EXP_MATRIX!$B$1:$Z$1,M$1))),EXP_MATRIX!$B68:$Z68,1))^IF(ISERROR(FIND("2",M$1)),1,2))</f>
        <v/>
      </c>
      <c r="N68" s="1" t="str" cm="1">
        <f t="array" ref="N68">IF(OR(N$1="",EXP_MATRIX!$C68=""),"",PRODUCT(IF(NOT(ISERROR(FIND(EXP_MATRIX!$B$1:$Z$1,N$1))),EXP_MATRIX!$B68:$Z68,1))^IF(ISERROR(FIND("2",N$1)),1,2))</f>
        <v/>
      </c>
      <c r="O68" s="1" t="str" cm="1">
        <f t="array" ref="O68">IF(OR(O$1="",EXP_MATRIX!$C68=""),"",PRODUCT(IF(NOT(ISERROR(FIND(EXP_MATRIX!$B$1:$Z$1,O$1))),EXP_MATRIX!$B68:$Z68,1))^IF(ISERROR(FIND("2",O$1)),1,2))</f>
        <v/>
      </c>
      <c r="P68" s="1" t="str" cm="1">
        <f t="array" ref="P68">IF(OR(P$1="",EXP_MATRIX!$C68=""),"",PRODUCT(IF(NOT(ISERROR(FIND(EXP_MATRIX!$B$1:$Z$1,P$1))),EXP_MATRIX!$B68:$Z68,1))^IF(ISERROR(FIND("2",P$1)),1,2))</f>
        <v/>
      </c>
      <c r="Q68" s="1" t="str" cm="1">
        <f t="array" ref="Q68">IF(OR(Q$1="",EXP_MATRIX!$C68=""),"",PRODUCT(IF(NOT(ISERROR(FIND(EXP_MATRIX!$B$1:$Z$1,Q$1))),EXP_MATRIX!$B68:$Z68,1))^IF(ISERROR(FIND("2",Q$1)),1,2))</f>
        <v/>
      </c>
      <c r="R68" s="1" t="str" cm="1">
        <f t="array" ref="R68">IF(OR(R$1="",EXP_MATRIX!$C68=""),"",PRODUCT(IF(NOT(ISERROR(FIND(EXP_MATRIX!$B$1:$Z$1,R$1))),EXP_MATRIX!$B68:$Z68,1))^IF(ISERROR(FIND("2",R$1)),1,2))</f>
        <v/>
      </c>
      <c r="S68" s="1" t="str" cm="1">
        <f t="array" ref="S68">IF(OR(S$1="",EXP_MATRIX!$C68=""),"",PRODUCT(IF(NOT(ISERROR(FIND(EXP_MATRIX!$B$1:$Z$1,S$1))),EXP_MATRIX!$B68:$Z68,1))^IF(ISERROR(FIND("2",S$1)),1,2))</f>
        <v/>
      </c>
      <c r="T68" s="1" t="str" cm="1">
        <f t="array" ref="T68">IF(OR(T$1="",EXP_MATRIX!$C68=""),"",PRODUCT(IF(NOT(ISERROR(FIND(EXP_MATRIX!$B$1:$Z$1,T$1))),EXP_MATRIX!$B68:$Z68,1))^IF(ISERROR(FIND("2",T$1)),1,2))</f>
        <v/>
      </c>
      <c r="U68" s="1" t="str" cm="1">
        <f t="array" ref="U68">IF(OR(U$1="",EXP_MATRIX!$C68=""),"",PRODUCT(IF(NOT(ISERROR(FIND(EXP_MATRIX!$B$1:$Z$1,U$1))),EXP_MATRIX!$B68:$Z68,1))^IF(ISERROR(FIND("2",U$1)),1,2))</f>
        <v/>
      </c>
      <c r="V68" s="1" t="str" cm="1">
        <f t="array" ref="V68">IF(OR(V$1="",EXP_MATRIX!$C68=""),"",PRODUCT(IF(NOT(ISERROR(FIND(EXP_MATRIX!$B$1:$Z$1,V$1))),EXP_MATRIX!$B68:$Z68,1))^IF(ISERROR(FIND("2",V$1)),1,2))</f>
        <v/>
      </c>
      <c r="W68" s="1" t="str" cm="1">
        <f t="array" ref="W68">IF(OR(W$1="",EXP_MATRIX!$C68=""),"",PRODUCT(IF(NOT(ISERROR(FIND(EXP_MATRIX!$B$1:$Z$1,W$1))),EXP_MATRIX!$B68:$Z68,1))^IF(ISERROR(FIND("2",W$1)),1,2))</f>
        <v/>
      </c>
      <c r="X68" s="1" t="str" cm="1">
        <f t="array" ref="X68">IF(OR(X$1="",EXP_MATRIX!$C68=""),"",PRODUCT(IF(NOT(ISERROR(FIND(EXP_MATRIX!$B$1:$Z$1,X$1))),EXP_MATRIX!$B68:$Z68,1))^IF(ISERROR(FIND("2",X$1)),1,2))</f>
        <v/>
      </c>
      <c r="Y68" s="1" t="str" cm="1">
        <f t="array" ref="Y68">IF(OR(Y$1="",EXP_MATRIX!$C68=""),"",PRODUCT(IF(NOT(ISERROR(FIND(EXP_MATRIX!$B$1:$Z$1,Y$1))),EXP_MATRIX!$B68:$Z68,1))^IF(ISERROR(FIND("2",Y$1)),1,2))</f>
        <v/>
      </c>
      <c r="Z68" s="1" t="str" cm="1">
        <f t="array" ref="Z68">IF(OR(Z$1="",EXP_MATRIX!$C68=""),"",PRODUCT(IF(NOT(ISERROR(FIND(EXP_MATRIX!$B$1:$Z$1,Z$1))),EXP_MATRIX!$B68:$Z68,1))^IF(ISERROR(FIND("2",Z$1)),1,2))</f>
        <v/>
      </c>
      <c r="AA68" s="1" t="str" cm="1">
        <f t="array" ref="AA68">IF(OR(AA$1="",EXP_MATRIX!$C68=""),"",PRODUCT(IF(NOT(ISERROR(FIND(EXP_MATRIX!$B$1:$Z$1,AA$1))),EXP_MATRIX!$B68:$Z68,1))^IF(ISERROR(FIND("2",AA$1)),1,2))</f>
        <v/>
      </c>
    </row>
    <row r="69" spans="1:27" x14ac:dyDescent="0.25">
      <c r="A69">
        <v>68</v>
      </c>
      <c r="B69" s="1" t="str" cm="1">
        <f t="array" ref="B69">IF(OR(B$1="",EXP_MATRIX!$C69=""),"",PRODUCT(IF(NOT(ISERROR(FIND(EXP_MATRIX!$B$1:$Z$1,B$1))),EXP_MATRIX!$B69:$Z69,1))^IF(ISERROR(FIND("2",B$1)),1,2))</f>
        <v/>
      </c>
      <c r="C69" s="1" t="str" cm="1">
        <f t="array" ref="C69">IF(OR(C$1="",EXP_MATRIX!$C69=""),"",PRODUCT(IF(NOT(ISERROR(FIND(EXP_MATRIX!$B$1:$Z$1,C$1))),EXP_MATRIX!$B69:$Z69,1))^IF(ISERROR(FIND("2",C$1)),1,2))</f>
        <v/>
      </c>
      <c r="D69" s="1" t="str" cm="1">
        <f t="array" ref="D69">IF(OR(D$1="",EXP_MATRIX!$C69=""),"",PRODUCT(IF(NOT(ISERROR(FIND(EXP_MATRIX!$B$1:$Z$1,D$1))),EXP_MATRIX!$B69:$Z69,1))^IF(ISERROR(FIND("2",D$1)),1,2))</f>
        <v/>
      </c>
      <c r="E69" s="1" t="str" cm="1">
        <f t="array" ref="E69">IF(OR(E$1="",EXP_MATRIX!$C69=""),"",PRODUCT(IF(NOT(ISERROR(FIND(EXP_MATRIX!$B$1:$Z$1,E$1))),EXP_MATRIX!$B69:$Z69,1))^IF(ISERROR(FIND("2",E$1)),1,2))</f>
        <v/>
      </c>
      <c r="F69" s="1" t="str" cm="1">
        <f t="array" ref="F69">IF(OR(F$1="",EXP_MATRIX!$C69=""),"",PRODUCT(IF(NOT(ISERROR(FIND(EXP_MATRIX!$B$1:$Z$1,F$1))),EXP_MATRIX!$B69:$Z69,1))^IF(ISERROR(FIND("2",F$1)),1,2))</f>
        <v/>
      </c>
      <c r="G69" s="1" t="str" cm="1">
        <f t="array" ref="G69">IF(OR(G$1="",EXP_MATRIX!$C69=""),"",PRODUCT(IF(NOT(ISERROR(FIND(EXP_MATRIX!$B$1:$Z$1,G$1))),EXP_MATRIX!$B69:$Z69,1))^IF(ISERROR(FIND("2",G$1)),1,2))</f>
        <v/>
      </c>
      <c r="H69" s="1" t="str" cm="1">
        <f t="array" ref="H69">IF(OR(H$1="",EXP_MATRIX!$C69=""),"",PRODUCT(IF(NOT(ISERROR(FIND(EXP_MATRIX!$B$1:$Z$1,H$1))),EXP_MATRIX!$B69:$Z69,1))^IF(ISERROR(FIND("2",H$1)),1,2))</f>
        <v/>
      </c>
      <c r="I69" s="1" t="str" cm="1">
        <f t="array" ref="I69">IF(OR(I$1="",EXP_MATRIX!$C69=""),"",PRODUCT(IF(NOT(ISERROR(FIND(EXP_MATRIX!$B$1:$Z$1,I$1))),EXP_MATRIX!$B69:$Z69,1))^IF(ISERROR(FIND("2",I$1)),1,2))</f>
        <v/>
      </c>
      <c r="J69" s="1" t="str" cm="1">
        <f t="array" ref="J69">IF(OR(J$1="",EXP_MATRIX!$C69=""),"",PRODUCT(IF(NOT(ISERROR(FIND(EXP_MATRIX!$B$1:$Z$1,J$1))),EXP_MATRIX!$B69:$Z69,1))^IF(ISERROR(FIND("2",J$1)),1,2))</f>
        <v/>
      </c>
      <c r="K69" s="1" t="str" cm="1">
        <f t="array" ref="K69">IF(OR(K$1="",EXP_MATRIX!$C69=""),"",PRODUCT(IF(NOT(ISERROR(FIND(EXP_MATRIX!$B$1:$Z$1,K$1))),EXP_MATRIX!$B69:$Z69,1))^IF(ISERROR(FIND("2",K$1)),1,2))</f>
        <v/>
      </c>
      <c r="L69" s="1" t="str" cm="1">
        <f t="array" ref="L69">IF(OR(L$1="",EXP_MATRIX!$C69=""),"",PRODUCT(IF(NOT(ISERROR(FIND(EXP_MATRIX!$B$1:$Z$1,L$1))),EXP_MATRIX!$B69:$Z69,1))^IF(ISERROR(FIND("2",L$1)),1,2))</f>
        <v/>
      </c>
      <c r="M69" s="1" t="str" cm="1">
        <f t="array" ref="M69">IF(OR(M$1="",EXP_MATRIX!$C69=""),"",PRODUCT(IF(NOT(ISERROR(FIND(EXP_MATRIX!$B$1:$Z$1,M$1))),EXP_MATRIX!$B69:$Z69,1))^IF(ISERROR(FIND("2",M$1)),1,2))</f>
        <v/>
      </c>
      <c r="N69" s="1" t="str" cm="1">
        <f t="array" ref="N69">IF(OR(N$1="",EXP_MATRIX!$C69=""),"",PRODUCT(IF(NOT(ISERROR(FIND(EXP_MATRIX!$B$1:$Z$1,N$1))),EXP_MATRIX!$B69:$Z69,1))^IF(ISERROR(FIND("2",N$1)),1,2))</f>
        <v/>
      </c>
      <c r="O69" s="1" t="str" cm="1">
        <f t="array" ref="O69">IF(OR(O$1="",EXP_MATRIX!$C69=""),"",PRODUCT(IF(NOT(ISERROR(FIND(EXP_MATRIX!$B$1:$Z$1,O$1))),EXP_MATRIX!$B69:$Z69,1))^IF(ISERROR(FIND("2",O$1)),1,2))</f>
        <v/>
      </c>
      <c r="P69" s="1" t="str" cm="1">
        <f t="array" ref="P69">IF(OR(P$1="",EXP_MATRIX!$C69=""),"",PRODUCT(IF(NOT(ISERROR(FIND(EXP_MATRIX!$B$1:$Z$1,P$1))),EXP_MATRIX!$B69:$Z69,1))^IF(ISERROR(FIND("2",P$1)),1,2))</f>
        <v/>
      </c>
      <c r="Q69" s="1" t="str" cm="1">
        <f t="array" ref="Q69">IF(OR(Q$1="",EXP_MATRIX!$C69=""),"",PRODUCT(IF(NOT(ISERROR(FIND(EXP_MATRIX!$B$1:$Z$1,Q$1))),EXP_MATRIX!$B69:$Z69,1))^IF(ISERROR(FIND("2",Q$1)),1,2))</f>
        <v/>
      </c>
      <c r="R69" s="1" t="str" cm="1">
        <f t="array" ref="R69">IF(OR(R$1="",EXP_MATRIX!$C69=""),"",PRODUCT(IF(NOT(ISERROR(FIND(EXP_MATRIX!$B$1:$Z$1,R$1))),EXP_MATRIX!$B69:$Z69,1))^IF(ISERROR(FIND("2",R$1)),1,2))</f>
        <v/>
      </c>
      <c r="S69" s="1" t="str" cm="1">
        <f t="array" ref="S69">IF(OR(S$1="",EXP_MATRIX!$C69=""),"",PRODUCT(IF(NOT(ISERROR(FIND(EXP_MATRIX!$B$1:$Z$1,S$1))),EXP_MATRIX!$B69:$Z69,1))^IF(ISERROR(FIND("2",S$1)),1,2))</f>
        <v/>
      </c>
      <c r="T69" s="1" t="str" cm="1">
        <f t="array" ref="T69">IF(OR(T$1="",EXP_MATRIX!$C69=""),"",PRODUCT(IF(NOT(ISERROR(FIND(EXP_MATRIX!$B$1:$Z$1,T$1))),EXP_MATRIX!$B69:$Z69,1))^IF(ISERROR(FIND("2",T$1)),1,2))</f>
        <v/>
      </c>
      <c r="U69" s="1" t="str" cm="1">
        <f t="array" ref="U69">IF(OR(U$1="",EXP_MATRIX!$C69=""),"",PRODUCT(IF(NOT(ISERROR(FIND(EXP_MATRIX!$B$1:$Z$1,U$1))),EXP_MATRIX!$B69:$Z69,1))^IF(ISERROR(FIND("2",U$1)),1,2))</f>
        <v/>
      </c>
      <c r="V69" s="1" t="str" cm="1">
        <f t="array" ref="V69">IF(OR(V$1="",EXP_MATRIX!$C69=""),"",PRODUCT(IF(NOT(ISERROR(FIND(EXP_MATRIX!$B$1:$Z$1,V$1))),EXP_MATRIX!$B69:$Z69,1))^IF(ISERROR(FIND("2",V$1)),1,2))</f>
        <v/>
      </c>
      <c r="W69" s="1" t="str" cm="1">
        <f t="array" ref="W69">IF(OR(W$1="",EXP_MATRIX!$C69=""),"",PRODUCT(IF(NOT(ISERROR(FIND(EXP_MATRIX!$B$1:$Z$1,W$1))),EXP_MATRIX!$B69:$Z69,1))^IF(ISERROR(FIND("2",W$1)),1,2))</f>
        <v/>
      </c>
      <c r="X69" s="1" t="str" cm="1">
        <f t="array" ref="X69">IF(OR(X$1="",EXP_MATRIX!$C69=""),"",PRODUCT(IF(NOT(ISERROR(FIND(EXP_MATRIX!$B$1:$Z$1,X$1))),EXP_MATRIX!$B69:$Z69,1))^IF(ISERROR(FIND("2",X$1)),1,2))</f>
        <v/>
      </c>
      <c r="Y69" s="1" t="str" cm="1">
        <f t="array" ref="Y69">IF(OR(Y$1="",EXP_MATRIX!$C69=""),"",PRODUCT(IF(NOT(ISERROR(FIND(EXP_MATRIX!$B$1:$Z$1,Y$1))),EXP_MATRIX!$B69:$Z69,1))^IF(ISERROR(FIND("2",Y$1)),1,2))</f>
        <v/>
      </c>
      <c r="Z69" s="1" t="str" cm="1">
        <f t="array" ref="Z69">IF(OR(Z$1="",EXP_MATRIX!$C69=""),"",PRODUCT(IF(NOT(ISERROR(FIND(EXP_MATRIX!$B$1:$Z$1,Z$1))),EXP_MATRIX!$B69:$Z69,1))^IF(ISERROR(FIND("2",Z$1)),1,2))</f>
        <v/>
      </c>
      <c r="AA69" s="1" t="str" cm="1">
        <f t="array" ref="AA69">IF(OR(AA$1="",EXP_MATRIX!$C69=""),"",PRODUCT(IF(NOT(ISERROR(FIND(EXP_MATRIX!$B$1:$Z$1,AA$1))),EXP_MATRIX!$B69:$Z69,1))^IF(ISERROR(FIND("2",AA$1)),1,2))</f>
        <v/>
      </c>
    </row>
    <row r="70" spans="1:27" x14ac:dyDescent="0.25">
      <c r="A70">
        <v>69</v>
      </c>
      <c r="B70" s="1" t="str" cm="1">
        <f t="array" ref="B70">IF(OR(B$1="",EXP_MATRIX!$C70=""),"",PRODUCT(IF(NOT(ISERROR(FIND(EXP_MATRIX!$B$1:$Z$1,B$1))),EXP_MATRIX!$B70:$Z70,1))^IF(ISERROR(FIND("2",B$1)),1,2))</f>
        <v/>
      </c>
      <c r="C70" s="1" t="str" cm="1">
        <f t="array" ref="C70">IF(OR(C$1="",EXP_MATRIX!$C70=""),"",PRODUCT(IF(NOT(ISERROR(FIND(EXP_MATRIX!$B$1:$Z$1,C$1))),EXP_MATRIX!$B70:$Z70,1))^IF(ISERROR(FIND("2",C$1)),1,2))</f>
        <v/>
      </c>
      <c r="D70" s="1" t="str" cm="1">
        <f t="array" ref="D70">IF(OR(D$1="",EXP_MATRIX!$C70=""),"",PRODUCT(IF(NOT(ISERROR(FIND(EXP_MATRIX!$B$1:$Z$1,D$1))),EXP_MATRIX!$B70:$Z70,1))^IF(ISERROR(FIND("2",D$1)),1,2))</f>
        <v/>
      </c>
      <c r="E70" s="1" t="str" cm="1">
        <f t="array" ref="E70">IF(OR(E$1="",EXP_MATRIX!$C70=""),"",PRODUCT(IF(NOT(ISERROR(FIND(EXP_MATRIX!$B$1:$Z$1,E$1))),EXP_MATRIX!$B70:$Z70,1))^IF(ISERROR(FIND("2",E$1)),1,2))</f>
        <v/>
      </c>
      <c r="F70" s="1" t="str" cm="1">
        <f t="array" ref="F70">IF(OR(F$1="",EXP_MATRIX!$C70=""),"",PRODUCT(IF(NOT(ISERROR(FIND(EXP_MATRIX!$B$1:$Z$1,F$1))),EXP_MATRIX!$B70:$Z70,1))^IF(ISERROR(FIND("2",F$1)),1,2))</f>
        <v/>
      </c>
      <c r="G70" s="1" t="str" cm="1">
        <f t="array" ref="G70">IF(OR(G$1="",EXP_MATRIX!$C70=""),"",PRODUCT(IF(NOT(ISERROR(FIND(EXP_MATRIX!$B$1:$Z$1,G$1))),EXP_MATRIX!$B70:$Z70,1))^IF(ISERROR(FIND("2",G$1)),1,2))</f>
        <v/>
      </c>
      <c r="H70" s="1" t="str" cm="1">
        <f t="array" ref="H70">IF(OR(H$1="",EXP_MATRIX!$C70=""),"",PRODUCT(IF(NOT(ISERROR(FIND(EXP_MATRIX!$B$1:$Z$1,H$1))),EXP_MATRIX!$B70:$Z70,1))^IF(ISERROR(FIND("2",H$1)),1,2))</f>
        <v/>
      </c>
      <c r="I70" s="1" t="str" cm="1">
        <f t="array" ref="I70">IF(OR(I$1="",EXP_MATRIX!$C70=""),"",PRODUCT(IF(NOT(ISERROR(FIND(EXP_MATRIX!$B$1:$Z$1,I$1))),EXP_MATRIX!$B70:$Z70,1))^IF(ISERROR(FIND("2",I$1)),1,2))</f>
        <v/>
      </c>
      <c r="J70" s="1" t="str" cm="1">
        <f t="array" ref="J70">IF(OR(J$1="",EXP_MATRIX!$C70=""),"",PRODUCT(IF(NOT(ISERROR(FIND(EXP_MATRIX!$B$1:$Z$1,J$1))),EXP_MATRIX!$B70:$Z70,1))^IF(ISERROR(FIND("2",J$1)),1,2))</f>
        <v/>
      </c>
      <c r="K70" s="1" t="str" cm="1">
        <f t="array" ref="K70">IF(OR(K$1="",EXP_MATRIX!$C70=""),"",PRODUCT(IF(NOT(ISERROR(FIND(EXP_MATRIX!$B$1:$Z$1,K$1))),EXP_MATRIX!$B70:$Z70,1))^IF(ISERROR(FIND("2",K$1)),1,2))</f>
        <v/>
      </c>
      <c r="L70" s="1" t="str" cm="1">
        <f t="array" ref="L70">IF(OR(L$1="",EXP_MATRIX!$C70=""),"",PRODUCT(IF(NOT(ISERROR(FIND(EXP_MATRIX!$B$1:$Z$1,L$1))),EXP_MATRIX!$B70:$Z70,1))^IF(ISERROR(FIND("2",L$1)),1,2))</f>
        <v/>
      </c>
      <c r="M70" s="1" t="str" cm="1">
        <f t="array" ref="M70">IF(OR(M$1="",EXP_MATRIX!$C70=""),"",PRODUCT(IF(NOT(ISERROR(FIND(EXP_MATRIX!$B$1:$Z$1,M$1))),EXP_MATRIX!$B70:$Z70,1))^IF(ISERROR(FIND("2",M$1)),1,2))</f>
        <v/>
      </c>
      <c r="N70" s="1" t="str" cm="1">
        <f t="array" ref="N70">IF(OR(N$1="",EXP_MATRIX!$C70=""),"",PRODUCT(IF(NOT(ISERROR(FIND(EXP_MATRIX!$B$1:$Z$1,N$1))),EXP_MATRIX!$B70:$Z70,1))^IF(ISERROR(FIND("2",N$1)),1,2))</f>
        <v/>
      </c>
      <c r="O70" s="1" t="str" cm="1">
        <f t="array" ref="O70">IF(OR(O$1="",EXP_MATRIX!$C70=""),"",PRODUCT(IF(NOT(ISERROR(FIND(EXP_MATRIX!$B$1:$Z$1,O$1))),EXP_MATRIX!$B70:$Z70,1))^IF(ISERROR(FIND("2",O$1)),1,2))</f>
        <v/>
      </c>
      <c r="P70" s="1" t="str" cm="1">
        <f t="array" ref="P70">IF(OR(P$1="",EXP_MATRIX!$C70=""),"",PRODUCT(IF(NOT(ISERROR(FIND(EXP_MATRIX!$B$1:$Z$1,P$1))),EXP_MATRIX!$B70:$Z70,1))^IF(ISERROR(FIND("2",P$1)),1,2))</f>
        <v/>
      </c>
      <c r="Q70" s="1" t="str" cm="1">
        <f t="array" ref="Q70">IF(OR(Q$1="",EXP_MATRIX!$C70=""),"",PRODUCT(IF(NOT(ISERROR(FIND(EXP_MATRIX!$B$1:$Z$1,Q$1))),EXP_MATRIX!$B70:$Z70,1))^IF(ISERROR(FIND("2",Q$1)),1,2))</f>
        <v/>
      </c>
      <c r="R70" s="1" t="str" cm="1">
        <f t="array" ref="R70">IF(OR(R$1="",EXP_MATRIX!$C70=""),"",PRODUCT(IF(NOT(ISERROR(FIND(EXP_MATRIX!$B$1:$Z$1,R$1))),EXP_MATRIX!$B70:$Z70,1))^IF(ISERROR(FIND("2",R$1)),1,2))</f>
        <v/>
      </c>
      <c r="S70" s="1" t="str" cm="1">
        <f t="array" ref="S70">IF(OR(S$1="",EXP_MATRIX!$C70=""),"",PRODUCT(IF(NOT(ISERROR(FIND(EXP_MATRIX!$B$1:$Z$1,S$1))),EXP_MATRIX!$B70:$Z70,1))^IF(ISERROR(FIND("2",S$1)),1,2))</f>
        <v/>
      </c>
      <c r="T70" s="1" t="str" cm="1">
        <f t="array" ref="T70">IF(OR(T$1="",EXP_MATRIX!$C70=""),"",PRODUCT(IF(NOT(ISERROR(FIND(EXP_MATRIX!$B$1:$Z$1,T$1))),EXP_MATRIX!$B70:$Z70,1))^IF(ISERROR(FIND("2",T$1)),1,2))</f>
        <v/>
      </c>
      <c r="U70" s="1" t="str" cm="1">
        <f t="array" ref="U70">IF(OR(U$1="",EXP_MATRIX!$C70=""),"",PRODUCT(IF(NOT(ISERROR(FIND(EXP_MATRIX!$B$1:$Z$1,U$1))),EXP_MATRIX!$B70:$Z70,1))^IF(ISERROR(FIND("2",U$1)),1,2))</f>
        <v/>
      </c>
      <c r="V70" s="1" t="str" cm="1">
        <f t="array" ref="V70">IF(OR(V$1="",EXP_MATRIX!$C70=""),"",PRODUCT(IF(NOT(ISERROR(FIND(EXP_MATRIX!$B$1:$Z$1,V$1))),EXP_MATRIX!$B70:$Z70,1))^IF(ISERROR(FIND("2",V$1)),1,2))</f>
        <v/>
      </c>
      <c r="W70" s="1" t="str" cm="1">
        <f t="array" ref="W70">IF(OR(W$1="",EXP_MATRIX!$C70=""),"",PRODUCT(IF(NOT(ISERROR(FIND(EXP_MATRIX!$B$1:$Z$1,W$1))),EXP_MATRIX!$B70:$Z70,1))^IF(ISERROR(FIND("2",W$1)),1,2))</f>
        <v/>
      </c>
      <c r="X70" s="1" t="str" cm="1">
        <f t="array" ref="X70">IF(OR(X$1="",EXP_MATRIX!$C70=""),"",PRODUCT(IF(NOT(ISERROR(FIND(EXP_MATRIX!$B$1:$Z$1,X$1))),EXP_MATRIX!$B70:$Z70,1))^IF(ISERROR(FIND("2",X$1)),1,2))</f>
        <v/>
      </c>
      <c r="Y70" s="1" t="str" cm="1">
        <f t="array" ref="Y70">IF(OR(Y$1="",EXP_MATRIX!$C70=""),"",PRODUCT(IF(NOT(ISERROR(FIND(EXP_MATRIX!$B$1:$Z$1,Y$1))),EXP_MATRIX!$B70:$Z70,1))^IF(ISERROR(FIND("2",Y$1)),1,2))</f>
        <v/>
      </c>
      <c r="Z70" s="1" t="str" cm="1">
        <f t="array" ref="Z70">IF(OR(Z$1="",EXP_MATRIX!$C70=""),"",PRODUCT(IF(NOT(ISERROR(FIND(EXP_MATRIX!$B$1:$Z$1,Z$1))),EXP_MATRIX!$B70:$Z70,1))^IF(ISERROR(FIND("2",Z$1)),1,2))</f>
        <v/>
      </c>
      <c r="AA70" s="1" t="str" cm="1">
        <f t="array" ref="AA70">IF(OR(AA$1="",EXP_MATRIX!$C70=""),"",PRODUCT(IF(NOT(ISERROR(FIND(EXP_MATRIX!$B$1:$Z$1,AA$1))),EXP_MATRIX!$B70:$Z70,1))^IF(ISERROR(FIND("2",AA$1)),1,2))</f>
        <v/>
      </c>
    </row>
    <row r="71" spans="1:27" x14ac:dyDescent="0.25">
      <c r="A71">
        <v>70</v>
      </c>
      <c r="B71" s="1" t="str" cm="1">
        <f t="array" ref="B71">IF(OR(B$1="",EXP_MATRIX!$C71=""),"",PRODUCT(IF(NOT(ISERROR(FIND(EXP_MATRIX!$B$1:$Z$1,B$1))),EXP_MATRIX!$B71:$Z71,1))^IF(ISERROR(FIND("2",B$1)),1,2))</f>
        <v/>
      </c>
      <c r="C71" s="1" t="str" cm="1">
        <f t="array" ref="C71">IF(OR(C$1="",EXP_MATRIX!$C71=""),"",PRODUCT(IF(NOT(ISERROR(FIND(EXP_MATRIX!$B$1:$Z$1,C$1))),EXP_MATRIX!$B71:$Z71,1))^IF(ISERROR(FIND("2",C$1)),1,2))</f>
        <v/>
      </c>
      <c r="D71" s="1" t="str" cm="1">
        <f t="array" ref="D71">IF(OR(D$1="",EXP_MATRIX!$C71=""),"",PRODUCT(IF(NOT(ISERROR(FIND(EXP_MATRIX!$B$1:$Z$1,D$1))),EXP_MATRIX!$B71:$Z71,1))^IF(ISERROR(FIND("2",D$1)),1,2))</f>
        <v/>
      </c>
      <c r="E71" s="1" t="str" cm="1">
        <f t="array" ref="E71">IF(OR(E$1="",EXP_MATRIX!$C71=""),"",PRODUCT(IF(NOT(ISERROR(FIND(EXP_MATRIX!$B$1:$Z$1,E$1))),EXP_MATRIX!$B71:$Z71,1))^IF(ISERROR(FIND("2",E$1)),1,2))</f>
        <v/>
      </c>
      <c r="F71" s="1" t="str" cm="1">
        <f t="array" ref="F71">IF(OR(F$1="",EXP_MATRIX!$C71=""),"",PRODUCT(IF(NOT(ISERROR(FIND(EXP_MATRIX!$B$1:$Z$1,F$1))),EXP_MATRIX!$B71:$Z71,1))^IF(ISERROR(FIND("2",F$1)),1,2))</f>
        <v/>
      </c>
      <c r="G71" s="1" t="str" cm="1">
        <f t="array" ref="G71">IF(OR(G$1="",EXP_MATRIX!$C71=""),"",PRODUCT(IF(NOT(ISERROR(FIND(EXP_MATRIX!$B$1:$Z$1,G$1))),EXP_MATRIX!$B71:$Z71,1))^IF(ISERROR(FIND("2",G$1)),1,2))</f>
        <v/>
      </c>
      <c r="H71" s="1" t="str" cm="1">
        <f t="array" ref="H71">IF(OR(H$1="",EXP_MATRIX!$C71=""),"",PRODUCT(IF(NOT(ISERROR(FIND(EXP_MATRIX!$B$1:$Z$1,H$1))),EXP_MATRIX!$B71:$Z71,1))^IF(ISERROR(FIND("2",H$1)),1,2))</f>
        <v/>
      </c>
      <c r="I71" s="1" t="str" cm="1">
        <f t="array" ref="I71">IF(OR(I$1="",EXP_MATRIX!$C71=""),"",PRODUCT(IF(NOT(ISERROR(FIND(EXP_MATRIX!$B$1:$Z$1,I$1))),EXP_MATRIX!$B71:$Z71,1))^IF(ISERROR(FIND("2",I$1)),1,2))</f>
        <v/>
      </c>
      <c r="J71" s="1" t="str" cm="1">
        <f t="array" ref="J71">IF(OR(J$1="",EXP_MATRIX!$C71=""),"",PRODUCT(IF(NOT(ISERROR(FIND(EXP_MATRIX!$B$1:$Z$1,J$1))),EXP_MATRIX!$B71:$Z71,1))^IF(ISERROR(FIND("2",J$1)),1,2))</f>
        <v/>
      </c>
      <c r="K71" s="1" t="str" cm="1">
        <f t="array" ref="K71">IF(OR(K$1="",EXP_MATRIX!$C71=""),"",PRODUCT(IF(NOT(ISERROR(FIND(EXP_MATRIX!$B$1:$Z$1,K$1))),EXP_MATRIX!$B71:$Z71,1))^IF(ISERROR(FIND("2",K$1)),1,2))</f>
        <v/>
      </c>
      <c r="L71" s="1" t="str" cm="1">
        <f t="array" ref="L71">IF(OR(L$1="",EXP_MATRIX!$C71=""),"",PRODUCT(IF(NOT(ISERROR(FIND(EXP_MATRIX!$B$1:$Z$1,L$1))),EXP_MATRIX!$B71:$Z71,1))^IF(ISERROR(FIND("2",L$1)),1,2))</f>
        <v/>
      </c>
      <c r="M71" s="1" t="str" cm="1">
        <f t="array" ref="M71">IF(OR(M$1="",EXP_MATRIX!$C71=""),"",PRODUCT(IF(NOT(ISERROR(FIND(EXP_MATRIX!$B$1:$Z$1,M$1))),EXP_MATRIX!$B71:$Z71,1))^IF(ISERROR(FIND("2",M$1)),1,2))</f>
        <v/>
      </c>
      <c r="N71" s="1" t="str" cm="1">
        <f t="array" ref="N71">IF(OR(N$1="",EXP_MATRIX!$C71=""),"",PRODUCT(IF(NOT(ISERROR(FIND(EXP_MATRIX!$B$1:$Z$1,N$1))),EXP_MATRIX!$B71:$Z71,1))^IF(ISERROR(FIND("2",N$1)),1,2))</f>
        <v/>
      </c>
      <c r="O71" s="1" t="str" cm="1">
        <f t="array" ref="O71">IF(OR(O$1="",EXP_MATRIX!$C71=""),"",PRODUCT(IF(NOT(ISERROR(FIND(EXP_MATRIX!$B$1:$Z$1,O$1))),EXP_MATRIX!$B71:$Z71,1))^IF(ISERROR(FIND("2",O$1)),1,2))</f>
        <v/>
      </c>
      <c r="P71" s="1" t="str" cm="1">
        <f t="array" ref="P71">IF(OR(P$1="",EXP_MATRIX!$C71=""),"",PRODUCT(IF(NOT(ISERROR(FIND(EXP_MATRIX!$B$1:$Z$1,P$1))),EXP_MATRIX!$B71:$Z71,1))^IF(ISERROR(FIND("2",P$1)),1,2))</f>
        <v/>
      </c>
      <c r="Q71" s="1" t="str" cm="1">
        <f t="array" ref="Q71">IF(OR(Q$1="",EXP_MATRIX!$C71=""),"",PRODUCT(IF(NOT(ISERROR(FIND(EXP_MATRIX!$B$1:$Z$1,Q$1))),EXP_MATRIX!$B71:$Z71,1))^IF(ISERROR(FIND("2",Q$1)),1,2))</f>
        <v/>
      </c>
      <c r="R71" s="1" t="str" cm="1">
        <f t="array" ref="R71">IF(OR(R$1="",EXP_MATRIX!$C71=""),"",PRODUCT(IF(NOT(ISERROR(FIND(EXP_MATRIX!$B$1:$Z$1,R$1))),EXP_MATRIX!$B71:$Z71,1))^IF(ISERROR(FIND("2",R$1)),1,2))</f>
        <v/>
      </c>
      <c r="S71" s="1" t="str" cm="1">
        <f t="array" ref="S71">IF(OR(S$1="",EXP_MATRIX!$C71=""),"",PRODUCT(IF(NOT(ISERROR(FIND(EXP_MATRIX!$B$1:$Z$1,S$1))),EXP_MATRIX!$B71:$Z71,1))^IF(ISERROR(FIND("2",S$1)),1,2))</f>
        <v/>
      </c>
      <c r="T71" s="1" t="str" cm="1">
        <f t="array" ref="T71">IF(OR(T$1="",EXP_MATRIX!$C71=""),"",PRODUCT(IF(NOT(ISERROR(FIND(EXP_MATRIX!$B$1:$Z$1,T$1))),EXP_MATRIX!$B71:$Z71,1))^IF(ISERROR(FIND("2",T$1)),1,2))</f>
        <v/>
      </c>
      <c r="U71" s="1" t="str" cm="1">
        <f t="array" ref="U71">IF(OR(U$1="",EXP_MATRIX!$C71=""),"",PRODUCT(IF(NOT(ISERROR(FIND(EXP_MATRIX!$B$1:$Z$1,U$1))),EXP_MATRIX!$B71:$Z71,1))^IF(ISERROR(FIND("2",U$1)),1,2))</f>
        <v/>
      </c>
      <c r="V71" s="1" t="str" cm="1">
        <f t="array" ref="V71">IF(OR(V$1="",EXP_MATRIX!$C71=""),"",PRODUCT(IF(NOT(ISERROR(FIND(EXP_MATRIX!$B$1:$Z$1,V$1))),EXP_MATRIX!$B71:$Z71,1))^IF(ISERROR(FIND("2",V$1)),1,2))</f>
        <v/>
      </c>
      <c r="W71" s="1" t="str" cm="1">
        <f t="array" ref="W71">IF(OR(W$1="",EXP_MATRIX!$C71=""),"",PRODUCT(IF(NOT(ISERROR(FIND(EXP_MATRIX!$B$1:$Z$1,W$1))),EXP_MATRIX!$B71:$Z71,1))^IF(ISERROR(FIND("2",W$1)),1,2))</f>
        <v/>
      </c>
      <c r="X71" s="1" t="str" cm="1">
        <f t="array" ref="X71">IF(OR(X$1="",EXP_MATRIX!$C71=""),"",PRODUCT(IF(NOT(ISERROR(FIND(EXP_MATRIX!$B$1:$Z$1,X$1))),EXP_MATRIX!$B71:$Z71,1))^IF(ISERROR(FIND("2",X$1)),1,2))</f>
        <v/>
      </c>
      <c r="Y71" s="1" t="str" cm="1">
        <f t="array" ref="Y71">IF(OR(Y$1="",EXP_MATRIX!$C71=""),"",PRODUCT(IF(NOT(ISERROR(FIND(EXP_MATRIX!$B$1:$Z$1,Y$1))),EXP_MATRIX!$B71:$Z71,1))^IF(ISERROR(FIND("2",Y$1)),1,2))</f>
        <v/>
      </c>
      <c r="Z71" s="1" t="str" cm="1">
        <f t="array" ref="Z71">IF(OR(Z$1="",EXP_MATRIX!$C71=""),"",PRODUCT(IF(NOT(ISERROR(FIND(EXP_MATRIX!$B$1:$Z$1,Z$1))),EXP_MATRIX!$B71:$Z71,1))^IF(ISERROR(FIND("2",Z$1)),1,2))</f>
        <v/>
      </c>
      <c r="AA71" s="1" t="str" cm="1">
        <f t="array" ref="AA71">IF(OR(AA$1="",EXP_MATRIX!$C71=""),"",PRODUCT(IF(NOT(ISERROR(FIND(EXP_MATRIX!$B$1:$Z$1,AA$1))),EXP_MATRIX!$B71:$Z71,1))^IF(ISERROR(FIND("2",AA$1)),1,2))</f>
        <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89527-E1AE-4FAF-BCD8-475F872AB18E}">
  <dimension ref="A1:J29"/>
  <sheetViews>
    <sheetView zoomScaleNormal="100" workbookViewId="0"/>
  </sheetViews>
  <sheetFormatPr baseColWidth="10" defaultRowHeight="15" x14ac:dyDescent="0.25"/>
  <cols>
    <col min="2" max="2" width="5.7109375" customWidth="1"/>
    <col min="3" max="3" width="13" bestFit="1" customWidth="1"/>
    <col min="4" max="4" width="5.7109375" customWidth="1"/>
    <col min="7" max="7" width="3.140625" customWidth="1"/>
    <col min="8" max="8" width="13.7109375" customWidth="1"/>
    <col min="11" max="11" width="3.42578125" customWidth="1"/>
  </cols>
  <sheetData>
    <row r="1" spans="1:10" x14ac:dyDescent="0.25">
      <c r="A1" t="s">
        <v>60</v>
      </c>
      <c r="C1">
        <f ca="1">E1</f>
        <v>0.83766710937499944</v>
      </c>
      <c r="E1">
        <f ca="1">MEDIAN(A5:A29)</f>
        <v>0.83766710937499944</v>
      </c>
      <c r="F1">
        <f ca="1">AVERAGE(A5:A29)</f>
        <v>0.45376360937499988</v>
      </c>
      <c r="H1" t="s">
        <v>98</v>
      </c>
    </row>
    <row r="2" spans="1:10" x14ac:dyDescent="0.25">
      <c r="A2" t="s">
        <v>97</v>
      </c>
      <c r="C2">
        <f ca="1">E2</f>
        <v>1.227359826723498</v>
      </c>
      <c r="E2">
        <f ca="1">(_xlfn.QUARTILE.INC(A5:A29,3)-_xlfn.QUARTILE.INC(A5:A29,1))/1.349</f>
        <v>1.227359826723498</v>
      </c>
      <c r="F2">
        <f ca="1">STDEV(A5:A29)</f>
        <v>1.2914173482912308</v>
      </c>
      <c r="H2" t="s">
        <v>99</v>
      </c>
      <c r="I2">
        <f ca="1">C3/6*(SKEW(A5:A29)/2+KURT(A5:A29)/4)</f>
        <v>-0.24372858388997606</v>
      </c>
    </row>
    <row r="3" spans="1:10" x14ac:dyDescent="0.25">
      <c r="A3" t="s">
        <v>61</v>
      </c>
      <c r="C3">
        <f ca="1">COUNT(A5:A29)</f>
        <v>5</v>
      </c>
      <c r="H3" t="s">
        <v>100</v>
      </c>
      <c r="I3" t="e">
        <f ca="1">_xlfn.CHISQ.DIST.RT(I2,2)</f>
        <v>#NUM!</v>
      </c>
    </row>
    <row r="5" spans="1:10" x14ac:dyDescent="0.25">
      <c r="A5" s="1">
        <f ca="1">MODEL_PARETO!B2</f>
        <v>-0.95248632812500045</v>
      </c>
      <c r="B5" t="str">
        <f ca="1">IF(A5="","",MODEL_PARETO!A2)</f>
        <v>A</v>
      </c>
      <c r="C5" cm="1">
        <f t="array" aca="1" ref="C5:D9" ca="1">_xlfn.SORTBY(OFFSET($A$5,0,0,C3,2),OFFSET($A$5,0,0,C3,1))</f>
        <v>-0.95248632812500045</v>
      </c>
      <c r="D5" t="str">
        <f ca="1"/>
        <v>A</v>
      </c>
      <c r="E5">
        <f t="shared" ref="E5:E29" ca="1" si="0">IF(A5="","",(ROW()-ROW($A$5)+0.5)/$C$3)</f>
        <v>0.1</v>
      </c>
      <c r="F5">
        <f t="shared" ref="F5:F29" ca="1" si="1">IF(A5="","",_xlfn.NORM.INV(E5,$C$1,$C$2))</f>
        <v>-0.73525779804904912</v>
      </c>
      <c r="H5">
        <f t="shared" ref="H5:H29" ca="1" si="2">IF(F5="",NA(),F5)</f>
        <v>-0.73525779804904912</v>
      </c>
      <c r="I5">
        <f t="shared" ref="I5:I29" ca="1" si="3">IF(C5="",NA(),C5)</f>
        <v>-0.95248632812500045</v>
      </c>
      <c r="J5" t="str">
        <f ca="1">IF(C5="",NA(),D5)</f>
        <v>A</v>
      </c>
    </row>
    <row r="6" spans="1:10" x14ac:dyDescent="0.25">
      <c r="A6" s="1">
        <f ca="1">MODEL_PARETO!B3</f>
        <v>2.167385078125001</v>
      </c>
      <c r="B6" t="str">
        <f ca="1">IF(A6="","",MODEL_PARETO!A3)</f>
        <v>C</v>
      </c>
      <c r="C6">
        <f ca="1"/>
        <v>-0.71972810937499965</v>
      </c>
      <c r="D6" t="str">
        <f ca="1"/>
        <v>AC</v>
      </c>
      <c r="E6">
        <f t="shared" ca="1" si="0"/>
        <v>0.3</v>
      </c>
      <c r="F6">
        <f t="shared" ca="1" si="1"/>
        <v>0.19403898696394484</v>
      </c>
      <c r="H6">
        <f t="shared" ca="1" si="2"/>
        <v>0.19403898696394484</v>
      </c>
      <c r="I6">
        <f t="shared" ca="1" si="3"/>
        <v>-0.71972810937499965</v>
      </c>
      <c r="J6" t="str">
        <f t="shared" ref="J6:J29" ca="1" si="4">IF(C6="",NA(),D6)</f>
        <v>AC</v>
      </c>
    </row>
    <row r="7" spans="1:10" x14ac:dyDescent="0.25">
      <c r="A7" s="1">
        <f ca="1">MODEL_PARETO!B4</f>
        <v>0.93598029687499906</v>
      </c>
      <c r="B7" t="str">
        <f ca="1">IF(A7="","",MODEL_PARETO!A4)</f>
        <v>E</v>
      </c>
      <c r="C7">
        <f ca="1"/>
        <v>0.83766710937499944</v>
      </c>
      <c r="D7" t="str">
        <f ca="1"/>
        <v>AE</v>
      </c>
      <c r="E7">
        <f t="shared" ca="1" si="0"/>
        <v>0.5</v>
      </c>
      <c r="F7">
        <f t="shared" ca="1" si="1"/>
        <v>0.83766710937499944</v>
      </c>
      <c r="H7">
        <f t="shared" ca="1" si="2"/>
        <v>0.83766710937499944</v>
      </c>
      <c r="I7">
        <f t="shared" ca="1" si="3"/>
        <v>0.83766710937499944</v>
      </c>
      <c r="J7" t="str">
        <f t="shared" ca="1" si="4"/>
        <v>AE</v>
      </c>
    </row>
    <row r="8" spans="1:10" x14ac:dyDescent="0.25">
      <c r="A8" s="1">
        <f ca="1">MODEL_PARETO!B5</f>
        <v>-0.71972810937499965</v>
      </c>
      <c r="B8" t="str">
        <f ca="1">IF(A8="","",MODEL_PARETO!A5)</f>
        <v>AC</v>
      </c>
      <c r="C8">
        <f ca="1"/>
        <v>0.93598029687499906</v>
      </c>
      <c r="D8" t="str">
        <f ca="1"/>
        <v>E</v>
      </c>
      <c r="E8">
        <f t="shared" ca="1" si="0"/>
        <v>0.7</v>
      </c>
      <c r="F8">
        <f t="shared" ca="1" si="1"/>
        <v>1.4812952317860537</v>
      </c>
      <c r="H8">
        <f t="shared" ca="1" si="2"/>
        <v>1.4812952317860537</v>
      </c>
      <c r="I8">
        <f t="shared" ca="1" si="3"/>
        <v>0.93598029687499906</v>
      </c>
      <c r="J8" t="str">
        <f t="shared" ca="1" si="4"/>
        <v>E</v>
      </c>
    </row>
    <row r="9" spans="1:10" x14ac:dyDescent="0.25">
      <c r="A9" s="1">
        <f ca="1">MODEL_PARETO!B6</f>
        <v>0.83766710937499944</v>
      </c>
      <c r="B9" t="str">
        <f ca="1">IF(A9="","",MODEL_PARETO!A6)</f>
        <v>AE</v>
      </c>
      <c r="C9">
        <f ca="1"/>
        <v>2.167385078125001</v>
      </c>
      <c r="D9" t="str">
        <f ca="1"/>
        <v>C</v>
      </c>
      <c r="E9">
        <f t="shared" ca="1" si="0"/>
        <v>0.9</v>
      </c>
      <c r="F9">
        <f t="shared" ca="1" si="1"/>
        <v>2.4105920167990478</v>
      </c>
      <c r="H9">
        <f t="shared" ca="1" si="2"/>
        <v>2.4105920167990478</v>
      </c>
      <c r="I9">
        <f t="shared" ca="1" si="3"/>
        <v>2.167385078125001</v>
      </c>
      <c r="J9" t="str">
        <f t="shared" ca="1" si="4"/>
        <v>C</v>
      </c>
    </row>
    <row r="10" spans="1:10" x14ac:dyDescent="0.25">
      <c r="A10" s="1" t="str">
        <f ca="1">MODEL_PARETO!B7</f>
        <v/>
      </c>
      <c r="B10" t="str">
        <f ca="1">IF(A10="","",MODEL_PARETO!A7)</f>
        <v/>
      </c>
      <c r="E10" t="str">
        <f t="shared" ca="1" si="0"/>
        <v/>
      </c>
      <c r="F10" t="str">
        <f t="shared" ca="1" si="1"/>
        <v/>
      </c>
      <c r="H10" t="e">
        <f t="shared" ca="1" si="2"/>
        <v>#N/A</v>
      </c>
      <c r="I10" t="e">
        <f t="shared" si="3"/>
        <v>#N/A</v>
      </c>
      <c r="J10" t="e">
        <f t="shared" si="4"/>
        <v>#N/A</v>
      </c>
    </row>
    <row r="11" spans="1:10" x14ac:dyDescent="0.25">
      <c r="A11" s="1" t="str">
        <f ca="1">MODEL_PARETO!B8</f>
        <v/>
      </c>
      <c r="B11" t="str">
        <f ca="1">IF(A11="","",MODEL_PARETO!A8)</f>
        <v/>
      </c>
      <c r="E11" t="str">
        <f t="shared" ca="1" si="0"/>
        <v/>
      </c>
      <c r="F11" t="str">
        <f t="shared" ca="1" si="1"/>
        <v/>
      </c>
      <c r="H11" t="e">
        <f t="shared" ca="1" si="2"/>
        <v>#N/A</v>
      </c>
      <c r="I11" t="e">
        <f t="shared" si="3"/>
        <v>#N/A</v>
      </c>
      <c r="J11" t="e">
        <f t="shared" si="4"/>
        <v>#N/A</v>
      </c>
    </row>
    <row r="12" spans="1:10" x14ac:dyDescent="0.25">
      <c r="A12" s="1" t="str">
        <f ca="1">MODEL_PARETO!B9</f>
        <v/>
      </c>
      <c r="B12" t="str">
        <f ca="1">IF(A12="","",MODEL_PARETO!A9)</f>
        <v/>
      </c>
      <c r="E12" t="str">
        <f t="shared" ca="1" si="0"/>
        <v/>
      </c>
      <c r="F12" t="str">
        <f t="shared" ca="1" si="1"/>
        <v/>
      </c>
      <c r="H12" t="e">
        <f t="shared" ca="1" si="2"/>
        <v>#N/A</v>
      </c>
      <c r="I12" t="e">
        <f t="shared" si="3"/>
        <v>#N/A</v>
      </c>
      <c r="J12" t="e">
        <f t="shared" si="4"/>
        <v>#N/A</v>
      </c>
    </row>
    <row r="13" spans="1:10" x14ac:dyDescent="0.25">
      <c r="A13" s="1" t="str">
        <f ca="1">MODEL_PARETO!B10</f>
        <v/>
      </c>
      <c r="B13" t="str">
        <f ca="1">IF(A13="","",MODEL_PARETO!A10)</f>
        <v/>
      </c>
      <c r="E13" t="str">
        <f t="shared" ca="1" si="0"/>
        <v/>
      </c>
      <c r="F13" t="str">
        <f t="shared" ca="1" si="1"/>
        <v/>
      </c>
      <c r="H13" t="e">
        <f t="shared" ca="1" si="2"/>
        <v>#N/A</v>
      </c>
      <c r="I13" t="e">
        <f t="shared" si="3"/>
        <v>#N/A</v>
      </c>
      <c r="J13" t="e">
        <f t="shared" si="4"/>
        <v>#N/A</v>
      </c>
    </row>
    <row r="14" spans="1:10" x14ac:dyDescent="0.25">
      <c r="A14" s="1" t="str">
        <f ca="1">MODEL_PARETO!B11</f>
        <v/>
      </c>
      <c r="B14" t="str">
        <f ca="1">IF(A14="","",MODEL_PARETO!A11)</f>
        <v/>
      </c>
      <c r="E14" t="str">
        <f t="shared" ca="1" si="0"/>
        <v/>
      </c>
      <c r="F14" t="str">
        <f t="shared" ca="1" si="1"/>
        <v/>
      </c>
      <c r="H14" t="e">
        <f t="shared" ca="1" si="2"/>
        <v>#N/A</v>
      </c>
      <c r="I14" t="e">
        <f t="shared" si="3"/>
        <v>#N/A</v>
      </c>
      <c r="J14" t="e">
        <f t="shared" si="4"/>
        <v>#N/A</v>
      </c>
    </row>
    <row r="15" spans="1:10" x14ac:dyDescent="0.25">
      <c r="A15" s="1" t="str">
        <f ca="1">MODEL_PARETO!B12</f>
        <v/>
      </c>
      <c r="B15" t="str">
        <f ca="1">IF(A15="","",MODEL_PARETO!A12)</f>
        <v/>
      </c>
      <c r="E15" t="str">
        <f t="shared" ca="1" si="0"/>
        <v/>
      </c>
      <c r="F15" t="str">
        <f t="shared" ca="1" si="1"/>
        <v/>
      </c>
      <c r="H15" t="e">
        <f t="shared" ca="1" si="2"/>
        <v>#N/A</v>
      </c>
      <c r="I15" t="e">
        <f t="shared" si="3"/>
        <v>#N/A</v>
      </c>
      <c r="J15" t="e">
        <f t="shared" si="4"/>
        <v>#N/A</v>
      </c>
    </row>
    <row r="16" spans="1:10" x14ac:dyDescent="0.25">
      <c r="A16" s="1" t="str">
        <f ca="1">MODEL_PARETO!B13</f>
        <v/>
      </c>
      <c r="B16" t="str">
        <f ca="1">IF(A16="","",MODEL_PARETO!A13)</f>
        <v/>
      </c>
      <c r="E16" t="str">
        <f t="shared" ca="1" si="0"/>
        <v/>
      </c>
      <c r="F16" t="str">
        <f t="shared" ca="1" si="1"/>
        <v/>
      </c>
      <c r="H16" t="e">
        <f t="shared" ca="1" si="2"/>
        <v>#N/A</v>
      </c>
      <c r="I16" t="e">
        <f t="shared" si="3"/>
        <v>#N/A</v>
      </c>
      <c r="J16" t="e">
        <f t="shared" si="4"/>
        <v>#N/A</v>
      </c>
    </row>
    <row r="17" spans="1:10" x14ac:dyDescent="0.25">
      <c r="A17" s="1" t="str">
        <f ca="1">MODEL_PARETO!B14</f>
        <v/>
      </c>
      <c r="B17" t="str">
        <f ca="1">IF(A17="","",MODEL_PARETO!A14)</f>
        <v/>
      </c>
      <c r="E17" t="str">
        <f t="shared" ca="1" si="0"/>
        <v/>
      </c>
      <c r="F17" t="str">
        <f t="shared" ca="1" si="1"/>
        <v/>
      </c>
      <c r="H17" t="e">
        <f t="shared" ca="1" si="2"/>
        <v>#N/A</v>
      </c>
      <c r="I17" t="e">
        <f t="shared" si="3"/>
        <v>#N/A</v>
      </c>
      <c r="J17" t="e">
        <f t="shared" si="4"/>
        <v>#N/A</v>
      </c>
    </row>
    <row r="18" spans="1:10" x14ac:dyDescent="0.25">
      <c r="A18" s="1" t="str">
        <f ca="1">MODEL_PARETO!B15</f>
        <v/>
      </c>
      <c r="B18" t="str">
        <f ca="1">IF(A18="","",MODEL_PARETO!A15)</f>
        <v/>
      </c>
      <c r="E18" t="str">
        <f t="shared" ca="1" si="0"/>
        <v/>
      </c>
      <c r="F18" t="str">
        <f t="shared" ca="1" si="1"/>
        <v/>
      </c>
      <c r="H18" t="e">
        <f t="shared" ca="1" si="2"/>
        <v>#N/A</v>
      </c>
      <c r="I18" t="e">
        <f t="shared" si="3"/>
        <v>#N/A</v>
      </c>
      <c r="J18" t="e">
        <f t="shared" si="4"/>
        <v>#N/A</v>
      </c>
    </row>
    <row r="19" spans="1:10" x14ac:dyDescent="0.25">
      <c r="A19" s="1" t="str">
        <f ca="1">MODEL_PARETO!B16</f>
        <v/>
      </c>
      <c r="B19" t="str">
        <f ca="1">IF(A19="","",MODEL_PARETO!A16)</f>
        <v/>
      </c>
      <c r="E19" t="str">
        <f t="shared" ca="1" si="0"/>
        <v/>
      </c>
      <c r="F19" t="str">
        <f t="shared" ca="1" si="1"/>
        <v/>
      </c>
      <c r="H19" t="e">
        <f t="shared" ca="1" si="2"/>
        <v>#N/A</v>
      </c>
      <c r="I19" t="e">
        <f t="shared" si="3"/>
        <v>#N/A</v>
      </c>
      <c r="J19" t="e">
        <f t="shared" si="4"/>
        <v>#N/A</v>
      </c>
    </row>
    <row r="20" spans="1:10" x14ac:dyDescent="0.25">
      <c r="A20" s="1" t="str">
        <f ca="1">MODEL_PARETO!B17</f>
        <v/>
      </c>
      <c r="B20" t="str">
        <f ca="1">IF(A20="","",MODEL_PARETO!A17)</f>
        <v/>
      </c>
      <c r="E20" t="str">
        <f t="shared" ca="1" si="0"/>
        <v/>
      </c>
      <c r="F20" t="str">
        <f t="shared" ca="1" si="1"/>
        <v/>
      </c>
      <c r="H20" t="e">
        <f t="shared" ca="1" si="2"/>
        <v>#N/A</v>
      </c>
      <c r="I20" t="e">
        <f t="shared" si="3"/>
        <v>#N/A</v>
      </c>
      <c r="J20" t="e">
        <f t="shared" si="4"/>
        <v>#N/A</v>
      </c>
    </row>
    <row r="21" spans="1:10" x14ac:dyDescent="0.25">
      <c r="A21" s="1" t="str">
        <f ca="1">MODEL_PARETO!B18</f>
        <v/>
      </c>
      <c r="B21" t="str">
        <f ca="1">IF(A21="","",MODEL_PARETO!A18)</f>
        <v/>
      </c>
      <c r="E21" t="str">
        <f t="shared" ca="1" si="0"/>
        <v/>
      </c>
      <c r="F21" t="str">
        <f t="shared" ca="1" si="1"/>
        <v/>
      </c>
      <c r="H21" t="e">
        <f t="shared" ca="1" si="2"/>
        <v>#N/A</v>
      </c>
      <c r="I21" t="e">
        <f t="shared" si="3"/>
        <v>#N/A</v>
      </c>
      <c r="J21" t="e">
        <f t="shared" si="4"/>
        <v>#N/A</v>
      </c>
    </row>
    <row r="22" spans="1:10" x14ac:dyDescent="0.25">
      <c r="A22" s="1" t="str">
        <f ca="1">MODEL_PARETO!B19</f>
        <v/>
      </c>
      <c r="B22" t="str">
        <f ca="1">IF(A22="","",MODEL_PARETO!A19)</f>
        <v/>
      </c>
      <c r="E22" t="str">
        <f t="shared" ca="1" si="0"/>
        <v/>
      </c>
      <c r="F22" t="str">
        <f t="shared" ca="1" si="1"/>
        <v/>
      </c>
      <c r="H22" t="e">
        <f t="shared" ca="1" si="2"/>
        <v>#N/A</v>
      </c>
      <c r="I22" t="e">
        <f t="shared" si="3"/>
        <v>#N/A</v>
      </c>
      <c r="J22" t="e">
        <f t="shared" si="4"/>
        <v>#N/A</v>
      </c>
    </row>
    <row r="23" spans="1:10" x14ac:dyDescent="0.25">
      <c r="A23" s="1" t="str">
        <f ca="1">MODEL_PARETO!B20</f>
        <v/>
      </c>
      <c r="B23" t="str">
        <f ca="1">IF(A23="","",MODEL_PARETO!A20)</f>
        <v/>
      </c>
      <c r="E23" t="str">
        <f t="shared" ca="1" si="0"/>
        <v/>
      </c>
      <c r="F23" t="str">
        <f t="shared" ca="1" si="1"/>
        <v/>
      </c>
      <c r="H23" t="e">
        <f t="shared" ca="1" si="2"/>
        <v>#N/A</v>
      </c>
      <c r="I23" t="e">
        <f t="shared" si="3"/>
        <v>#N/A</v>
      </c>
      <c r="J23" t="e">
        <f t="shared" si="4"/>
        <v>#N/A</v>
      </c>
    </row>
    <row r="24" spans="1:10" x14ac:dyDescent="0.25">
      <c r="A24" s="1" t="str">
        <f ca="1">MODEL_PARETO!B21</f>
        <v/>
      </c>
      <c r="B24" t="str">
        <f ca="1">IF(A24="","",MODEL_PARETO!A21)</f>
        <v/>
      </c>
      <c r="E24" t="str">
        <f t="shared" ca="1" si="0"/>
        <v/>
      </c>
      <c r="F24" t="str">
        <f t="shared" ca="1" si="1"/>
        <v/>
      </c>
      <c r="H24" t="e">
        <f t="shared" ca="1" si="2"/>
        <v>#N/A</v>
      </c>
      <c r="I24" t="e">
        <f t="shared" si="3"/>
        <v>#N/A</v>
      </c>
      <c r="J24" t="e">
        <f t="shared" si="4"/>
        <v>#N/A</v>
      </c>
    </row>
    <row r="25" spans="1:10" x14ac:dyDescent="0.25">
      <c r="A25" s="1" t="str">
        <f ca="1">MODEL_PARETO!B22</f>
        <v/>
      </c>
      <c r="B25" t="str">
        <f ca="1">IF(A25="","",MODEL_PARETO!A22)</f>
        <v/>
      </c>
      <c r="E25" t="str">
        <f t="shared" ca="1" si="0"/>
        <v/>
      </c>
      <c r="F25" t="str">
        <f t="shared" ca="1" si="1"/>
        <v/>
      </c>
      <c r="H25" t="e">
        <f t="shared" ca="1" si="2"/>
        <v>#N/A</v>
      </c>
      <c r="I25" t="e">
        <f t="shared" si="3"/>
        <v>#N/A</v>
      </c>
      <c r="J25" t="e">
        <f t="shared" si="4"/>
        <v>#N/A</v>
      </c>
    </row>
    <row r="26" spans="1:10" x14ac:dyDescent="0.25">
      <c r="A26" s="1" t="str">
        <f ca="1">MODEL_PARETO!B23</f>
        <v/>
      </c>
      <c r="B26" t="str">
        <f ca="1">IF(A26="","",MODEL_PARETO!A23)</f>
        <v/>
      </c>
      <c r="E26" t="str">
        <f t="shared" ca="1" si="0"/>
        <v/>
      </c>
      <c r="F26" t="str">
        <f t="shared" ca="1" si="1"/>
        <v/>
      </c>
      <c r="H26" t="e">
        <f t="shared" ca="1" si="2"/>
        <v>#N/A</v>
      </c>
      <c r="I26" t="e">
        <f t="shared" si="3"/>
        <v>#N/A</v>
      </c>
      <c r="J26" t="e">
        <f t="shared" si="4"/>
        <v>#N/A</v>
      </c>
    </row>
    <row r="27" spans="1:10" x14ac:dyDescent="0.25">
      <c r="A27" s="1" t="str">
        <f ca="1">MODEL_PARETO!B24</f>
        <v/>
      </c>
      <c r="B27" t="str">
        <f ca="1">IF(A27="","",MODEL_PARETO!A24)</f>
        <v/>
      </c>
      <c r="E27" t="str">
        <f t="shared" ca="1" si="0"/>
        <v/>
      </c>
      <c r="F27" t="str">
        <f t="shared" ca="1" si="1"/>
        <v/>
      </c>
      <c r="H27" t="e">
        <f t="shared" ca="1" si="2"/>
        <v>#N/A</v>
      </c>
      <c r="I27" t="e">
        <f t="shared" si="3"/>
        <v>#N/A</v>
      </c>
      <c r="J27" t="e">
        <f t="shared" si="4"/>
        <v>#N/A</v>
      </c>
    </row>
    <row r="28" spans="1:10" x14ac:dyDescent="0.25">
      <c r="A28" s="1" t="str">
        <f ca="1">MODEL_PARETO!B25</f>
        <v/>
      </c>
      <c r="B28" t="str">
        <f ca="1">IF(A28="","",MODEL_PARETO!A25)</f>
        <v/>
      </c>
      <c r="E28" t="str">
        <f t="shared" ca="1" si="0"/>
        <v/>
      </c>
      <c r="F28" t="str">
        <f t="shared" ca="1" si="1"/>
        <v/>
      </c>
      <c r="H28" t="e">
        <f t="shared" ca="1" si="2"/>
        <v>#N/A</v>
      </c>
      <c r="I28" t="e">
        <f t="shared" si="3"/>
        <v>#N/A</v>
      </c>
      <c r="J28" t="e">
        <f t="shared" si="4"/>
        <v>#N/A</v>
      </c>
    </row>
    <row r="29" spans="1:10" x14ac:dyDescent="0.25">
      <c r="A29" s="1" t="str">
        <f ca="1">MODEL_PARETO!B26</f>
        <v/>
      </c>
      <c r="B29" t="str">
        <f ca="1">IF(A29="","",MODEL_PARETO!A26)</f>
        <v/>
      </c>
      <c r="E29" t="str">
        <f t="shared" ca="1" si="0"/>
        <v/>
      </c>
      <c r="F29" t="str">
        <f t="shared" ca="1" si="1"/>
        <v/>
      </c>
      <c r="H29" t="e">
        <f t="shared" ca="1" si="2"/>
        <v>#N/A</v>
      </c>
      <c r="I29" t="e">
        <f t="shared" si="3"/>
        <v>#N/A</v>
      </c>
      <c r="J29" t="e">
        <f t="shared" si="4"/>
        <v>#N/A</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F1B16-B7F8-4945-B262-0C4A7508170F}">
  <dimension ref="A1:M71"/>
  <sheetViews>
    <sheetView zoomScaleNormal="100" workbookViewId="0"/>
  </sheetViews>
  <sheetFormatPr baseColWidth="10" defaultRowHeight="15" x14ac:dyDescent="0.25"/>
  <cols>
    <col min="1" max="1" width="3" bestFit="1" customWidth="1"/>
    <col min="3" max="3" width="55.5703125" customWidth="1"/>
    <col min="7" max="7" width="13.5703125" bestFit="1" customWidth="1"/>
    <col min="10" max="10" width="15.85546875" customWidth="1"/>
  </cols>
  <sheetData>
    <row r="1" spans="1:13" x14ac:dyDescent="0.25">
      <c r="A1" t="str">
        <f>IF(MODEL_MATRIX!A1="","",MODEL_MATRIX!A1)</f>
        <v/>
      </c>
      <c r="B1" s="10" t="str">
        <f>IF(MODEL_MATRIX!B1="","",MODEL_MATRIX!B1)</f>
        <v>Y</v>
      </c>
      <c r="C1" t="s">
        <v>58</v>
      </c>
      <c r="D1" t="s">
        <v>60</v>
      </c>
      <c r="E1" t="s">
        <v>63</v>
      </c>
      <c r="G1" t="s">
        <v>64</v>
      </c>
      <c r="J1" t="s">
        <v>59</v>
      </c>
      <c r="K1" t="s">
        <v>60</v>
      </c>
      <c r="L1" t="s">
        <v>61</v>
      </c>
      <c r="M1" t="s">
        <v>65</v>
      </c>
    </row>
    <row r="2" spans="1:13" x14ac:dyDescent="0.25">
      <c r="A2">
        <f>IF(MODEL_MATRIX!A2="","",MODEL_MATRIX!A2)</f>
        <v>1</v>
      </c>
      <c r="B2" s="9">
        <f>IF(MODEL_MATRIX!B2="","",MODEL_MATRIX!B2)</f>
        <v>4.2919815187500001</v>
      </c>
      <c r="C2" s="1" t="str">
        <f>_xlfn.CONCAT(MODEL_MATRIX!C2:AA2)</f>
        <v>-1-1-111</v>
      </c>
      <c r="D2">
        <f>VLOOKUP(C2,$J$2:$K$71,2,0)</f>
        <v>4.9096153937500002</v>
      </c>
      <c r="E2">
        <f>IF(B2="","",(B2-D2)^2)</f>
        <v>0.38147160354751575</v>
      </c>
      <c r="G2">
        <f>SUM(E2:E71)</f>
        <v>12.313622098391987</v>
      </c>
      <c r="J2" s="1" t="str" cm="1">
        <f t="array" ref="J2:J10">_xlfn.UNIQUE(C2:C71)</f>
        <v>-1-1-111</v>
      </c>
      <c r="K2">
        <f t="array" ref="K2">IF(J2="","",AVERAGE(IF($C$2:$C$71=J2,$B$2:$B$71,"")))</f>
        <v>4.9096153937500002</v>
      </c>
      <c r="L2">
        <f t="array" ref="L2">IF(J2="","",COUNT(IF($C$2:$C$71=J2,$B$2:$B$71,"")))</f>
        <v>4</v>
      </c>
      <c r="M2">
        <f>IF(L2="","",L2-1)</f>
        <v>3</v>
      </c>
    </row>
    <row r="3" spans="1:13" x14ac:dyDescent="0.25">
      <c r="A3">
        <f>IF(MODEL_MATRIX!A3="","",MODEL_MATRIX!A3)</f>
        <v>2</v>
      </c>
      <c r="B3" s="1">
        <f>IF(MODEL_MATRIX!B3="","",MODEL_MATRIX!B3)</f>
        <v>4.00793976875</v>
      </c>
      <c r="C3" s="1" t="str">
        <f>_xlfn.CONCAT(MODEL_MATRIX!C3:AA3)</f>
        <v>1-1-1-1-1</v>
      </c>
      <c r="D3">
        <f t="shared" ref="D3:D66" si="0">VLOOKUP(C3,$J$2:$K$71,2,0)</f>
        <v>4.3384021437499998</v>
      </c>
      <c r="E3">
        <f t="shared" ref="E3:E66" si="1">IF(B3="","",(B3-D3)^2)</f>
        <v>0.10920538129064046</v>
      </c>
      <c r="J3" s="1" t="str">
        <v>1-1-1-1-1</v>
      </c>
      <c r="K3">
        <f t="array" ref="K3">IF(J3="","",AVERAGE(IF($C$2:$C$71=J3,$B$2:$B$71,"")))</f>
        <v>4.3384021437499998</v>
      </c>
      <c r="L3">
        <f t="array" ref="L3">IF(J3="","",COUNT(IF($C$2:$C$71=J3,$B$2:$B$71,"")))</f>
        <v>4</v>
      </c>
      <c r="M3">
        <f t="shared" ref="M3:M66" si="2">IF(L3="","",L3-1)</f>
        <v>3</v>
      </c>
    </row>
    <row r="4" spans="1:13" x14ac:dyDescent="0.25">
      <c r="A4">
        <f>IF(MODEL_MATRIX!A4="","",MODEL_MATRIX!A4)</f>
        <v>3</v>
      </c>
      <c r="B4" s="1">
        <f>IF(MODEL_MATRIX!B4="","",MODEL_MATRIX!B4)</f>
        <v>5.1804760187500003</v>
      </c>
      <c r="C4" s="1" t="str">
        <f>_xlfn.CONCAT(MODEL_MATRIX!C4:AA4)</f>
        <v>-1-1-111</v>
      </c>
      <c r="D4">
        <f t="shared" si="0"/>
        <v>4.9096153937500002</v>
      </c>
      <c r="E4">
        <f t="shared" si="1"/>
        <v>7.3365478175390672E-2</v>
      </c>
      <c r="G4" t="s">
        <v>68</v>
      </c>
      <c r="J4" s="1" t="str">
        <v>-11-1-11</v>
      </c>
      <c r="K4">
        <f t="array" ref="K4">IF(J4="","",AVERAGE(IF($C$2:$C$71=J4,$B$2:$B$71,"")))</f>
        <v>7.9224157687499996</v>
      </c>
      <c r="L4">
        <f t="array" ref="L4">IF(J4="","",COUNT(IF($C$2:$C$71=J4,$B$2:$B$71,"")))</f>
        <v>4</v>
      </c>
      <c r="M4">
        <f t="shared" si="2"/>
        <v>3</v>
      </c>
    </row>
    <row r="5" spans="1:13" x14ac:dyDescent="0.25">
      <c r="A5">
        <f>IF(MODEL_MATRIX!A5="","",MODEL_MATRIX!A5)</f>
        <v>4</v>
      </c>
      <c r="B5" s="1">
        <f>IF(MODEL_MATRIX!B5="","",MODEL_MATRIX!B5)</f>
        <v>4.6917005187500003</v>
      </c>
      <c r="C5" s="1" t="str">
        <f>_xlfn.CONCAT(MODEL_MATRIX!C5:AA5)</f>
        <v>1-1-1-1-1</v>
      </c>
      <c r="D5">
        <f t="shared" si="0"/>
        <v>4.3384021437499998</v>
      </c>
      <c r="E5">
        <f t="shared" si="1"/>
        <v>0.12481974177764098</v>
      </c>
      <c r="G5">
        <f>SUM(M2:M71)</f>
        <v>24</v>
      </c>
      <c r="J5" s="1" t="str">
        <v>11-11-1</v>
      </c>
      <c r="K5">
        <f t="array" ref="K5">IF(J5="","",AVERAGE(IF($C$2:$C$71=J5,$B$2:$B$71,"")))</f>
        <v>4.9133221437499994</v>
      </c>
      <c r="L5">
        <f t="array" ref="L5">IF(J5="","",COUNT(IF($C$2:$C$71=J5,$B$2:$B$71,"")))</f>
        <v>4</v>
      </c>
      <c r="M5">
        <f t="shared" si="2"/>
        <v>3</v>
      </c>
    </row>
    <row r="6" spans="1:13" x14ac:dyDescent="0.25">
      <c r="A6">
        <f>IF(MODEL_MATRIX!A6="","",MODEL_MATRIX!A6)</f>
        <v>5</v>
      </c>
      <c r="B6" s="1">
        <f>IF(MODEL_MATRIX!B6="","",MODEL_MATRIX!B6)</f>
        <v>8.5331880187499998</v>
      </c>
      <c r="C6" s="1" t="str">
        <f>_xlfn.CONCAT(MODEL_MATRIX!C6:AA6)</f>
        <v>-11-1-11</v>
      </c>
      <c r="D6">
        <f t="shared" si="0"/>
        <v>7.9224157687499996</v>
      </c>
      <c r="E6">
        <f t="shared" si="1"/>
        <v>0.37304274137006266</v>
      </c>
      <c r="J6" s="1" t="str">
        <v>-1-111-1</v>
      </c>
      <c r="K6">
        <f t="array" ref="K6">IF(J6="","",AVERAGE(IF($C$2:$C$71=J6,$B$2:$B$71,"")))</f>
        <v>5.1336157687500004</v>
      </c>
      <c r="L6">
        <f t="array" ref="L6">IF(J6="","",COUNT(IF($C$2:$C$71=J6,$B$2:$B$71,"")))</f>
        <v>4</v>
      </c>
      <c r="M6">
        <f t="shared" si="2"/>
        <v>3</v>
      </c>
    </row>
    <row r="7" spans="1:13" x14ac:dyDescent="0.25">
      <c r="A7">
        <f>IF(MODEL_MATRIX!A7="","",MODEL_MATRIX!A7)</f>
        <v>6</v>
      </c>
      <c r="B7" s="1">
        <f>IF(MODEL_MATRIX!B7="","",MODEL_MATRIX!B7)</f>
        <v>4.3121690187499997</v>
      </c>
      <c r="C7" s="1" t="str">
        <f>_xlfn.CONCAT(MODEL_MATRIX!C7:AA7)</f>
        <v>11-11-1</v>
      </c>
      <c r="D7">
        <f t="shared" si="0"/>
        <v>4.9133221437499994</v>
      </c>
      <c r="E7">
        <f t="shared" si="1"/>
        <v>0.3613850796972653</v>
      </c>
      <c r="G7" t="s">
        <v>87</v>
      </c>
      <c r="J7" s="1" t="str">
        <v>1-11-11</v>
      </c>
      <c r="K7">
        <f t="array" ref="K7">IF(J7="","",AVERAGE(IF($C$2:$C$71=J7,$B$2:$B$71,"")))</f>
        <v>5.2393125812500001</v>
      </c>
      <c r="L7">
        <f t="array" ref="L7">IF(J7="","",COUNT(IF($C$2:$C$71=J7,$B$2:$B$71,"")))</f>
        <v>4</v>
      </c>
      <c r="M7">
        <f t="shared" si="2"/>
        <v>3</v>
      </c>
    </row>
    <row r="8" spans="1:13" x14ac:dyDescent="0.25">
      <c r="A8">
        <f>IF(MODEL_MATRIX!A8="","",MODEL_MATRIX!A8)</f>
        <v>7</v>
      </c>
      <c r="B8" s="1">
        <f>IF(MODEL_MATRIX!B8="","",MODEL_MATRIX!B8)</f>
        <v>8.3170460187500002</v>
      </c>
      <c r="C8" s="1" t="str">
        <f>_xlfn.CONCAT(MODEL_MATRIX!C8:AA8)</f>
        <v>-11-1-11</v>
      </c>
      <c r="D8">
        <f t="shared" si="0"/>
        <v>7.9224157687499996</v>
      </c>
      <c r="E8">
        <f t="shared" si="1"/>
        <v>0.1557330342150629</v>
      </c>
      <c r="G8" t="b">
        <f>COUNT(L2:L71)=COUNTIF(L2:L71,L2)</f>
        <v>1</v>
      </c>
      <c r="J8" s="1" t="str">
        <v>-111-1-1</v>
      </c>
      <c r="K8">
        <f t="array" ref="K8">IF(J8="","",AVERAGE(IF($C$2:$C$71=J8,$B$2:$B$71,"")))</f>
        <v>7.8950417687500005</v>
      </c>
      <c r="L8">
        <f t="array" ref="L8">IF(J8="","",COUNT(IF($C$2:$C$71=J8,$B$2:$B$71,"")))</f>
        <v>4</v>
      </c>
      <c r="M8">
        <f t="shared" si="2"/>
        <v>3</v>
      </c>
    </row>
    <row r="9" spans="1:13" x14ac:dyDescent="0.25">
      <c r="A9">
        <f>IF(MODEL_MATRIX!A9="","",MODEL_MATRIX!A9)</f>
        <v>8</v>
      </c>
      <c r="B9" s="1">
        <f>IF(MODEL_MATRIX!B9="","",MODEL_MATRIX!B9)</f>
        <v>4.2429670187499999</v>
      </c>
      <c r="C9" s="1" t="str">
        <f>_xlfn.CONCAT(MODEL_MATRIX!C9:AA9)</f>
        <v>11-11-1</v>
      </c>
      <c r="D9">
        <f t="shared" si="0"/>
        <v>4.9133221437499994</v>
      </c>
      <c r="E9">
        <f t="shared" si="1"/>
        <v>0.44937599361376496</v>
      </c>
      <c r="J9" s="1" t="str">
        <v>11111</v>
      </c>
      <c r="K9">
        <f t="array" ref="K9">IF(J9="","",AVERAGE(IF($C$2:$C$71=J9,$B$2:$B$71,"")))</f>
        <v>7.5597065187499997</v>
      </c>
      <c r="L9">
        <f t="array" ref="L9">IF(J9="","",COUNT(IF($C$2:$C$71=J9,$B$2:$B$71,"")))</f>
        <v>4</v>
      </c>
      <c r="M9">
        <f t="shared" si="2"/>
        <v>3</v>
      </c>
    </row>
    <row r="10" spans="1:13" x14ac:dyDescent="0.25">
      <c r="A10">
        <f>IF(MODEL_MATRIX!A10="","",MODEL_MATRIX!A10)</f>
        <v>9</v>
      </c>
      <c r="B10" s="1">
        <f>IF(MODEL_MATRIX!B10="","",MODEL_MATRIX!B10)</f>
        <v>4.7379400187499998</v>
      </c>
      <c r="C10" s="1" t="str">
        <f>_xlfn.CONCAT(MODEL_MATRIX!C10:AA10)</f>
        <v>-1-1-111</v>
      </c>
      <c r="D10">
        <f t="shared" si="0"/>
        <v>4.9096153937500002</v>
      </c>
      <c r="E10">
        <f t="shared" si="1"/>
        <v>2.9472434381390765E-2</v>
      </c>
      <c r="J10" s="1" t="str">
        <v/>
      </c>
      <c r="K10" t="str">
        <f t="array" ref="K10">IF(J10="","",AVERAGE(IF($C$2:$C$71=J10,$B$2:$B$71,"")))</f>
        <v/>
      </c>
      <c r="L10" t="str">
        <f t="array" ref="L10">IF(J10="","",COUNT(IF($C$2:$C$71=J10,$B$2:$B$71,"")))</f>
        <v/>
      </c>
      <c r="M10" t="str">
        <f t="shared" si="2"/>
        <v/>
      </c>
    </row>
    <row r="11" spans="1:13" x14ac:dyDescent="0.25">
      <c r="A11">
        <f>IF(MODEL_MATRIX!A11="","",MODEL_MATRIX!A11)</f>
        <v>10</v>
      </c>
      <c r="B11" s="1">
        <f>IF(MODEL_MATRIX!B11="","",MODEL_MATRIX!B11)</f>
        <v>3.8313652687499999</v>
      </c>
      <c r="C11" s="1" t="str">
        <f>_xlfn.CONCAT(MODEL_MATRIX!C11:AA11)</f>
        <v>1-1-1-1-1</v>
      </c>
      <c r="D11">
        <f t="shared" si="0"/>
        <v>4.3384021437499998</v>
      </c>
      <c r="E11">
        <f t="shared" si="1"/>
        <v>0.25708639260976546</v>
      </c>
      <c r="J11" s="1"/>
      <c r="K11" t="str">
        <f t="array" ref="K11">IF(J11="","",AVERAGE(IF($C$2:$C$71=J11,$B$2:$B$71,"")))</f>
        <v/>
      </c>
      <c r="L11" t="str">
        <f t="array" ref="L11">IF(J11="","",COUNT(IF($C$2:$C$71=J11,$B$2:$B$71,"")))</f>
        <v/>
      </c>
      <c r="M11" t="str">
        <f t="shared" si="2"/>
        <v/>
      </c>
    </row>
    <row r="12" spans="1:13" x14ac:dyDescent="0.25">
      <c r="A12">
        <f>IF(MODEL_MATRIX!A12="","",MODEL_MATRIX!A12)</f>
        <v>11</v>
      </c>
      <c r="B12" s="1">
        <f>IF(MODEL_MATRIX!B12="","",MODEL_MATRIX!B12)</f>
        <v>5.4280640187499998</v>
      </c>
      <c r="C12" s="1" t="str">
        <f>_xlfn.CONCAT(MODEL_MATRIX!C12:AA12)</f>
        <v>-1-1-111</v>
      </c>
      <c r="D12">
        <f t="shared" si="0"/>
        <v>4.9096153937500002</v>
      </c>
      <c r="E12">
        <f t="shared" si="1"/>
        <v>0.26878897676439018</v>
      </c>
      <c r="J12" s="1"/>
      <c r="K12" t="str">
        <f t="array" ref="K12">IF(J12="","",AVERAGE(IF($C$2:$C$71=J12,$B$2:$B$71,"")))</f>
        <v/>
      </c>
      <c r="L12" t="str">
        <f t="array" ref="L12">IF(J12="","",COUNT(IF($C$2:$C$71=J12,$B$2:$B$71,"")))</f>
        <v/>
      </c>
      <c r="M12" t="str">
        <f t="shared" si="2"/>
        <v/>
      </c>
    </row>
    <row r="13" spans="1:13" x14ac:dyDescent="0.25">
      <c r="A13">
        <f>IF(MODEL_MATRIX!A13="","",MODEL_MATRIX!A13)</f>
        <v>12</v>
      </c>
      <c r="B13" s="1">
        <f>IF(MODEL_MATRIX!B13="","",MODEL_MATRIX!B13)</f>
        <v>4.8226030187499997</v>
      </c>
      <c r="C13" s="1" t="str">
        <f>_xlfn.CONCAT(MODEL_MATRIX!C13:AA13)</f>
        <v>1-1-1-1-1</v>
      </c>
      <c r="D13">
        <f t="shared" si="0"/>
        <v>4.3384021437499998</v>
      </c>
      <c r="E13">
        <f t="shared" si="1"/>
        <v>0.2344504873507656</v>
      </c>
      <c r="J13" s="1"/>
      <c r="K13" t="str">
        <f t="array" ref="K13">IF(J13="","",AVERAGE(IF($C$2:$C$71=J13,$B$2:$B$71,"")))</f>
        <v/>
      </c>
      <c r="L13" t="str">
        <f t="array" ref="L13">IF(J13="","",COUNT(IF($C$2:$C$71=J13,$B$2:$B$71,"")))</f>
        <v/>
      </c>
      <c r="M13" t="str">
        <f t="shared" si="2"/>
        <v/>
      </c>
    </row>
    <row r="14" spans="1:13" x14ac:dyDescent="0.25">
      <c r="A14">
        <f>IF(MODEL_MATRIX!A14="","",MODEL_MATRIX!A14)</f>
        <v>13</v>
      </c>
      <c r="B14" s="1">
        <f>IF(MODEL_MATRIX!B14="","",MODEL_MATRIX!B14)</f>
        <v>7.74115001875</v>
      </c>
      <c r="C14" s="1" t="str">
        <f>_xlfn.CONCAT(MODEL_MATRIX!C14:AA14)</f>
        <v>-11-1-11</v>
      </c>
      <c r="D14">
        <f t="shared" si="0"/>
        <v>7.9224157687499996</v>
      </c>
      <c r="E14">
        <f t="shared" si="1"/>
        <v>3.285727212306238E-2</v>
      </c>
      <c r="J14" s="1"/>
      <c r="K14" t="str">
        <f t="array" ref="K14">IF(J14="","",AVERAGE(IF($C$2:$C$71=J14,$B$2:$B$71,"")))</f>
        <v/>
      </c>
      <c r="L14" t="str">
        <f t="array" ref="L14">IF(J14="","",COUNT(IF($C$2:$C$71=J14,$B$2:$B$71,"")))</f>
        <v/>
      </c>
      <c r="M14" t="str">
        <f t="shared" si="2"/>
        <v/>
      </c>
    </row>
    <row r="15" spans="1:13" x14ac:dyDescent="0.25">
      <c r="A15">
        <f>IF(MODEL_MATRIX!A15="","",MODEL_MATRIX!A15)</f>
        <v>14</v>
      </c>
      <c r="B15" s="1">
        <f>IF(MODEL_MATRIX!B15="","",MODEL_MATRIX!B15)</f>
        <v>5.2487835187499998</v>
      </c>
      <c r="C15" s="1" t="str">
        <f>_xlfn.CONCAT(MODEL_MATRIX!C15:AA15)</f>
        <v>11-11-1</v>
      </c>
      <c r="D15">
        <f t="shared" si="0"/>
        <v>4.9133221437499994</v>
      </c>
      <c r="E15">
        <f t="shared" si="1"/>
        <v>0.11253433411689089</v>
      </c>
      <c r="J15" s="1"/>
      <c r="K15" t="str">
        <f t="array" ref="K15">IF(J15="","",AVERAGE(IF($C$2:$C$71=J15,$B$2:$B$71,"")))</f>
        <v/>
      </c>
      <c r="L15" t="str">
        <f t="array" ref="L15">IF(J15="","",COUNT(IF($C$2:$C$71=J15,$B$2:$B$71,"")))</f>
        <v/>
      </c>
      <c r="M15" t="str">
        <f t="shared" si="2"/>
        <v/>
      </c>
    </row>
    <row r="16" spans="1:13" x14ac:dyDescent="0.25">
      <c r="A16">
        <f>IF(MODEL_MATRIX!A16="","",MODEL_MATRIX!A16)</f>
        <v>15</v>
      </c>
      <c r="B16" s="1">
        <f>IF(MODEL_MATRIX!B16="","",MODEL_MATRIX!B16)</f>
        <v>7.0982790187499996</v>
      </c>
      <c r="C16" s="1" t="str">
        <f>_xlfn.CONCAT(MODEL_MATRIX!C16:AA16)</f>
        <v>-11-1-11</v>
      </c>
      <c r="D16">
        <f t="shared" si="0"/>
        <v>7.9224157687499996</v>
      </c>
      <c r="E16">
        <f t="shared" si="1"/>
        <v>0.67920138270056263</v>
      </c>
      <c r="J16" s="1"/>
      <c r="K16" t="str">
        <f t="array" ref="K16">IF(J16="","",AVERAGE(IF($C$2:$C$71=J16,$B$2:$B$71,"")))</f>
        <v/>
      </c>
      <c r="L16" t="str">
        <f t="array" ref="L16">IF(J16="","",COUNT(IF($C$2:$C$71=J16,$B$2:$B$71,"")))</f>
        <v/>
      </c>
      <c r="M16" t="str">
        <f t="shared" si="2"/>
        <v/>
      </c>
    </row>
    <row r="17" spans="1:13" x14ac:dyDescent="0.25">
      <c r="A17">
        <f>IF(MODEL_MATRIX!A17="","",MODEL_MATRIX!A17)</f>
        <v>16</v>
      </c>
      <c r="B17" s="1">
        <f>IF(MODEL_MATRIX!B17="","",MODEL_MATRIX!B17)</f>
        <v>5.84936901875</v>
      </c>
      <c r="C17" s="1" t="str">
        <f>_xlfn.CONCAT(MODEL_MATRIX!C17:AA17)</f>
        <v>11-11-1</v>
      </c>
      <c r="D17">
        <f t="shared" si="0"/>
        <v>4.9133221437499994</v>
      </c>
      <c r="E17">
        <f t="shared" si="1"/>
        <v>0.87618375219726674</v>
      </c>
      <c r="J17" s="1"/>
      <c r="K17" t="str">
        <f t="array" ref="K17">IF(J17="","",AVERAGE(IF($C$2:$C$71=J17,$B$2:$B$71,"")))</f>
        <v/>
      </c>
      <c r="L17" t="str">
        <f t="array" ref="L17">IF(J17="","",COUNT(IF($C$2:$C$71=J17,$B$2:$B$71,"")))</f>
        <v/>
      </c>
      <c r="M17" t="str">
        <f t="shared" si="2"/>
        <v/>
      </c>
    </row>
    <row r="18" spans="1:13" x14ac:dyDescent="0.25">
      <c r="A18">
        <f>IF(MODEL_MATRIX!A18="","",MODEL_MATRIX!A18)</f>
        <v>17</v>
      </c>
      <c r="B18" s="1">
        <f>IF(MODEL_MATRIX!B18="","",MODEL_MATRIX!B18)</f>
        <v>4.5330400187500004</v>
      </c>
      <c r="C18" s="1" t="str">
        <f>_xlfn.CONCAT(MODEL_MATRIX!C18:AA18)</f>
        <v>-1-111-1</v>
      </c>
      <c r="D18">
        <f t="shared" si="0"/>
        <v>5.1336157687500004</v>
      </c>
      <c r="E18">
        <f t="shared" si="1"/>
        <v>0.36069123148806248</v>
      </c>
      <c r="J18" s="1"/>
      <c r="K18" t="str">
        <f t="array" ref="K18">IF(J18="","",AVERAGE(IF($C$2:$C$71=J18,$B$2:$B$71,"")))</f>
        <v/>
      </c>
      <c r="L18" t="str">
        <f t="array" ref="L18">IF(J18="","",COUNT(IF($C$2:$C$71=J18,$B$2:$B$71,"")))</f>
        <v/>
      </c>
      <c r="M18" t="str">
        <f t="shared" si="2"/>
        <v/>
      </c>
    </row>
    <row r="19" spans="1:13" x14ac:dyDescent="0.25">
      <c r="A19">
        <f>IF(MODEL_MATRIX!A19="","",MODEL_MATRIX!A19)</f>
        <v>18</v>
      </c>
      <c r="B19" s="1">
        <f>IF(MODEL_MATRIX!B19="","",MODEL_MATRIX!B19)</f>
        <v>5.7342475187500002</v>
      </c>
      <c r="C19" s="1" t="str">
        <f>_xlfn.CONCAT(MODEL_MATRIX!C19:AA19)</f>
        <v>1-11-11</v>
      </c>
      <c r="D19">
        <f t="shared" si="0"/>
        <v>5.2393125812500001</v>
      </c>
      <c r="E19">
        <f t="shared" si="1"/>
        <v>0.24496059235812898</v>
      </c>
      <c r="J19" s="1"/>
      <c r="K19" t="str">
        <f t="array" ref="K19">IF(J19="","",AVERAGE(IF($C$2:$C$71=J19,$B$2:$B$71,"")))</f>
        <v/>
      </c>
      <c r="L19" t="str">
        <f t="array" ref="L19">IF(J19="","",COUNT(IF($C$2:$C$71=J19,$B$2:$B$71,"")))</f>
        <v/>
      </c>
      <c r="M19" t="str">
        <f t="shared" si="2"/>
        <v/>
      </c>
    </row>
    <row r="20" spans="1:13" x14ac:dyDescent="0.25">
      <c r="A20">
        <f>IF(MODEL_MATRIX!A20="","",MODEL_MATRIX!A20)</f>
        <v>19</v>
      </c>
      <c r="B20" s="1">
        <f>IF(MODEL_MATRIX!B20="","",MODEL_MATRIX!B20)</f>
        <v>5.8781730187500001</v>
      </c>
      <c r="C20" s="1" t="str">
        <f>_xlfn.CONCAT(MODEL_MATRIX!C20:AA20)</f>
        <v>-1-111-1</v>
      </c>
      <c r="D20">
        <f t="shared" si="0"/>
        <v>5.1336157687500004</v>
      </c>
      <c r="E20">
        <f t="shared" si="1"/>
        <v>0.55436549852756212</v>
      </c>
      <c r="J20" s="1"/>
      <c r="K20" t="str">
        <f t="array" ref="K20">IF(J20="","",AVERAGE(IF($C$2:$C$71=J20,$B$2:$B$71,"")))</f>
        <v/>
      </c>
      <c r="L20" t="str">
        <f t="array" ref="L20">IF(J20="","",COUNT(IF($C$2:$C$71=J20,$B$2:$B$71,"")))</f>
        <v/>
      </c>
      <c r="M20" t="str">
        <f t="shared" si="2"/>
        <v/>
      </c>
    </row>
    <row r="21" spans="1:13" x14ac:dyDescent="0.25">
      <c r="A21">
        <f>IF(MODEL_MATRIX!A21="","",MODEL_MATRIX!A21)</f>
        <v>20</v>
      </c>
      <c r="B21" s="1">
        <f>IF(MODEL_MATRIX!B21="","",MODEL_MATRIX!B21)</f>
        <v>5.2625435187500003</v>
      </c>
      <c r="C21" s="1" t="str">
        <f>_xlfn.CONCAT(MODEL_MATRIX!C21:AA21)</f>
        <v>1-11-11</v>
      </c>
      <c r="D21">
        <f t="shared" si="0"/>
        <v>5.2393125812500001</v>
      </c>
      <c r="E21">
        <f t="shared" si="1"/>
        <v>5.3967645712891361E-4</v>
      </c>
      <c r="J21" s="1"/>
      <c r="K21" t="str">
        <f t="array" ref="K21">IF(J21="","",AVERAGE(IF($C$2:$C$71=J21,$B$2:$B$71,"")))</f>
        <v/>
      </c>
      <c r="L21" t="str">
        <f t="array" ref="L21">IF(J21="","",COUNT(IF($C$2:$C$71=J21,$B$2:$B$71,"")))</f>
        <v/>
      </c>
      <c r="M21" t="str">
        <f t="shared" si="2"/>
        <v/>
      </c>
    </row>
    <row r="22" spans="1:13" x14ac:dyDescent="0.25">
      <c r="A22">
        <f>IF(MODEL_MATRIX!A22="","",MODEL_MATRIX!A22)</f>
        <v>21</v>
      </c>
      <c r="B22" s="1">
        <f>IF(MODEL_MATRIX!B22="","",MODEL_MATRIX!B22)</f>
        <v>6.6597015187500004</v>
      </c>
      <c r="C22" s="1" t="str">
        <f>_xlfn.CONCAT(MODEL_MATRIX!C22:AA22)</f>
        <v>-111-1-1</v>
      </c>
      <c r="D22">
        <f t="shared" si="0"/>
        <v>7.8950417687500005</v>
      </c>
      <c r="E22">
        <f t="shared" si="1"/>
        <v>1.5260655332700628</v>
      </c>
      <c r="J22" s="1"/>
      <c r="K22" t="str">
        <f t="array" ref="K22">IF(J22="","",AVERAGE(IF($C$2:$C$71=J22,$B$2:$B$71,"")))</f>
        <v/>
      </c>
      <c r="L22" t="str">
        <f t="array" ref="L22">IF(J22="","",COUNT(IF($C$2:$C$71=J22,$B$2:$B$71,"")))</f>
        <v/>
      </c>
      <c r="M22" t="str">
        <f t="shared" si="2"/>
        <v/>
      </c>
    </row>
    <row r="23" spans="1:13" x14ac:dyDescent="0.25">
      <c r="A23">
        <f>IF(MODEL_MATRIX!A23="","",MODEL_MATRIX!A23)</f>
        <v>22</v>
      </c>
      <c r="B23" s="1">
        <f>IF(MODEL_MATRIX!B23="","",MODEL_MATRIX!B23)</f>
        <v>8.10153251875</v>
      </c>
      <c r="C23" s="1" t="str">
        <f>_xlfn.CONCAT(MODEL_MATRIX!C23:AA23)</f>
        <v>11111</v>
      </c>
      <c r="D23">
        <f t="shared" si="0"/>
        <v>7.5597065187499997</v>
      </c>
      <c r="E23">
        <f t="shared" si="1"/>
        <v>0.29357541427600037</v>
      </c>
      <c r="J23" s="1"/>
      <c r="K23" t="str">
        <f t="array" ref="K23">IF(J23="","",AVERAGE(IF($C$2:$C$71=J23,$B$2:$B$71,"")))</f>
        <v/>
      </c>
      <c r="L23" t="str">
        <f t="array" ref="L23">IF(J23="","",COUNT(IF($C$2:$C$71=J23,$B$2:$B$71,"")))</f>
        <v/>
      </c>
      <c r="M23" t="str">
        <f t="shared" si="2"/>
        <v/>
      </c>
    </row>
    <row r="24" spans="1:13" x14ac:dyDescent="0.25">
      <c r="A24">
        <f>IF(MODEL_MATRIX!A24="","",MODEL_MATRIX!A24)</f>
        <v>23</v>
      </c>
      <c r="B24" s="1">
        <f>IF(MODEL_MATRIX!B24="","",MODEL_MATRIX!B24)</f>
        <v>8.9268260187500008</v>
      </c>
      <c r="C24" s="1" t="str">
        <f>_xlfn.CONCAT(MODEL_MATRIX!C24:AA24)</f>
        <v>-111-1-1</v>
      </c>
      <c r="D24">
        <f t="shared" si="0"/>
        <v>7.8950417687500005</v>
      </c>
      <c r="E24">
        <f t="shared" si="1"/>
        <v>1.0645787385480632</v>
      </c>
      <c r="J24" s="1"/>
      <c r="K24" t="str">
        <f t="array" ref="K24">IF(J24="","",AVERAGE(IF($C$2:$C$71=J24,$B$2:$B$71,"")))</f>
        <v/>
      </c>
      <c r="L24" t="str">
        <f t="array" ref="L24">IF(J24="","",COUNT(IF($C$2:$C$71=J24,$B$2:$B$71,"")))</f>
        <v/>
      </c>
      <c r="M24" t="str">
        <f t="shared" si="2"/>
        <v/>
      </c>
    </row>
    <row r="25" spans="1:13" x14ac:dyDescent="0.25">
      <c r="A25">
        <f>IF(MODEL_MATRIX!A25="","",MODEL_MATRIX!A25)</f>
        <v>24</v>
      </c>
      <c r="B25" s="1">
        <f>IF(MODEL_MATRIX!B25="","",MODEL_MATRIX!B25)</f>
        <v>7.0592920187499999</v>
      </c>
      <c r="C25" s="1" t="str">
        <f>_xlfn.CONCAT(MODEL_MATRIX!C25:AA25)</f>
        <v>11111</v>
      </c>
      <c r="D25">
        <f t="shared" si="0"/>
        <v>7.5597065187499997</v>
      </c>
      <c r="E25">
        <f t="shared" si="1"/>
        <v>0.25041467181024979</v>
      </c>
      <c r="J25" s="1"/>
      <c r="K25" t="str">
        <f t="array" ref="K25">IF(J25="","",AVERAGE(IF($C$2:$C$71=J25,$B$2:$B$71,"")))</f>
        <v/>
      </c>
      <c r="L25" t="str">
        <f t="array" ref="L25">IF(J25="","",COUNT(IF($C$2:$C$71=J25,$B$2:$B$71,"")))</f>
        <v/>
      </c>
      <c r="M25" t="str">
        <f t="shared" si="2"/>
        <v/>
      </c>
    </row>
    <row r="26" spans="1:13" x14ac:dyDescent="0.25">
      <c r="A26">
        <f>IF(MODEL_MATRIX!A26="","",MODEL_MATRIX!A26)</f>
        <v>25</v>
      </c>
      <c r="B26" s="1">
        <f>IF(MODEL_MATRIX!B26="","",MODEL_MATRIX!B26)</f>
        <v>4.4412020187500003</v>
      </c>
      <c r="C26" s="1" t="str">
        <f>_xlfn.CONCAT(MODEL_MATRIX!C26:AA26)</f>
        <v>-1-111-1</v>
      </c>
      <c r="D26">
        <f t="shared" si="0"/>
        <v>5.1336157687500004</v>
      </c>
      <c r="E26">
        <f t="shared" si="1"/>
        <v>0.47943680118906257</v>
      </c>
      <c r="J26" s="1"/>
      <c r="K26" t="str">
        <f t="array" ref="K26">IF(J26="","",AVERAGE(IF($C$2:$C$71=J26,$B$2:$B$71,"")))</f>
        <v/>
      </c>
      <c r="L26" t="str">
        <f t="array" ref="L26">IF(J26="","",COUNT(IF($C$2:$C$71=J26,$B$2:$B$71,"")))</f>
        <v/>
      </c>
      <c r="M26" t="str">
        <f t="shared" si="2"/>
        <v/>
      </c>
    </row>
    <row r="27" spans="1:13" x14ac:dyDescent="0.25">
      <c r="A27">
        <f>IF(MODEL_MATRIX!A27="","",MODEL_MATRIX!A27)</f>
        <v>26</v>
      </c>
      <c r="B27" s="1">
        <f>IF(MODEL_MATRIX!B27="","",MODEL_MATRIX!B27)</f>
        <v>4.1802867687500003</v>
      </c>
      <c r="C27" s="1" t="str">
        <f>_xlfn.CONCAT(MODEL_MATRIX!C27:AA27)</f>
        <v>1-11-11</v>
      </c>
      <c r="D27">
        <f t="shared" si="0"/>
        <v>5.2393125812500001</v>
      </c>
      <c r="E27">
        <f t="shared" si="1"/>
        <v>1.1215356715412848</v>
      </c>
      <c r="J27" s="1"/>
      <c r="K27" t="str">
        <f t="array" ref="K27">IF(J27="","",AVERAGE(IF($C$2:$C$71=J27,$B$2:$B$71,"")))</f>
        <v/>
      </c>
      <c r="L27" t="str">
        <f t="array" ref="L27">IF(J27="","",COUNT(IF($C$2:$C$71=J27,$B$2:$B$71,"")))</f>
        <v/>
      </c>
      <c r="M27" t="str">
        <f t="shared" si="2"/>
        <v/>
      </c>
    </row>
    <row r="28" spans="1:13" x14ac:dyDescent="0.25">
      <c r="A28">
        <f>IF(MODEL_MATRIX!A28="","",MODEL_MATRIX!A28)</f>
        <v>27</v>
      </c>
      <c r="B28" s="1">
        <f>IF(MODEL_MATRIX!B28="","",MODEL_MATRIX!B28)</f>
        <v>5.6820480187499998</v>
      </c>
      <c r="C28" s="1" t="str">
        <f>_xlfn.CONCAT(MODEL_MATRIX!C28:AA28)</f>
        <v>-1-111-1</v>
      </c>
      <c r="D28">
        <f t="shared" si="0"/>
        <v>5.1336157687500004</v>
      </c>
      <c r="E28">
        <f t="shared" si="1"/>
        <v>0.30077793284006182</v>
      </c>
      <c r="J28" s="1"/>
      <c r="K28" t="str">
        <f t="array" ref="K28">IF(J28="","",AVERAGE(IF($C$2:$C$71=J28,$B$2:$B$71,"")))</f>
        <v/>
      </c>
      <c r="L28" t="str">
        <f t="array" ref="L28">IF(J28="","",COUNT(IF($C$2:$C$71=J28,$B$2:$B$71,"")))</f>
        <v/>
      </c>
      <c r="M28" t="str">
        <f t="shared" si="2"/>
        <v/>
      </c>
    </row>
    <row r="29" spans="1:13" x14ac:dyDescent="0.25">
      <c r="A29">
        <f>IF(MODEL_MATRIX!A29="","",MODEL_MATRIX!A29)</f>
        <v>28</v>
      </c>
      <c r="B29" s="1">
        <f>IF(MODEL_MATRIX!B29="","",MODEL_MATRIX!B29)</f>
        <v>5.7801725187499997</v>
      </c>
      <c r="C29" s="1" t="str">
        <f>_xlfn.CONCAT(MODEL_MATRIX!C29:AA29)</f>
        <v>1-11-11</v>
      </c>
      <c r="D29">
        <f t="shared" si="0"/>
        <v>5.2393125812500001</v>
      </c>
      <c r="E29">
        <f t="shared" si="1"/>
        <v>0.29252947199250351</v>
      </c>
      <c r="J29" s="1"/>
      <c r="K29" t="str">
        <f t="array" ref="K29">IF(J29="","",AVERAGE(IF($C$2:$C$71=J29,$B$2:$B$71,"")))</f>
        <v/>
      </c>
      <c r="L29" t="str">
        <f t="array" ref="L29">IF(J29="","",COUNT(IF($C$2:$C$71=J29,$B$2:$B$71,"")))</f>
        <v/>
      </c>
      <c r="M29" t="str">
        <f t="shared" si="2"/>
        <v/>
      </c>
    </row>
    <row r="30" spans="1:13" x14ac:dyDescent="0.25">
      <c r="A30">
        <f>IF(MODEL_MATRIX!A30="","",MODEL_MATRIX!A30)</f>
        <v>29</v>
      </c>
      <c r="B30" s="1">
        <f>IF(MODEL_MATRIX!B30="","",MODEL_MATRIX!B30)</f>
        <v>8.7397320187500007</v>
      </c>
      <c r="C30" s="1" t="str">
        <f>_xlfn.CONCAT(MODEL_MATRIX!C30:AA30)</f>
        <v>-111-1-1</v>
      </c>
      <c r="D30">
        <f t="shared" si="0"/>
        <v>7.8950417687500005</v>
      </c>
      <c r="E30">
        <f t="shared" si="1"/>
        <v>0.71350161844506288</v>
      </c>
      <c r="J30" s="1"/>
      <c r="K30" t="str">
        <f t="array" ref="K30">IF(J30="","",AVERAGE(IF($C$2:$C$71=J30,$B$2:$B$71,"")))</f>
        <v/>
      </c>
      <c r="L30" t="str">
        <f t="array" ref="L30">IF(J30="","",COUNT(IF($C$2:$C$71=J30,$B$2:$B$71,"")))</f>
        <v/>
      </c>
      <c r="M30" t="str">
        <f t="shared" si="2"/>
        <v/>
      </c>
    </row>
    <row r="31" spans="1:13" x14ac:dyDescent="0.25">
      <c r="A31">
        <f>IF(MODEL_MATRIX!A31="","",MODEL_MATRIX!A31)</f>
        <v>30</v>
      </c>
      <c r="B31" s="1">
        <f>IF(MODEL_MATRIX!B31="","",MODEL_MATRIX!B31)</f>
        <v>7.8388045187499999</v>
      </c>
      <c r="C31" s="1" t="str">
        <f>_xlfn.CONCAT(MODEL_MATRIX!C31:AA31)</f>
        <v>11111</v>
      </c>
      <c r="D31">
        <f t="shared" si="0"/>
        <v>7.5597065187499997</v>
      </c>
      <c r="E31">
        <f t="shared" si="1"/>
        <v>7.7895693604000157E-2</v>
      </c>
      <c r="J31" s="1"/>
      <c r="K31" t="str">
        <f t="array" ref="K31">IF(J31="","",AVERAGE(IF($C$2:$C$71=J31,$B$2:$B$71,"")))</f>
        <v/>
      </c>
      <c r="L31" t="str">
        <f t="array" ref="L31">IF(J31="","",COUNT(IF($C$2:$C$71=J31,$B$2:$B$71,"")))</f>
        <v/>
      </c>
      <c r="M31" t="str">
        <f t="shared" si="2"/>
        <v/>
      </c>
    </row>
    <row r="32" spans="1:13" x14ac:dyDescent="0.25">
      <c r="A32">
        <f>IF(MODEL_MATRIX!A32="","",MODEL_MATRIX!A32)</f>
        <v>31</v>
      </c>
      <c r="B32" s="1">
        <f>IF(MODEL_MATRIX!B32="","",MODEL_MATRIX!B32)</f>
        <v>7.2539075187500002</v>
      </c>
      <c r="C32" s="1" t="str">
        <f>_xlfn.CONCAT(MODEL_MATRIX!C32:AA32)</f>
        <v>-111-1-1</v>
      </c>
      <c r="D32">
        <f t="shared" si="0"/>
        <v>7.8950417687500005</v>
      </c>
      <c r="E32">
        <f t="shared" si="1"/>
        <v>0.41105312652306297</v>
      </c>
      <c r="J32" s="1"/>
      <c r="K32" t="str">
        <f t="array" ref="K32">IF(J32="","",AVERAGE(IF($C$2:$C$71=J32,$B$2:$B$71,"")))</f>
        <v/>
      </c>
      <c r="L32" t="str">
        <f t="array" ref="L32">IF(J32="","",COUNT(IF($C$2:$C$71=J32,$B$2:$B$71,"")))</f>
        <v/>
      </c>
      <c r="M32" t="str">
        <f t="shared" si="2"/>
        <v/>
      </c>
    </row>
    <row r="33" spans="1:13" x14ac:dyDescent="0.25">
      <c r="A33">
        <f>IF(MODEL_MATRIX!A33="","",MODEL_MATRIX!A33)</f>
        <v>32</v>
      </c>
      <c r="B33" s="1">
        <f>IF(MODEL_MATRIX!B33="","",MODEL_MATRIX!B33)</f>
        <v>7.2391970187499997</v>
      </c>
      <c r="C33" s="1" t="str">
        <f>_xlfn.CONCAT(MODEL_MATRIX!C33:AA33)</f>
        <v>11111</v>
      </c>
      <c r="D33">
        <f t="shared" si="0"/>
        <v>7.5597065187499997</v>
      </c>
      <c r="E33">
        <f t="shared" si="1"/>
        <v>0.10272633959025</v>
      </c>
      <c r="J33" s="1"/>
      <c r="K33" t="str">
        <f t="array" ref="K33">IF(J33="","",AVERAGE(IF($C$2:$C$71=J33,$B$2:$B$71,"")))</f>
        <v/>
      </c>
      <c r="L33" t="str">
        <f t="array" ref="L33">IF(J33="","",COUNT(IF($C$2:$C$71=J33,$B$2:$B$71,"")))</f>
        <v/>
      </c>
      <c r="M33" t="str">
        <f t="shared" si="2"/>
        <v/>
      </c>
    </row>
    <row r="34" spans="1:13" x14ac:dyDescent="0.25">
      <c r="A34">
        <f>IF(MODEL_MATRIX!A34="","",MODEL_MATRIX!A34)</f>
        <v>33</v>
      </c>
      <c r="B34" s="1" t="str">
        <f>IF(MODEL_MATRIX!B34="","",MODEL_MATRIX!B34)</f>
        <v/>
      </c>
      <c r="C34" s="1" t="str">
        <f>_xlfn.CONCAT(MODEL_MATRIX!C34:AA34)</f>
        <v/>
      </c>
      <c r="D34" t="str">
        <f t="shared" si="0"/>
        <v/>
      </c>
      <c r="E34" t="str">
        <f t="shared" si="1"/>
        <v/>
      </c>
      <c r="J34" s="1"/>
      <c r="K34" t="str">
        <f t="array" ref="K34">IF(J34="","",AVERAGE(IF($C$2:$C$71=J34,$B$2:$B$71,"")))</f>
        <v/>
      </c>
      <c r="L34" t="str">
        <f t="array" ref="L34">IF(J34="","",COUNT(IF($C$2:$C$71=J34,$B$2:$B$71,"")))</f>
        <v/>
      </c>
      <c r="M34" t="str">
        <f t="shared" si="2"/>
        <v/>
      </c>
    </row>
    <row r="35" spans="1:13" x14ac:dyDescent="0.25">
      <c r="A35">
        <f>IF(MODEL_MATRIX!A35="","",MODEL_MATRIX!A35)</f>
        <v>34</v>
      </c>
      <c r="B35" s="1" t="str">
        <f>IF(MODEL_MATRIX!B35="","",MODEL_MATRIX!B35)</f>
        <v/>
      </c>
      <c r="C35" s="1" t="str">
        <f>_xlfn.CONCAT(MODEL_MATRIX!C35:AA35)</f>
        <v/>
      </c>
      <c r="D35" t="str">
        <f t="shared" si="0"/>
        <v/>
      </c>
      <c r="E35" t="str">
        <f t="shared" si="1"/>
        <v/>
      </c>
      <c r="J35" s="1"/>
      <c r="K35" t="str">
        <f t="array" ref="K35">IF(J35="","",AVERAGE(IF($C$2:$C$71=J35,$B$2:$B$71,"")))</f>
        <v/>
      </c>
      <c r="L35" t="str">
        <f t="array" ref="L35">IF(J35="","",COUNT(IF($C$2:$C$71=J35,$B$2:$B$71,"")))</f>
        <v/>
      </c>
      <c r="M35" t="str">
        <f t="shared" si="2"/>
        <v/>
      </c>
    </row>
    <row r="36" spans="1:13" x14ac:dyDescent="0.25">
      <c r="A36">
        <f>IF(MODEL_MATRIX!A36="","",MODEL_MATRIX!A36)</f>
        <v>35</v>
      </c>
      <c r="B36" s="1" t="str">
        <f>IF(MODEL_MATRIX!B36="","",MODEL_MATRIX!B36)</f>
        <v/>
      </c>
      <c r="C36" s="1" t="str">
        <f>_xlfn.CONCAT(MODEL_MATRIX!C36:AA36)</f>
        <v/>
      </c>
      <c r="D36" t="str">
        <f t="shared" si="0"/>
        <v/>
      </c>
      <c r="E36" t="str">
        <f t="shared" si="1"/>
        <v/>
      </c>
      <c r="J36" s="1"/>
      <c r="K36" t="str">
        <f t="array" ref="K36">IF(J36="","",AVERAGE(IF($C$2:$C$71=J36,$B$2:$B$71,"")))</f>
        <v/>
      </c>
      <c r="L36" t="str">
        <f t="array" ref="L36">IF(J36="","",COUNT(IF($C$2:$C$71=J36,$B$2:$B$71,"")))</f>
        <v/>
      </c>
      <c r="M36" t="str">
        <f t="shared" si="2"/>
        <v/>
      </c>
    </row>
    <row r="37" spans="1:13" x14ac:dyDescent="0.25">
      <c r="A37">
        <f>IF(MODEL_MATRIX!A37="","",MODEL_MATRIX!A37)</f>
        <v>36</v>
      </c>
      <c r="B37" s="1" t="str">
        <f>IF(MODEL_MATRIX!B37="","",MODEL_MATRIX!B37)</f>
        <v/>
      </c>
      <c r="C37" s="1" t="str">
        <f>_xlfn.CONCAT(MODEL_MATRIX!C37:AA37)</f>
        <v/>
      </c>
      <c r="D37" t="str">
        <f t="shared" si="0"/>
        <v/>
      </c>
      <c r="E37" t="str">
        <f t="shared" si="1"/>
        <v/>
      </c>
      <c r="J37" s="1"/>
      <c r="K37" t="str">
        <f t="array" ref="K37">IF(J37="","",AVERAGE(IF($C$2:$C$71=J37,$B$2:$B$71,"")))</f>
        <v/>
      </c>
      <c r="L37" t="str">
        <f t="array" ref="L37">IF(J37="","",COUNT(IF($C$2:$C$71=J37,$B$2:$B$71,"")))</f>
        <v/>
      </c>
      <c r="M37" t="str">
        <f t="shared" si="2"/>
        <v/>
      </c>
    </row>
    <row r="38" spans="1:13" x14ac:dyDescent="0.25">
      <c r="A38">
        <f>IF(MODEL_MATRIX!A38="","",MODEL_MATRIX!A38)</f>
        <v>37</v>
      </c>
      <c r="B38" s="1" t="str">
        <f>IF(MODEL_MATRIX!B38="","",MODEL_MATRIX!B38)</f>
        <v/>
      </c>
      <c r="C38" s="1" t="str">
        <f>_xlfn.CONCAT(MODEL_MATRIX!C38:AA38)</f>
        <v/>
      </c>
      <c r="D38" t="str">
        <f t="shared" si="0"/>
        <v/>
      </c>
      <c r="E38" t="str">
        <f t="shared" si="1"/>
        <v/>
      </c>
      <c r="J38" s="1"/>
      <c r="K38" t="str">
        <f t="array" ref="K38">IF(J38="","",AVERAGE(IF($C$2:$C$71=J38,$B$2:$B$71,"")))</f>
        <v/>
      </c>
      <c r="L38" t="str">
        <f t="array" ref="L38">IF(J38="","",COUNT(IF($C$2:$C$71=J38,$B$2:$B$71,"")))</f>
        <v/>
      </c>
      <c r="M38" t="str">
        <f t="shared" si="2"/>
        <v/>
      </c>
    </row>
    <row r="39" spans="1:13" x14ac:dyDescent="0.25">
      <c r="A39">
        <f>IF(MODEL_MATRIX!A39="","",MODEL_MATRIX!A39)</f>
        <v>38</v>
      </c>
      <c r="B39" s="1" t="str">
        <f>IF(MODEL_MATRIX!B39="","",MODEL_MATRIX!B39)</f>
        <v/>
      </c>
      <c r="C39" s="1" t="str">
        <f>_xlfn.CONCAT(MODEL_MATRIX!C39:AA39)</f>
        <v/>
      </c>
      <c r="D39" t="str">
        <f t="shared" si="0"/>
        <v/>
      </c>
      <c r="E39" t="str">
        <f t="shared" si="1"/>
        <v/>
      </c>
      <c r="J39" s="1"/>
      <c r="K39" t="str">
        <f t="array" ref="K39">IF(J39="","",AVERAGE(IF($C$2:$C$71=J39,$B$2:$B$71,"")))</f>
        <v/>
      </c>
      <c r="L39" t="str">
        <f t="array" ref="L39">IF(J39="","",COUNT(IF($C$2:$C$71=J39,$B$2:$B$71,"")))</f>
        <v/>
      </c>
      <c r="M39" t="str">
        <f t="shared" si="2"/>
        <v/>
      </c>
    </row>
    <row r="40" spans="1:13" x14ac:dyDescent="0.25">
      <c r="A40">
        <f>IF(MODEL_MATRIX!A40="","",MODEL_MATRIX!A40)</f>
        <v>39</v>
      </c>
      <c r="B40" s="1" t="str">
        <f>IF(MODEL_MATRIX!B40="","",MODEL_MATRIX!B40)</f>
        <v/>
      </c>
      <c r="C40" s="1" t="str">
        <f>_xlfn.CONCAT(MODEL_MATRIX!C40:AA40)</f>
        <v/>
      </c>
      <c r="D40" t="str">
        <f t="shared" si="0"/>
        <v/>
      </c>
      <c r="E40" t="str">
        <f t="shared" si="1"/>
        <v/>
      </c>
      <c r="J40" s="1"/>
      <c r="K40" t="str">
        <f t="array" ref="K40">IF(J40="","",AVERAGE(IF($C$2:$C$71=J40,$B$2:$B$71,"")))</f>
        <v/>
      </c>
      <c r="L40" t="str">
        <f t="array" ref="L40">IF(J40="","",COUNT(IF($C$2:$C$71=J40,$B$2:$B$71,"")))</f>
        <v/>
      </c>
      <c r="M40" t="str">
        <f t="shared" si="2"/>
        <v/>
      </c>
    </row>
    <row r="41" spans="1:13" x14ac:dyDescent="0.25">
      <c r="A41">
        <f>IF(MODEL_MATRIX!A41="","",MODEL_MATRIX!A41)</f>
        <v>40</v>
      </c>
      <c r="B41" s="1" t="str">
        <f>IF(MODEL_MATRIX!B41="","",MODEL_MATRIX!B41)</f>
        <v/>
      </c>
      <c r="C41" s="1" t="str">
        <f>_xlfn.CONCAT(MODEL_MATRIX!C41:AA41)</f>
        <v/>
      </c>
      <c r="D41" t="str">
        <f t="shared" si="0"/>
        <v/>
      </c>
      <c r="E41" t="str">
        <f t="shared" si="1"/>
        <v/>
      </c>
      <c r="J41" s="1"/>
      <c r="K41" t="str">
        <f t="array" ref="K41">IF(J41="","",AVERAGE(IF($C$2:$C$71=J41,$B$2:$B$71,"")))</f>
        <v/>
      </c>
      <c r="L41" t="str">
        <f t="array" ref="L41">IF(J41="","",COUNT(IF($C$2:$C$71=J41,$B$2:$B$71,"")))</f>
        <v/>
      </c>
      <c r="M41" t="str">
        <f t="shared" si="2"/>
        <v/>
      </c>
    </row>
    <row r="42" spans="1:13" x14ac:dyDescent="0.25">
      <c r="A42">
        <f>IF(MODEL_MATRIX!A42="","",MODEL_MATRIX!A42)</f>
        <v>41</v>
      </c>
      <c r="B42" s="1" t="str">
        <f>IF(MODEL_MATRIX!B42="","",MODEL_MATRIX!B42)</f>
        <v/>
      </c>
      <c r="C42" s="1" t="str">
        <f>_xlfn.CONCAT(MODEL_MATRIX!C42:AA42)</f>
        <v/>
      </c>
      <c r="D42" t="str">
        <f t="shared" si="0"/>
        <v/>
      </c>
      <c r="E42" t="str">
        <f t="shared" si="1"/>
        <v/>
      </c>
      <c r="J42" s="1"/>
      <c r="K42" t="str">
        <f t="array" ref="K42">IF(J42="","",AVERAGE(IF($C$2:$C$71=J42,$B$2:$B$71,"")))</f>
        <v/>
      </c>
      <c r="L42" t="str">
        <f t="array" ref="L42">IF(J42="","",COUNT(IF($C$2:$C$71=J42,$B$2:$B$71,"")))</f>
        <v/>
      </c>
      <c r="M42" t="str">
        <f t="shared" si="2"/>
        <v/>
      </c>
    </row>
    <row r="43" spans="1:13" x14ac:dyDescent="0.25">
      <c r="A43">
        <f>IF(MODEL_MATRIX!A43="","",MODEL_MATRIX!A43)</f>
        <v>42</v>
      </c>
      <c r="B43" s="1" t="str">
        <f>IF(MODEL_MATRIX!B43="","",MODEL_MATRIX!B43)</f>
        <v/>
      </c>
      <c r="C43" s="1" t="str">
        <f>_xlfn.CONCAT(MODEL_MATRIX!C43:AA43)</f>
        <v/>
      </c>
      <c r="D43" t="str">
        <f t="shared" si="0"/>
        <v/>
      </c>
      <c r="E43" t="str">
        <f t="shared" si="1"/>
        <v/>
      </c>
      <c r="J43" s="1"/>
      <c r="K43" t="str">
        <f t="array" ref="K43">IF(J43="","",AVERAGE(IF($C$2:$C$71=J43,$B$2:$B$71,"")))</f>
        <v/>
      </c>
      <c r="L43" t="str">
        <f t="array" ref="L43">IF(J43="","",COUNT(IF($C$2:$C$71=J43,$B$2:$B$71,"")))</f>
        <v/>
      </c>
      <c r="M43" t="str">
        <f t="shared" si="2"/>
        <v/>
      </c>
    </row>
    <row r="44" spans="1:13" x14ac:dyDescent="0.25">
      <c r="A44">
        <f>IF(MODEL_MATRIX!A44="","",MODEL_MATRIX!A44)</f>
        <v>43</v>
      </c>
      <c r="B44" s="1" t="str">
        <f>IF(MODEL_MATRIX!B44="","",MODEL_MATRIX!B44)</f>
        <v/>
      </c>
      <c r="C44" s="1" t="str">
        <f>_xlfn.CONCAT(MODEL_MATRIX!C44:AA44)</f>
        <v/>
      </c>
      <c r="D44" t="str">
        <f t="shared" si="0"/>
        <v/>
      </c>
      <c r="E44" t="str">
        <f t="shared" si="1"/>
        <v/>
      </c>
      <c r="J44" s="1"/>
      <c r="K44" t="str">
        <f t="array" ref="K44">IF(J44="","",AVERAGE(IF($C$2:$C$71=J44,$B$2:$B$71,"")))</f>
        <v/>
      </c>
      <c r="L44" t="str">
        <f t="array" ref="L44">IF(J44="","",COUNT(IF($C$2:$C$71=J44,$B$2:$B$71,"")))</f>
        <v/>
      </c>
      <c r="M44" t="str">
        <f t="shared" si="2"/>
        <v/>
      </c>
    </row>
    <row r="45" spans="1:13" x14ac:dyDescent="0.25">
      <c r="A45">
        <f>IF(MODEL_MATRIX!A45="","",MODEL_MATRIX!A45)</f>
        <v>44</v>
      </c>
      <c r="B45" s="1" t="str">
        <f>IF(MODEL_MATRIX!B45="","",MODEL_MATRIX!B45)</f>
        <v/>
      </c>
      <c r="C45" s="1" t="str">
        <f>_xlfn.CONCAT(MODEL_MATRIX!C45:AA45)</f>
        <v/>
      </c>
      <c r="D45" t="str">
        <f t="shared" si="0"/>
        <v/>
      </c>
      <c r="E45" t="str">
        <f t="shared" si="1"/>
        <v/>
      </c>
      <c r="J45" s="1"/>
      <c r="K45" t="str">
        <f t="array" ref="K45">IF(J45="","",AVERAGE(IF($C$2:$C$71=J45,$B$2:$B$71,"")))</f>
        <v/>
      </c>
      <c r="L45" t="str">
        <f t="array" ref="L45">IF(J45="","",COUNT(IF($C$2:$C$71=J45,$B$2:$B$71,"")))</f>
        <v/>
      </c>
      <c r="M45" t="str">
        <f t="shared" si="2"/>
        <v/>
      </c>
    </row>
    <row r="46" spans="1:13" x14ac:dyDescent="0.25">
      <c r="A46">
        <f>IF(MODEL_MATRIX!A46="","",MODEL_MATRIX!A46)</f>
        <v>45</v>
      </c>
      <c r="B46" s="1" t="str">
        <f>IF(MODEL_MATRIX!B46="","",MODEL_MATRIX!B46)</f>
        <v/>
      </c>
      <c r="C46" s="1" t="str">
        <f>_xlfn.CONCAT(MODEL_MATRIX!C46:AA46)</f>
        <v/>
      </c>
      <c r="D46" t="str">
        <f t="shared" si="0"/>
        <v/>
      </c>
      <c r="E46" t="str">
        <f t="shared" si="1"/>
        <v/>
      </c>
      <c r="J46" s="1"/>
      <c r="K46" t="str">
        <f t="array" ref="K46">IF(J46="","",AVERAGE(IF($C$2:$C$71=J46,$B$2:$B$71,"")))</f>
        <v/>
      </c>
      <c r="L46" t="str">
        <f t="array" ref="L46">IF(J46="","",COUNT(IF($C$2:$C$71=J46,$B$2:$B$71,"")))</f>
        <v/>
      </c>
      <c r="M46" t="str">
        <f t="shared" si="2"/>
        <v/>
      </c>
    </row>
    <row r="47" spans="1:13" x14ac:dyDescent="0.25">
      <c r="A47">
        <f>IF(MODEL_MATRIX!A47="","",MODEL_MATRIX!A47)</f>
        <v>46</v>
      </c>
      <c r="B47" s="1" t="str">
        <f>IF(MODEL_MATRIX!B47="","",MODEL_MATRIX!B47)</f>
        <v/>
      </c>
      <c r="C47" s="1" t="str">
        <f>_xlfn.CONCAT(MODEL_MATRIX!C47:AA47)</f>
        <v/>
      </c>
      <c r="D47" t="str">
        <f t="shared" si="0"/>
        <v/>
      </c>
      <c r="E47" t="str">
        <f t="shared" si="1"/>
        <v/>
      </c>
      <c r="J47" s="1"/>
      <c r="K47" t="str">
        <f t="array" ref="K47">IF(J47="","",AVERAGE(IF($C$2:$C$71=J47,$B$2:$B$71,"")))</f>
        <v/>
      </c>
      <c r="L47" t="str">
        <f t="array" ref="L47">IF(J47="","",COUNT(IF($C$2:$C$71=J47,$B$2:$B$71,"")))</f>
        <v/>
      </c>
      <c r="M47" t="str">
        <f t="shared" si="2"/>
        <v/>
      </c>
    </row>
    <row r="48" spans="1:13" x14ac:dyDescent="0.25">
      <c r="A48">
        <f>IF(MODEL_MATRIX!A48="","",MODEL_MATRIX!A48)</f>
        <v>47</v>
      </c>
      <c r="B48" s="1" t="str">
        <f>IF(MODEL_MATRIX!B48="","",MODEL_MATRIX!B48)</f>
        <v/>
      </c>
      <c r="C48" s="1" t="str">
        <f>_xlfn.CONCAT(MODEL_MATRIX!C48:AA48)</f>
        <v/>
      </c>
      <c r="D48" t="str">
        <f t="shared" si="0"/>
        <v/>
      </c>
      <c r="E48" t="str">
        <f t="shared" si="1"/>
        <v/>
      </c>
      <c r="J48" s="1"/>
      <c r="K48" t="str">
        <f t="array" ref="K48">IF(J48="","",AVERAGE(IF($C$2:$C$71=J48,$B$2:$B$71,"")))</f>
        <v/>
      </c>
      <c r="L48" t="str">
        <f t="array" ref="L48">IF(J48="","",COUNT(IF($C$2:$C$71=J48,$B$2:$B$71,"")))</f>
        <v/>
      </c>
      <c r="M48" t="str">
        <f t="shared" si="2"/>
        <v/>
      </c>
    </row>
    <row r="49" spans="1:13" x14ac:dyDescent="0.25">
      <c r="A49">
        <f>IF(MODEL_MATRIX!A49="","",MODEL_MATRIX!A49)</f>
        <v>48</v>
      </c>
      <c r="B49" s="1" t="str">
        <f>IF(MODEL_MATRIX!B49="","",MODEL_MATRIX!B49)</f>
        <v/>
      </c>
      <c r="C49" s="1" t="str">
        <f>_xlfn.CONCAT(MODEL_MATRIX!C49:AA49)</f>
        <v/>
      </c>
      <c r="D49" t="str">
        <f t="shared" si="0"/>
        <v/>
      </c>
      <c r="E49" t="str">
        <f t="shared" si="1"/>
        <v/>
      </c>
      <c r="J49" s="1"/>
      <c r="K49" t="str">
        <f t="array" ref="K49">IF(J49="","",AVERAGE(IF($C$2:$C$71=J49,$B$2:$B$71,"")))</f>
        <v/>
      </c>
      <c r="L49" t="str">
        <f t="array" ref="L49">IF(J49="","",COUNT(IF($C$2:$C$71=J49,$B$2:$B$71,"")))</f>
        <v/>
      </c>
      <c r="M49" t="str">
        <f t="shared" si="2"/>
        <v/>
      </c>
    </row>
    <row r="50" spans="1:13" x14ac:dyDescent="0.25">
      <c r="A50">
        <f>IF(MODEL_MATRIX!A50="","",MODEL_MATRIX!A50)</f>
        <v>49</v>
      </c>
      <c r="B50" s="1" t="str">
        <f>IF(MODEL_MATRIX!B50="","",MODEL_MATRIX!B50)</f>
        <v/>
      </c>
      <c r="C50" s="1" t="str">
        <f>_xlfn.CONCAT(MODEL_MATRIX!C50:AA50)</f>
        <v/>
      </c>
      <c r="D50" t="str">
        <f t="shared" si="0"/>
        <v/>
      </c>
      <c r="E50" t="str">
        <f t="shared" si="1"/>
        <v/>
      </c>
      <c r="J50" s="1"/>
      <c r="K50" t="str">
        <f t="array" ref="K50">IF(J50="","",AVERAGE(IF($C$2:$C$71=J50,$B$2:$B$71,"")))</f>
        <v/>
      </c>
      <c r="L50" t="str">
        <f t="array" ref="L50">IF(J50="","",COUNT(IF($C$2:$C$71=J50,$B$2:$B$71,"")))</f>
        <v/>
      </c>
      <c r="M50" t="str">
        <f t="shared" si="2"/>
        <v/>
      </c>
    </row>
    <row r="51" spans="1:13" x14ac:dyDescent="0.25">
      <c r="A51">
        <f>IF(MODEL_MATRIX!A51="","",MODEL_MATRIX!A51)</f>
        <v>50</v>
      </c>
      <c r="B51" s="1" t="str">
        <f>IF(MODEL_MATRIX!B51="","",MODEL_MATRIX!B51)</f>
        <v/>
      </c>
      <c r="C51" s="1" t="str">
        <f>_xlfn.CONCAT(MODEL_MATRIX!C51:AA51)</f>
        <v/>
      </c>
      <c r="D51" t="str">
        <f t="shared" si="0"/>
        <v/>
      </c>
      <c r="E51" t="str">
        <f t="shared" si="1"/>
        <v/>
      </c>
      <c r="J51" s="1"/>
      <c r="K51" t="str">
        <f t="array" ref="K51">IF(J51="","",AVERAGE(IF($C$2:$C$71=J51,$B$2:$B$71,"")))</f>
        <v/>
      </c>
      <c r="L51" t="str">
        <f t="array" ref="L51">IF(J51="","",COUNT(IF($C$2:$C$71=J51,$B$2:$B$71,"")))</f>
        <v/>
      </c>
      <c r="M51" t="str">
        <f t="shared" si="2"/>
        <v/>
      </c>
    </row>
    <row r="52" spans="1:13" x14ac:dyDescent="0.25">
      <c r="A52">
        <f>IF(MODEL_MATRIX!A52="","",MODEL_MATRIX!A52)</f>
        <v>51</v>
      </c>
      <c r="B52" s="1" t="str">
        <f>IF(MODEL_MATRIX!B52="","",MODEL_MATRIX!B52)</f>
        <v/>
      </c>
      <c r="C52" s="1" t="str">
        <f>_xlfn.CONCAT(MODEL_MATRIX!C52:AA52)</f>
        <v/>
      </c>
      <c r="D52" t="str">
        <f t="shared" si="0"/>
        <v/>
      </c>
      <c r="E52" t="str">
        <f t="shared" si="1"/>
        <v/>
      </c>
      <c r="J52" s="1"/>
      <c r="K52" t="str">
        <f t="array" ref="K52">IF(J52="","",AVERAGE(IF($C$2:$C$71=J52,$B$2:$B$71,"")))</f>
        <v/>
      </c>
      <c r="L52" t="str">
        <f t="array" ref="L52">IF(J52="","",COUNT(IF($C$2:$C$71=J52,$B$2:$B$71,"")))</f>
        <v/>
      </c>
      <c r="M52" t="str">
        <f t="shared" si="2"/>
        <v/>
      </c>
    </row>
    <row r="53" spans="1:13" x14ac:dyDescent="0.25">
      <c r="A53">
        <f>IF(MODEL_MATRIX!A53="","",MODEL_MATRIX!A53)</f>
        <v>52</v>
      </c>
      <c r="B53" s="1" t="str">
        <f>IF(MODEL_MATRIX!B53="","",MODEL_MATRIX!B53)</f>
        <v/>
      </c>
      <c r="C53" s="1" t="str">
        <f>_xlfn.CONCAT(MODEL_MATRIX!C53:AA53)</f>
        <v/>
      </c>
      <c r="D53" t="str">
        <f t="shared" si="0"/>
        <v/>
      </c>
      <c r="E53" t="str">
        <f t="shared" si="1"/>
        <v/>
      </c>
      <c r="J53" s="1"/>
      <c r="K53" t="str">
        <f t="array" ref="K53">IF(J53="","",AVERAGE(IF($C$2:$C$71=J53,$B$2:$B$71,"")))</f>
        <v/>
      </c>
      <c r="L53" t="str">
        <f t="array" ref="L53">IF(J53="","",COUNT(IF($C$2:$C$71=J53,$B$2:$B$71,"")))</f>
        <v/>
      </c>
      <c r="M53" t="str">
        <f t="shared" si="2"/>
        <v/>
      </c>
    </row>
    <row r="54" spans="1:13" x14ac:dyDescent="0.25">
      <c r="A54">
        <f>IF(MODEL_MATRIX!A54="","",MODEL_MATRIX!A54)</f>
        <v>53</v>
      </c>
      <c r="B54" s="1" t="str">
        <f>IF(MODEL_MATRIX!B54="","",MODEL_MATRIX!B54)</f>
        <v/>
      </c>
      <c r="C54" s="1" t="str">
        <f>_xlfn.CONCAT(MODEL_MATRIX!C54:AA54)</f>
        <v/>
      </c>
      <c r="D54" t="str">
        <f t="shared" si="0"/>
        <v/>
      </c>
      <c r="E54" t="str">
        <f t="shared" si="1"/>
        <v/>
      </c>
      <c r="J54" s="1"/>
      <c r="K54" t="str">
        <f t="array" ref="K54">IF(J54="","",AVERAGE(IF($C$2:$C$71=J54,$B$2:$B$71,"")))</f>
        <v/>
      </c>
      <c r="L54" t="str">
        <f t="array" ref="L54">IF(J54="","",COUNT(IF($C$2:$C$71=J54,$B$2:$B$71,"")))</f>
        <v/>
      </c>
      <c r="M54" t="str">
        <f t="shared" si="2"/>
        <v/>
      </c>
    </row>
    <row r="55" spans="1:13" x14ac:dyDescent="0.25">
      <c r="A55">
        <f>IF(MODEL_MATRIX!A55="","",MODEL_MATRIX!A55)</f>
        <v>54</v>
      </c>
      <c r="B55" s="1" t="str">
        <f>IF(MODEL_MATRIX!B55="","",MODEL_MATRIX!B55)</f>
        <v/>
      </c>
      <c r="C55" s="1" t="str">
        <f>_xlfn.CONCAT(MODEL_MATRIX!C55:AA55)</f>
        <v/>
      </c>
      <c r="D55" t="str">
        <f t="shared" si="0"/>
        <v/>
      </c>
      <c r="E55" t="str">
        <f t="shared" si="1"/>
        <v/>
      </c>
      <c r="J55" s="1"/>
      <c r="K55" t="str">
        <f t="array" ref="K55">IF(J55="","",AVERAGE(IF($C$2:$C$71=J55,$B$2:$B$71,"")))</f>
        <v/>
      </c>
      <c r="L55" t="str">
        <f t="array" ref="L55">IF(J55="","",COUNT(IF($C$2:$C$71=J55,$B$2:$B$71,"")))</f>
        <v/>
      </c>
      <c r="M55" t="str">
        <f t="shared" si="2"/>
        <v/>
      </c>
    </row>
    <row r="56" spans="1:13" x14ac:dyDescent="0.25">
      <c r="A56">
        <f>IF(MODEL_MATRIX!A56="","",MODEL_MATRIX!A56)</f>
        <v>55</v>
      </c>
      <c r="B56" s="1" t="str">
        <f>IF(MODEL_MATRIX!B56="","",MODEL_MATRIX!B56)</f>
        <v/>
      </c>
      <c r="C56" s="1" t="str">
        <f>_xlfn.CONCAT(MODEL_MATRIX!C56:AA56)</f>
        <v/>
      </c>
      <c r="D56" t="str">
        <f t="shared" si="0"/>
        <v/>
      </c>
      <c r="E56" t="str">
        <f t="shared" si="1"/>
        <v/>
      </c>
      <c r="J56" s="1"/>
      <c r="K56" t="str">
        <f t="array" ref="K56">IF(J56="","",AVERAGE(IF($C$2:$C$71=J56,$B$2:$B$71,"")))</f>
        <v/>
      </c>
      <c r="L56" t="str">
        <f t="array" ref="L56">IF(J56="","",COUNT(IF($C$2:$C$71=J56,$B$2:$B$71,"")))</f>
        <v/>
      </c>
      <c r="M56" t="str">
        <f t="shared" si="2"/>
        <v/>
      </c>
    </row>
    <row r="57" spans="1:13" x14ac:dyDescent="0.25">
      <c r="A57">
        <f>IF(MODEL_MATRIX!A57="","",MODEL_MATRIX!A57)</f>
        <v>56</v>
      </c>
      <c r="B57" s="1" t="str">
        <f>IF(MODEL_MATRIX!B57="","",MODEL_MATRIX!B57)</f>
        <v/>
      </c>
      <c r="C57" s="1" t="str">
        <f>_xlfn.CONCAT(MODEL_MATRIX!C57:AA57)</f>
        <v/>
      </c>
      <c r="D57" t="str">
        <f t="shared" si="0"/>
        <v/>
      </c>
      <c r="E57" t="str">
        <f t="shared" si="1"/>
        <v/>
      </c>
      <c r="J57" s="1"/>
      <c r="K57" t="str">
        <f t="array" ref="K57">IF(J57="","",AVERAGE(IF($C$2:$C$71=J57,$B$2:$B$71,"")))</f>
        <v/>
      </c>
      <c r="L57" t="str">
        <f t="array" ref="L57">IF(J57="","",COUNT(IF($C$2:$C$71=J57,$B$2:$B$71,"")))</f>
        <v/>
      </c>
      <c r="M57" t="str">
        <f t="shared" si="2"/>
        <v/>
      </c>
    </row>
    <row r="58" spans="1:13" x14ac:dyDescent="0.25">
      <c r="A58">
        <f>IF(MODEL_MATRIX!A58="","",MODEL_MATRIX!A58)</f>
        <v>57</v>
      </c>
      <c r="B58" s="1" t="str">
        <f>IF(MODEL_MATRIX!B58="","",MODEL_MATRIX!B58)</f>
        <v/>
      </c>
      <c r="C58" s="1" t="str">
        <f>_xlfn.CONCAT(MODEL_MATRIX!C58:AA58)</f>
        <v/>
      </c>
      <c r="D58" t="str">
        <f t="shared" si="0"/>
        <v/>
      </c>
      <c r="E58" t="str">
        <f t="shared" si="1"/>
        <v/>
      </c>
      <c r="J58" s="1"/>
      <c r="K58" t="str">
        <f t="array" ref="K58">IF(J58="","",AVERAGE(IF($C$2:$C$71=J58,$B$2:$B$71,"")))</f>
        <v/>
      </c>
      <c r="L58" t="str">
        <f t="array" ref="L58">IF(J58="","",COUNT(IF($C$2:$C$71=J58,$B$2:$B$71,"")))</f>
        <v/>
      </c>
      <c r="M58" t="str">
        <f t="shared" si="2"/>
        <v/>
      </c>
    </row>
    <row r="59" spans="1:13" x14ac:dyDescent="0.25">
      <c r="A59">
        <f>IF(MODEL_MATRIX!A59="","",MODEL_MATRIX!A59)</f>
        <v>58</v>
      </c>
      <c r="B59" s="1" t="str">
        <f>IF(MODEL_MATRIX!B59="","",MODEL_MATRIX!B59)</f>
        <v/>
      </c>
      <c r="C59" s="1" t="str">
        <f>_xlfn.CONCAT(MODEL_MATRIX!C59:AA59)</f>
        <v/>
      </c>
      <c r="D59" t="str">
        <f t="shared" si="0"/>
        <v/>
      </c>
      <c r="E59" t="str">
        <f t="shared" si="1"/>
        <v/>
      </c>
      <c r="J59" s="1"/>
      <c r="K59" t="str">
        <f t="array" ref="K59">IF(J59="","",AVERAGE(IF($C$2:$C$71=J59,$B$2:$B$71,"")))</f>
        <v/>
      </c>
      <c r="L59" t="str">
        <f t="array" ref="L59">IF(J59="","",COUNT(IF($C$2:$C$71=J59,$B$2:$B$71,"")))</f>
        <v/>
      </c>
      <c r="M59" t="str">
        <f t="shared" si="2"/>
        <v/>
      </c>
    </row>
    <row r="60" spans="1:13" x14ac:dyDescent="0.25">
      <c r="A60">
        <f>IF(MODEL_MATRIX!A60="","",MODEL_MATRIX!A60)</f>
        <v>59</v>
      </c>
      <c r="B60" s="1" t="str">
        <f>IF(MODEL_MATRIX!B60="","",MODEL_MATRIX!B60)</f>
        <v/>
      </c>
      <c r="C60" s="1" t="str">
        <f>_xlfn.CONCAT(MODEL_MATRIX!C60:AA60)</f>
        <v/>
      </c>
      <c r="D60" t="str">
        <f t="shared" si="0"/>
        <v/>
      </c>
      <c r="E60" t="str">
        <f t="shared" si="1"/>
        <v/>
      </c>
      <c r="J60" s="1"/>
      <c r="K60" t="str">
        <f t="array" ref="K60">IF(J60="","",AVERAGE(IF($C$2:$C$71=J60,$B$2:$B$71,"")))</f>
        <v/>
      </c>
      <c r="L60" t="str">
        <f t="array" ref="L60">IF(J60="","",COUNT(IF($C$2:$C$71=J60,$B$2:$B$71,"")))</f>
        <v/>
      </c>
      <c r="M60" t="str">
        <f t="shared" si="2"/>
        <v/>
      </c>
    </row>
    <row r="61" spans="1:13" x14ac:dyDescent="0.25">
      <c r="A61">
        <f>IF(MODEL_MATRIX!A61="","",MODEL_MATRIX!A61)</f>
        <v>60</v>
      </c>
      <c r="B61" s="1" t="str">
        <f>IF(MODEL_MATRIX!B61="","",MODEL_MATRIX!B61)</f>
        <v/>
      </c>
      <c r="C61" s="1" t="str">
        <f>_xlfn.CONCAT(MODEL_MATRIX!C61:AA61)</f>
        <v/>
      </c>
      <c r="D61" t="str">
        <f t="shared" si="0"/>
        <v/>
      </c>
      <c r="E61" t="str">
        <f t="shared" si="1"/>
        <v/>
      </c>
      <c r="J61" s="1"/>
      <c r="K61" t="str">
        <f t="array" ref="K61">IF(J61="","",AVERAGE(IF($C$2:$C$71=J61,$B$2:$B$71,"")))</f>
        <v/>
      </c>
      <c r="L61" t="str">
        <f t="array" ref="L61">IF(J61="","",COUNT(IF($C$2:$C$71=J61,$B$2:$B$71,"")))</f>
        <v/>
      </c>
      <c r="M61" t="str">
        <f t="shared" si="2"/>
        <v/>
      </c>
    </row>
    <row r="62" spans="1:13" x14ac:dyDescent="0.25">
      <c r="A62">
        <f>IF(MODEL_MATRIX!A62="","",MODEL_MATRIX!A62)</f>
        <v>61</v>
      </c>
      <c r="B62" s="1" t="str">
        <f>IF(MODEL_MATRIX!B62="","",MODEL_MATRIX!B62)</f>
        <v/>
      </c>
      <c r="C62" s="1" t="str">
        <f>_xlfn.CONCAT(MODEL_MATRIX!C62:AA62)</f>
        <v/>
      </c>
      <c r="D62" t="str">
        <f t="shared" si="0"/>
        <v/>
      </c>
      <c r="E62" t="str">
        <f t="shared" si="1"/>
        <v/>
      </c>
      <c r="J62" s="1"/>
      <c r="K62" t="str">
        <f t="array" ref="K62">IF(J62="","",AVERAGE(IF($C$2:$C$71=J62,$B$2:$B$71,"")))</f>
        <v/>
      </c>
      <c r="L62" t="str">
        <f t="array" ref="L62">IF(J62="","",COUNT(IF($C$2:$C$71=J62,$B$2:$B$71,"")))</f>
        <v/>
      </c>
      <c r="M62" t="str">
        <f t="shared" si="2"/>
        <v/>
      </c>
    </row>
    <row r="63" spans="1:13" x14ac:dyDescent="0.25">
      <c r="A63">
        <f>IF(MODEL_MATRIX!A63="","",MODEL_MATRIX!A63)</f>
        <v>62</v>
      </c>
      <c r="B63" s="1" t="str">
        <f>IF(MODEL_MATRIX!B63="","",MODEL_MATRIX!B63)</f>
        <v/>
      </c>
      <c r="C63" s="1" t="str">
        <f>_xlfn.CONCAT(MODEL_MATRIX!C63:AA63)</f>
        <v/>
      </c>
      <c r="D63" t="str">
        <f t="shared" si="0"/>
        <v/>
      </c>
      <c r="E63" t="str">
        <f t="shared" si="1"/>
        <v/>
      </c>
      <c r="J63" s="1"/>
      <c r="K63" t="str">
        <f t="array" ref="K63">IF(J63="","",AVERAGE(IF($C$2:$C$71=J63,$B$2:$B$71,"")))</f>
        <v/>
      </c>
      <c r="L63" t="str">
        <f t="array" ref="L63">IF(J63="","",COUNT(IF($C$2:$C$71=J63,$B$2:$B$71,"")))</f>
        <v/>
      </c>
      <c r="M63" t="str">
        <f t="shared" si="2"/>
        <v/>
      </c>
    </row>
    <row r="64" spans="1:13" x14ac:dyDescent="0.25">
      <c r="A64">
        <f>IF(MODEL_MATRIX!A64="","",MODEL_MATRIX!A64)</f>
        <v>63</v>
      </c>
      <c r="B64" s="1" t="str">
        <f>IF(MODEL_MATRIX!B64="","",MODEL_MATRIX!B64)</f>
        <v/>
      </c>
      <c r="C64" s="1" t="str">
        <f>_xlfn.CONCAT(MODEL_MATRIX!C64:AA64)</f>
        <v/>
      </c>
      <c r="D64" t="str">
        <f t="shared" si="0"/>
        <v/>
      </c>
      <c r="E64" t="str">
        <f t="shared" si="1"/>
        <v/>
      </c>
      <c r="J64" s="1"/>
      <c r="K64" t="str">
        <f t="array" ref="K64">IF(J64="","",AVERAGE(IF($C$2:$C$71=J64,$B$2:$B$71,"")))</f>
        <v/>
      </c>
      <c r="L64" t="str">
        <f t="array" ref="L64">IF(J64="","",COUNT(IF($C$2:$C$71=J64,$B$2:$B$71,"")))</f>
        <v/>
      </c>
      <c r="M64" t="str">
        <f t="shared" si="2"/>
        <v/>
      </c>
    </row>
    <row r="65" spans="1:13" x14ac:dyDescent="0.25">
      <c r="A65">
        <f>IF(MODEL_MATRIX!A65="","",MODEL_MATRIX!A65)</f>
        <v>64</v>
      </c>
      <c r="B65" s="1" t="str">
        <f>IF(MODEL_MATRIX!B65="","",MODEL_MATRIX!B65)</f>
        <v/>
      </c>
      <c r="C65" s="1" t="str">
        <f>_xlfn.CONCAT(MODEL_MATRIX!C65:AA65)</f>
        <v/>
      </c>
      <c r="D65" t="str">
        <f t="shared" si="0"/>
        <v/>
      </c>
      <c r="E65" t="str">
        <f t="shared" si="1"/>
        <v/>
      </c>
      <c r="J65" s="1"/>
      <c r="K65" t="str">
        <f t="array" ref="K65">IF(J65="","",AVERAGE(IF($C$2:$C$71=J65,$B$2:$B$71,"")))</f>
        <v/>
      </c>
      <c r="L65" t="str">
        <f t="array" ref="L65">IF(J65="","",COUNT(IF($C$2:$C$71=J65,$B$2:$B$71,"")))</f>
        <v/>
      </c>
      <c r="M65" t="str">
        <f t="shared" si="2"/>
        <v/>
      </c>
    </row>
    <row r="66" spans="1:13" x14ac:dyDescent="0.25">
      <c r="A66">
        <f>IF(MODEL_MATRIX!A66="","",MODEL_MATRIX!A66)</f>
        <v>65</v>
      </c>
      <c r="B66" s="1" t="str">
        <f>IF(MODEL_MATRIX!B66="","",MODEL_MATRIX!B66)</f>
        <v/>
      </c>
      <c r="C66" s="1" t="str">
        <f>_xlfn.CONCAT(MODEL_MATRIX!C66:AA66)</f>
        <v/>
      </c>
      <c r="D66" t="str">
        <f t="shared" si="0"/>
        <v/>
      </c>
      <c r="E66" t="str">
        <f t="shared" si="1"/>
        <v/>
      </c>
      <c r="J66" s="1"/>
      <c r="K66" t="str">
        <f t="array" ref="K66">IF(J66="","",AVERAGE(IF($C$2:$C$71=J66,$B$2:$B$71,"")))</f>
        <v/>
      </c>
      <c r="L66" t="str">
        <f t="array" ref="L66">IF(J66="","",COUNT(IF($C$2:$C$71=J66,$B$2:$B$71,"")))</f>
        <v/>
      </c>
      <c r="M66" t="str">
        <f t="shared" si="2"/>
        <v/>
      </c>
    </row>
    <row r="67" spans="1:13" x14ac:dyDescent="0.25">
      <c r="A67">
        <f>IF(MODEL_MATRIX!A67="","",MODEL_MATRIX!A67)</f>
        <v>66</v>
      </c>
      <c r="B67" s="1" t="str">
        <f>IF(MODEL_MATRIX!B67="","",MODEL_MATRIX!B67)</f>
        <v/>
      </c>
      <c r="C67" s="1" t="str">
        <f>_xlfn.CONCAT(MODEL_MATRIX!C67:AA67)</f>
        <v/>
      </c>
      <c r="D67" t="str">
        <f t="shared" ref="D67:D71" si="3">VLOOKUP(C67,$J$2:$K$71,2,0)</f>
        <v/>
      </c>
      <c r="E67" t="str">
        <f t="shared" ref="E67:E71" si="4">IF(B67="","",(B67-D67)^2)</f>
        <v/>
      </c>
      <c r="J67" s="1"/>
      <c r="K67" t="str">
        <f t="array" ref="K67">IF(J67="","",AVERAGE(IF($C$2:$C$71=J67,$B$2:$B$71,"")))</f>
        <v/>
      </c>
      <c r="L67" t="str">
        <f t="array" ref="L67">IF(J67="","",COUNT(IF($C$2:$C$71=J67,$B$2:$B$71,"")))</f>
        <v/>
      </c>
      <c r="M67" t="str">
        <f t="shared" ref="M67:M71" si="5">IF(L67="","",L67-1)</f>
        <v/>
      </c>
    </row>
    <row r="68" spans="1:13" x14ac:dyDescent="0.25">
      <c r="A68">
        <f>IF(MODEL_MATRIX!A68="","",MODEL_MATRIX!A68)</f>
        <v>67</v>
      </c>
      <c r="B68" s="1" t="str">
        <f>IF(MODEL_MATRIX!B68="","",MODEL_MATRIX!B68)</f>
        <v/>
      </c>
      <c r="C68" s="1" t="str">
        <f>_xlfn.CONCAT(MODEL_MATRIX!C68:AA68)</f>
        <v/>
      </c>
      <c r="D68" t="str">
        <f t="shared" si="3"/>
        <v/>
      </c>
      <c r="E68" t="str">
        <f t="shared" si="4"/>
        <v/>
      </c>
      <c r="J68" s="1"/>
      <c r="K68" t="str">
        <f t="array" ref="K68">IF(J68="","",AVERAGE(IF($C$2:$C$71=J68,$B$2:$B$71,"")))</f>
        <v/>
      </c>
      <c r="L68" t="str">
        <f t="array" ref="L68">IF(J68="","",COUNT(IF($C$2:$C$71=J68,$B$2:$B$71,"")))</f>
        <v/>
      </c>
      <c r="M68" t="str">
        <f t="shared" si="5"/>
        <v/>
      </c>
    </row>
    <row r="69" spans="1:13" x14ac:dyDescent="0.25">
      <c r="A69">
        <f>IF(MODEL_MATRIX!A69="","",MODEL_MATRIX!A69)</f>
        <v>68</v>
      </c>
      <c r="B69" s="1" t="str">
        <f>IF(MODEL_MATRIX!B69="","",MODEL_MATRIX!B69)</f>
        <v/>
      </c>
      <c r="C69" s="1" t="str">
        <f>_xlfn.CONCAT(MODEL_MATRIX!C69:AA69)</f>
        <v/>
      </c>
      <c r="D69" t="str">
        <f t="shared" si="3"/>
        <v/>
      </c>
      <c r="E69" t="str">
        <f t="shared" si="4"/>
        <v/>
      </c>
      <c r="J69" s="1"/>
      <c r="K69" t="str">
        <f t="array" ref="K69">IF(J69="","",AVERAGE(IF($C$2:$C$71=J69,$B$2:$B$71,"")))</f>
        <v/>
      </c>
      <c r="L69" t="str">
        <f t="array" ref="L69">IF(J69="","",COUNT(IF($C$2:$C$71=J69,$B$2:$B$71,"")))</f>
        <v/>
      </c>
      <c r="M69" t="str">
        <f t="shared" si="5"/>
        <v/>
      </c>
    </row>
    <row r="70" spans="1:13" x14ac:dyDescent="0.25">
      <c r="A70">
        <f>IF(MODEL_MATRIX!A70="","",MODEL_MATRIX!A70)</f>
        <v>69</v>
      </c>
      <c r="B70" s="1" t="str">
        <f>IF(MODEL_MATRIX!B70="","",MODEL_MATRIX!B70)</f>
        <v/>
      </c>
      <c r="C70" s="1" t="str">
        <f>_xlfn.CONCAT(MODEL_MATRIX!C70:AA70)</f>
        <v/>
      </c>
      <c r="D70" t="str">
        <f t="shared" si="3"/>
        <v/>
      </c>
      <c r="E70" t="str">
        <f t="shared" si="4"/>
        <v/>
      </c>
      <c r="J70" s="1"/>
      <c r="K70" t="str">
        <f t="array" ref="K70">IF(J70="","",AVERAGE(IF($C$2:$C$71=J70,$B$2:$B$71,"")))</f>
        <v/>
      </c>
      <c r="L70" t="str">
        <f t="array" ref="L70">IF(J70="","",COUNT(IF($C$2:$C$71=J70,$B$2:$B$71,"")))</f>
        <v/>
      </c>
      <c r="M70" t="str">
        <f t="shared" si="5"/>
        <v/>
      </c>
    </row>
    <row r="71" spans="1:13" x14ac:dyDescent="0.25">
      <c r="A71">
        <f>IF(MODEL_MATRIX!A71="","",MODEL_MATRIX!A71)</f>
        <v>70</v>
      </c>
      <c r="B71" s="1" t="str">
        <f>IF(MODEL_MATRIX!B71="","",MODEL_MATRIX!B71)</f>
        <v/>
      </c>
      <c r="C71" s="1" t="str">
        <f>_xlfn.CONCAT(MODEL_MATRIX!C71:AA71)</f>
        <v/>
      </c>
      <c r="D71" t="str">
        <f t="shared" si="3"/>
        <v/>
      </c>
      <c r="E71" t="str">
        <f t="shared" si="4"/>
        <v/>
      </c>
      <c r="J71" s="1"/>
      <c r="K71" t="str">
        <f t="array" ref="K71">IF(J71="","",AVERAGE(IF($C$2:$C$71=J71,$B$2:$B$71,"")))</f>
        <v/>
      </c>
      <c r="L71" t="str">
        <f t="array" ref="L71">IF(J71="","",COUNT(IF($C$2:$C$71=J71,$B$2:$B$71,"")))</f>
        <v/>
      </c>
      <c r="M71" t="str">
        <f t="shared" si="5"/>
        <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5568B-CC02-4710-B388-F7803F9B7EEA}">
  <dimension ref="A1:AL71"/>
  <sheetViews>
    <sheetView zoomScaleNormal="100" workbookViewId="0"/>
  </sheetViews>
  <sheetFormatPr baseColWidth="10" defaultRowHeight="15" x14ac:dyDescent="0.25"/>
  <cols>
    <col min="1" max="1" width="4.42578125" customWidth="1"/>
    <col min="2" max="3" width="7.7109375" customWidth="1"/>
    <col min="4" max="4" width="4.140625" customWidth="1"/>
    <col min="5" max="29" width="6.42578125" customWidth="1"/>
    <col min="30" max="30" width="2.28515625" customWidth="1"/>
    <col min="31" max="31" width="9.140625" customWidth="1"/>
    <col min="33" max="33" width="2.28515625" customWidth="1"/>
    <col min="34" max="34" width="9.28515625" customWidth="1"/>
    <col min="35" max="35" width="2.7109375" customWidth="1"/>
    <col min="36" max="36" width="6.42578125" customWidth="1"/>
    <col min="37" max="38" width="10" customWidth="1"/>
  </cols>
  <sheetData>
    <row r="1" spans="1:38" x14ac:dyDescent="0.25">
      <c r="B1" t="s">
        <v>15</v>
      </c>
      <c r="C1" t="s">
        <v>78</v>
      </c>
      <c r="D1" t="s">
        <v>79</v>
      </c>
      <c r="E1" t="str">
        <f>MODEL_MATRIX!C1</f>
        <v>A</v>
      </c>
      <c r="F1" t="str">
        <f>MODEL_MATRIX!D1</f>
        <v>C</v>
      </c>
      <c r="G1" t="str">
        <f>MODEL_MATRIX!E1</f>
        <v>E</v>
      </c>
      <c r="H1" t="str">
        <f>MODEL_MATRIX!F1</f>
        <v>AC</v>
      </c>
      <c r="I1" t="str">
        <f>MODEL_MATRIX!G1</f>
        <v>AE</v>
      </c>
      <c r="J1" t="str">
        <f>MODEL_MATRIX!H1</f>
        <v/>
      </c>
      <c r="K1" t="str">
        <f>MODEL_MATRIX!I1</f>
        <v/>
      </c>
      <c r="L1" t="str">
        <f>MODEL_MATRIX!J1</f>
        <v/>
      </c>
      <c r="M1" t="str">
        <f>MODEL_MATRIX!K1</f>
        <v/>
      </c>
      <c r="N1" t="str">
        <f>MODEL_MATRIX!L1</f>
        <v/>
      </c>
      <c r="O1" t="str">
        <f>MODEL_MATRIX!M1</f>
        <v/>
      </c>
      <c r="P1" t="str">
        <f>MODEL_MATRIX!N1</f>
        <v/>
      </c>
      <c r="Q1" t="str">
        <f>MODEL_MATRIX!O1</f>
        <v/>
      </c>
      <c r="R1" t="str">
        <f>MODEL_MATRIX!P1</f>
        <v/>
      </c>
      <c r="S1" t="str">
        <f>MODEL_MATRIX!Q1</f>
        <v/>
      </c>
      <c r="T1" t="str">
        <f>MODEL_MATRIX!R1</f>
        <v/>
      </c>
      <c r="U1" t="str">
        <f>MODEL_MATRIX!S1</f>
        <v/>
      </c>
      <c r="V1" t="str">
        <f>MODEL_MATRIX!T1</f>
        <v/>
      </c>
      <c r="W1" t="str">
        <f>MODEL_MATRIX!U1</f>
        <v/>
      </c>
      <c r="X1" t="str">
        <f>MODEL_MATRIX!V1</f>
        <v/>
      </c>
      <c r="Y1" t="str">
        <f>MODEL_MATRIX!W1</f>
        <v/>
      </c>
      <c r="Z1" t="str">
        <f>MODEL_MATRIX!X1</f>
        <v/>
      </c>
      <c r="AA1" t="str">
        <f>MODEL_MATRIX!Y1</f>
        <v/>
      </c>
      <c r="AB1" t="str">
        <f>MODEL_MATRIX!Z1</f>
        <v/>
      </c>
      <c r="AC1" t="str">
        <f>MODEL_MATRIX!AA1</f>
        <v/>
      </c>
      <c r="AH1" t="s">
        <v>80</v>
      </c>
      <c r="AJ1" t="s">
        <v>82</v>
      </c>
      <c r="AK1" t="s">
        <v>78</v>
      </c>
      <c r="AL1" t="s">
        <v>80</v>
      </c>
    </row>
    <row r="2" spans="1:38" x14ac:dyDescent="0.25">
      <c r="A2">
        <v>1</v>
      </c>
      <c r="B2" s="1">
        <f>MODEL_MATRIX!B2</f>
        <v>4.2919815187500001</v>
      </c>
      <c r="C2" s="1" cm="1">
        <f t="array" aca="1" ref="C2:C33" ca="1">MMULT(OFFSET(D2,0,0,COUNT(D2:D71),COUNT(D2:AC2)),OFFSET(AE2,0,0,COUNT(D2:AC2),1))</f>
        <v>4.9724589875000005</v>
      </c>
      <c r="D2" s="1">
        <f>IF(B2="","",1)</f>
        <v>1</v>
      </c>
      <c r="E2" s="1">
        <f>MODEL_MATRIX!C2</f>
        <v>-1</v>
      </c>
      <c r="F2" s="1">
        <f>MODEL_MATRIX!D2</f>
        <v>-1</v>
      </c>
      <c r="G2" s="1">
        <f>MODEL_MATRIX!E2</f>
        <v>-1</v>
      </c>
      <c r="H2" s="1">
        <f>MODEL_MATRIX!F2</f>
        <v>1</v>
      </c>
      <c r="I2" s="1">
        <f>MODEL_MATRIX!G2</f>
        <v>1</v>
      </c>
      <c r="J2" s="1" t="str">
        <f>MODEL_MATRIX!H2</f>
        <v/>
      </c>
      <c r="K2" s="1" t="str">
        <f>MODEL_MATRIX!I2</f>
        <v/>
      </c>
      <c r="L2" s="1" t="str">
        <f>MODEL_MATRIX!J2</f>
        <v/>
      </c>
      <c r="M2" s="1" t="str">
        <f>MODEL_MATRIX!K2</f>
        <v/>
      </c>
      <c r="N2" s="1" t="str">
        <f>MODEL_MATRIX!L2</f>
        <v/>
      </c>
      <c r="O2" s="1" t="str">
        <f>MODEL_MATRIX!M2</f>
        <v/>
      </c>
      <c r="P2" s="1" t="str">
        <f>MODEL_MATRIX!N2</f>
        <v/>
      </c>
      <c r="Q2" s="1" t="str">
        <f>MODEL_MATRIX!O2</f>
        <v/>
      </c>
      <c r="R2" s="1" t="str">
        <f>MODEL_MATRIX!P2</f>
        <v/>
      </c>
      <c r="S2" s="1" t="str">
        <f>MODEL_MATRIX!Q2</f>
        <v/>
      </c>
      <c r="T2" s="1" t="str">
        <f>MODEL_MATRIX!R2</f>
        <v/>
      </c>
      <c r="U2" s="1" t="str">
        <f>MODEL_MATRIX!S2</f>
        <v/>
      </c>
      <c r="V2" s="1" t="str">
        <f>MODEL_MATRIX!T2</f>
        <v/>
      </c>
      <c r="W2" s="1" t="str">
        <f>MODEL_MATRIX!U2</f>
        <v/>
      </c>
      <c r="X2" s="1" t="str">
        <f>MODEL_MATRIX!V2</f>
        <v/>
      </c>
      <c r="Y2" s="1" t="str">
        <f>MODEL_MATRIX!W2</f>
        <v/>
      </c>
      <c r="Z2" s="1" t="str">
        <f>MODEL_MATRIX!X2</f>
        <v/>
      </c>
      <c r="AA2" s="1" t="str">
        <f>MODEL_MATRIX!Y2</f>
        <v/>
      </c>
      <c r="AB2" s="1" t="str">
        <f>MODEL_MATRIX!Z2</f>
        <v/>
      </c>
      <c r="AC2" s="1" t="str">
        <f>MODEL_MATRIX!AA2</f>
        <v/>
      </c>
      <c r="AE2" s="1">
        <f ca="1">IF(A2&gt;MODEL_FIT!$H$1+1,"",OFFSET(MODEL_FIT!$A$6,0,MODEL_FIT!$H$1+1-ROW()+ROW($AE$2),1,1))</f>
        <v>5.9889290109375004</v>
      </c>
      <c r="AF2" s="1" t="str">
        <f ca="1">IF(A2&gt;MODEL_FIT!$H$1+1,"",OFFSET(MODEL_FIT!$A$5,0,MODEL_FIT!$H$1+1-ROW()+ROW($AE$2),1,1))</f>
        <v>Intercept</v>
      </c>
      <c r="AH2" s="1">
        <f ca="1">IF(B2="","",B2-C2)</f>
        <v>-0.68047746875000037</v>
      </c>
      <c r="AJ2" s="1">
        <f ca="1">IF(AH2="",NA(),A2)</f>
        <v>1</v>
      </c>
      <c r="AK2" s="1">
        <f ca="1">IF(AH2="",NA(),C2)</f>
        <v>4.9724589875000005</v>
      </c>
      <c r="AL2" s="1">
        <f ca="1">IF(AH2="",NA(),AH2)</f>
        <v>-0.68047746875000037</v>
      </c>
    </row>
    <row r="3" spans="1:38" x14ac:dyDescent="0.25">
      <c r="A3">
        <v>2</v>
      </c>
      <c r="B3" s="1">
        <f>MODEL_MATRIX!B3</f>
        <v>4.00793976875</v>
      </c>
      <c r="C3" s="1">
        <f ca="1"/>
        <v>3.9020336593750011</v>
      </c>
      <c r="D3" s="1">
        <f t="shared" ref="D3:D66" si="0">IF(B3="","",1)</f>
        <v>1</v>
      </c>
      <c r="E3" s="1">
        <f>MODEL_MATRIX!C3</f>
        <v>1</v>
      </c>
      <c r="F3" s="1">
        <f>MODEL_MATRIX!D3</f>
        <v>-1</v>
      </c>
      <c r="G3" s="1">
        <f>MODEL_MATRIX!E3</f>
        <v>-1</v>
      </c>
      <c r="H3" s="1">
        <f>MODEL_MATRIX!F3</f>
        <v>-1</v>
      </c>
      <c r="I3" s="1">
        <f>MODEL_MATRIX!G3</f>
        <v>-1</v>
      </c>
      <c r="J3" s="1" t="str">
        <f>MODEL_MATRIX!H3</f>
        <v/>
      </c>
      <c r="K3" s="1" t="str">
        <f>MODEL_MATRIX!I3</f>
        <v/>
      </c>
      <c r="L3" s="1" t="str">
        <f>MODEL_MATRIX!J3</f>
        <v/>
      </c>
      <c r="M3" s="1" t="str">
        <f>MODEL_MATRIX!K3</f>
        <v/>
      </c>
      <c r="N3" s="1" t="str">
        <f>MODEL_MATRIX!L3</f>
        <v/>
      </c>
      <c r="O3" s="1" t="str">
        <f>MODEL_MATRIX!M3</f>
        <v/>
      </c>
      <c r="P3" s="1" t="str">
        <f>MODEL_MATRIX!N3</f>
        <v/>
      </c>
      <c r="Q3" s="1" t="str">
        <f>MODEL_MATRIX!O3</f>
        <v/>
      </c>
      <c r="R3" s="1" t="str">
        <f>MODEL_MATRIX!P3</f>
        <v/>
      </c>
      <c r="S3" s="1" t="str">
        <f>MODEL_MATRIX!Q3</f>
        <v/>
      </c>
      <c r="T3" s="1" t="str">
        <f>MODEL_MATRIX!R3</f>
        <v/>
      </c>
      <c r="U3" s="1" t="str">
        <f>MODEL_MATRIX!S3</f>
        <v/>
      </c>
      <c r="V3" s="1" t="str">
        <f>MODEL_MATRIX!T3</f>
        <v/>
      </c>
      <c r="W3" s="1" t="str">
        <f>MODEL_MATRIX!U3</f>
        <v/>
      </c>
      <c r="X3" s="1" t="str">
        <f>MODEL_MATRIX!V3</f>
        <v/>
      </c>
      <c r="Y3" s="1" t="str">
        <f>MODEL_MATRIX!W3</f>
        <v/>
      </c>
      <c r="Z3" s="1" t="str">
        <f>MODEL_MATRIX!X3</f>
        <v/>
      </c>
      <c r="AA3" s="1" t="str">
        <f>MODEL_MATRIX!Y3</f>
        <v/>
      </c>
      <c r="AB3" s="1" t="str">
        <f>MODEL_MATRIX!Z3</f>
        <v/>
      </c>
      <c r="AC3" s="1" t="str">
        <f>MODEL_MATRIX!AA3</f>
        <v/>
      </c>
      <c r="AE3" s="1">
        <f ca="1">IF(A3&gt;MODEL_FIT!$H$1+1,"",OFFSET(MODEL_FIT!$A$6,0,MODEL_FIT!$H$1+1-ROW()+ROW($AE$2),1,1))</f>
        <v>-0.47624316406249995</v>
      </c>
      <c r="AF3" s="1" t="str">
        <f ca="1">IF(A3&gt;MODEL_FIT!$H$1+1,"",OFFSET(MODEL_FIT!$A$5,0,MODEL_FIT!$H$1+1-ROW()+ROW($AE$2),1,1))</f>
        <v>A</v>
      </c>
      <c r="AH3" s="1">
        <f t="shared" ref="AH3:AH66" ca="1" si="1">IF(B3="","",B3-C3)</f>
        <v>0.10590610937499889</v>
      </c>
      <c r="AJ3" s="1">
        <f t="shared" ref="AJ3:AJ66" ca="1" si="2">IF(AH3="",NA(),A3)</f>
        <v>2</v>
      </c>
      <c r="AK3" s="1">
        <f t="shared" ref="AK3:AK66" ca="1" si="3">IF(AH3="",NA(),C3)</f>
        <v>3.9020336593750011</v>
      </c>
      <c r="AL3" s="1">
        <f t="shared" ref="AL3:AL66" ca="1" si="4">IF(AH3="",NA(),AH3)</f>
        <v>0.10590610937499889</v>
      </c>
    </row>
    <row r="4" spans="1:38" x14ac:dyDescent="0.25">
      <c r="A4">
        <v>3</v>
      </c>
      <c r="B4" s="1">
        <f>MODEL_MATRIX!B4</f>
        <v>5.1804760187500003</v>
      </c>
      <c r="C4" s="1">
        <f ca="1"/>
        <v>4.9724589875000005</v>
      </c>
      <c r="D4" s="1">
        <f t="shared" si="0"/>
        <v>1</v>
      </c>
      <c r="E4" s="1">
        <f>MODEL_MATRIX!C4</f>
        <v>-1</v>
      </c>
      <c r="F4" s="1">
        <f>MODEL_MATRIX!D4</f>
        <v>-1</v>
      </c>
      <c r="G4" s="1">
        <f>MODEL_MATRIX!E4</f>
        <v>-1</v>
      </c>
      <c r="H4" s="1">
        <f>MODEL_MATRIX!F4</f>
        <v>1</v>
      </c>
      <c r="I4" s="1">
        <f>MODEL_MATRIX!G4</f>
        <v>1</v>
      </c>
      <c r="J4" s="1" t="str">
        <f>MODEL_MATRIX!H4</f>
        <v/>
      </c>
      <c r="K4" s="1" t="str">
        <f>MODEL_MATRIX!I4</f>
        <v/>
      </c>
      <c r="L4" s="1" t="str">
        <f>MODEL_MATRIX!J4</f>
        <v/>
      </c>
      <c r="M4" s="1" t="str">
        <f>MODEL_MATRIX!K4</f>
        <v/>
      </c>
      <c r="N4" s="1" t="str">
        <f>MODEL_MATRIX!L4</f>
        <v/>
      </c>
      <c r="O4" s="1" t="str">
        <f>MODEL_MATRIX!M4</f>
        <v/>
      </c>
      <c r="P4" s="1" t="str">
        <f>MODEL_MATRIX!N4</f>
        <v/>
      </c>
      <c r="Q4" s="1" t="str">
        <f>MODEL_MATRIX!O4</f>
        <v/>
      </c>
      <c r="R4" s="1" t="str">
        <f>MODEL_MATRIX!P4</f>
        <v/>
      </c>
      <c r="S4" s="1" t="str">
        <f>MODEL_MATRIX!Q4</f>
        <v/>
      </c>
      <c r="T4" s="1" t="str">
        <f>MODEL_MATRIX!R4</f>
        <v/>
      </c>
      <c r="U4" s="1" t="str">
        <f>MODEL_MATRIX!S4</f>
        <v/>
      </c>
      <c r="V4" s="1" t="str">
        <f>MODEL_MATRIX!T4</f>
        <v/>
      </c>
      <c r="W4" s="1" t="str">
        <f>MODEL_MATRIX!U4</f>
        <v/>
      </c>
      <c r="X4" s="1" t="str">
        <f>MODEL_MATRIX!V4</f>
        <v/>
      </c>
      <c r="Y4" s="1" t="str">
        <f>MODEL_MATRIX!W4</f>
        <v/>
      </c>
      <c r="Z4" s="1" t="str">
        <f>MODEL_MATRIX!X4</f>
        <v/>
      </c>
      <c r="AA4" s="1" t="str">
        <f>MODEL_MATRIX!Y4</f>
        <v/>
      </c>
      <c r="AB4" s="1" t="str">
        <f>MODEL_MATRIX!Z4</f>
        <v/>
      </c>
      <c r="AC4" s="1" t="str">
        <f>MODEL_MATRIX!AA4</f>
        <v/>
      </c>
      <c r="AE4" s="1">
        <f ca="1">IF(A4&gt;MODEL_FIT!$H$1+1,"",OFFSET(MODEL_FIT!$A$6,0,MODEL_FIT!$H$1+1-ROW()+ROW($AE$2),1,1))</f>
        <v>1.0836925390624996</v>
      </c>
      <c r="AF4" s="1" t="str">
        <f ca="1">IF(A4&gt;MODEL_FIT!$H$1+1,"",OFFSET(MODEL_FIT!$A$5,0,MODEL_FIT!$H$1+1-ROW()+ROW($AE$2),1,1))</f>
        <v>C</v>
      </c>
      <c r="AH4" s="1">
        <f t="shared" ca="1" si="1"/>
        <v>0.20801703124999982</v>
      </c>
      <c r="AJ4" s="1">
        <f t="shared" ca="1" si="2"/>
        <v>3</v>
      </c>
      <c r="AK4" s="1">
        <f t="shared" ca="1" si="3"/>
        <v>4.9724589875000005</v>
      </c>
      <c r="AL4" s="1">
        <f t="shared" ca="1" si="4"/>
        <v>0.20801703124999982</v>
      </c>
    </row>
    <row r="5" spans="1:38" x14ac:dyDescent="0.25">
      <c r="A5">
        <v>4</v>
      </c>
      <c r="B5" s="1">
        <f>MODEL_MATRIX!B5</f>
        <v>4.6917005187500003</v>
      </c>
      <c r="C5" s="1">
        <f ca="1"/>
        <v>3.9020336593750011</v>
      </c>
      <c r="D5" s="1">
        <f t="shared" si="0"/>
        <v>1</v>
      </c>
      <c r="E5" s="1">
        <f>MODEL_MATRIX!C5</f>
        <v>1</v>
      </c>
      <c r="F5" s="1">
        <f>MODEL_MATRIX!D5</f>
        <v>-1</v>
      </c>
      <c r="G5" s="1">
        <f>MODEL_MATRIX!E5</f>
        <v>-1</v>
      </c>
      <c r="H5" s="1">
        <f>MODEL_MATRIX!F5</f>
        <v>-1</v>
      </c>
      <c r="I5" s="1">
        <f>MODEL_MATRIX!G5</f>
        <v>-1</v>
      </c>
      <c r="J5" s="1" t="str">
        <f>MODEL_MATRIX!H5</f>
        <v/>
      </c>
      <c r="K5" s="1" t="str">
        <f>MODEL_MATRIX!I5</f>
        <v/>
      </c>
      <c r="L5" s="1" t="str">
        <f>MODEL_MATRIX!J5</f>
        <v/>
      </c>
      <c r="M5" s="1" t="str">
        <f>MODEL_MATRIX!K5</f>
        <v/>
      </c>
      <c r="N5" s="1" t="str">
        <f>MODEL_MATRIX!L5</f>
        <v/>
      </c>
      <c r="O5" s="1" t="str">
        <f>MODEL_MATRIX!M5</f>
        <v/>
      </c>
      <c r="P5" s="1" t="str">
        <f>MODEL_MATRIX!N5</f>
        <v/>
      </c>
      <c r="Q5" s="1" t="str">
        <f>MODEL_MATRIX!O5</f>
        <v/>
      </c>
      <c r="R5" s="1" t="str">
        <f>MODEL_MATRIX!P5</f>
        <v/>
      </c>
      <c r="S5" s="1" t="str">
        <f>MODEL_MATRIX!Q5</f>
        <v/>
      </c>
      <c r="T5" s="1" t="str">
        <f>MODEL_MATRIX!R5</f>
        <v/>
      </c>
      <c r="U5" s="1" t="str">
        <f>MODEL_MATRIX!S5</f>
        <v/>
      </c>
      <c r="V5" s="1" t="str">
        <f>MODEL_MATRIX!T5</f>
        <v/>
      </c>
      <c r="W5" s="1" t="str">
        <f>MODEL_MATRIX!U5</f>
        <v/>
      </c>
      <c r="X5" s="1" t="str">
        <f>MODEL_MATRIX!V5</f>
        <v/>
      </c>
      <c r="Y5" s="1" t="str">
        <f>MODEL_MATRIX!W5</f>
        <v/>
      </c>
      <c r="Z5" s="1" t="str">
        <f>MODEL_MATRIX!X5</f>
        <v/>
      </c>
      <c r="AA5" s="1" t="str">
        <f>MODEL_MATRIX!Y5</f>
        <v/>
      </c>
      <c r="AB5" s="1" t="str">
        <f>MODEL_MATRIX!Z5</f>
        <v/>
      </c>
      <c r="AC5" s="1" t="str">
        <f>MODEL_MATRIX!AA5</f>
        <v/>
      </c>
      <c r="AE5" s="1">
        <f ca="1">IF(A5&gt;MODEL_FIT!$H$1+1,"",OFFSET(MODEL_FIT!$A$6,0,MODEL_FIT!$H$1+1-ROW()+ROW($AE$2),1,1))</f>
        <v>0.46799014843750014</v>
      </c>
      <c r="AF5" s="1" t="str">
        <f ca="1">IF(A5&gt;MODEL_FIT!$H$1+1,"",OFFSET(MODEL_FIT!$A$5,0,MODEL_FIT!$H$1+1-ROW()+ROW($AE$2),1,1))</f>
        <v>E</v>
      </c>
      <c r="AH5" s="1">
        <f t="shared" ca="1" si="1"/>
        <v>0.78966685937499914</v>
      </c>
      <c r="AJ5" s="1">
        <f t="shared" ca="1" si="2"/>
        <v>4</v>
      </c>
      <c r="AK5" s="1">
        <f t="shared" ca="1" si="3"/>
        <v>3.9020336593750011</v>
      </c>
      <c r="AL5" s="1">
        <f t="shared" ca="1" si="4"/>
        <v>0.78966685937499914</v>
      </c>
    </row>
    <row r="6" spans="1:38" x14ac:dyDescent="0.25">
      <c r="A6">
        <v>5</v>
      </c>
      <c r="B6" s="1">
        <f>MODEL_MATRIX!B6</f>
        <v>8.5331880187499998</v>
      </c>
      <c r="C6" s="1">
        <f ca="1"/>
        <v>7.8595721749999994</v>
      </c>
      <c r="D6" s="1">
        <f t="shared" si="0"/>
        <v>1</v>
      </c>
      <c r="E6" s="1">
        <f>MODEL_MATRIX!C6</f>
        <v>-1</v>
      </c>
      <c r="F6" s="1">
        <f>MODEL_MATRIX!D6</f>
        <v>1</v>
      </c>
      <c r="G6" s="1">
        <f>MODEL_MATRIX!E6</f>
        <v>-1</v>
      </c>
      <c r="H6" s="1">
        <f>MODEL_MATRIX!F6</f>
        <v>-1</v>
      </c>
      <c r="I6" s="1">
        <f>MODEL_MATRIX!G6</f>
        <v>1</v>
      </c>
      <c r="J6" s="1" t="str">
        <f>MODEL_MATRIX!H6</f>
        <v/>
      </c>
      <c r="K6" s="1" t="str">
        <f>MODEL_MATRIX!I6</f>
        <v/>
      </c>
      <c r="L6" s="1" t="str">
        <f>MODEL_MATRIX!J6</f>
        <v/>
      </c>
      <c r="M6" s="1" t="str">
        <f>MODEL_MATRIX!K6</f>
        <v/>
      </c>
      <c r="N6" s="1" t="str">
        <f>MODEL_MATRIX!L6</f>
        <v/>
      </c>
      <c r="O6" s="1" t="str">
        <f>MODEL_MATRIX!M6</f>
        <v/>
      </c>
      <c r="P6" s="1" t="str">
        <f>MODEL_MATRIX!N6</f>
        <v/>
      </c>
      <c r="Q6" s="1" t="str">
        <f>MODEL_MATRIX!O6</f>
        <v/>
      </c>
      <c r="R6" s="1" t="str">
        <f>MODEL_MATRIX!P6</f>
        <v/>
      </c>
      <c r="S6" s="1" t="str">
        <f>MODEL_MATRIX!Q6</f>
        <v/>
      </c>
      <c r="T6" s="1" t="str">
        <f>MODEL_MATRIX!R6</f>
        <v/>
      </c>
      <c r="U6" s="1" t="str">
        <f>MODEL_MATRIX!S6</f>
        <v/>
      </c>
      <c r="V6" s="1" t="str">
        <f>MODEL_MATRIX!T6</f>
        <v/>
      </c>
      <c r="W6" s="1" t="str">
        <f>MODEL_MATRIX!U6</f>
        <v/>
      </c>
      <c r="X6" s="1" t="str">
        <f>MODEL_MATRIX!V6</f>
        <v/>
      </c>
      <c r="Y6" s="1" t="str">
        <f>MODEL_MATRIX!W6</f>
        <v/>
      </c>
      <c r="Z6" s="1" t="str">
        <f>MODEL_MATRIX!X6</f>
        <v/>
      </c>
      <c r="AA6" s="1" t="str">
        <f>MODEL_MATRIX!Y6</f>
        <v/>
      </c>
      <c r="AB6" s="1" t="str">
        <f>MODEL_MATRIX!Z6</f>
        <v/>
      </c>
      <c r="AC6" s="1" t="str">
        <f>MODEL_MATRIX!AA6</f>
        <v/>
      </c>
      <c r="AE6" s="1">
        <f ca="1">IF(A6&gt;MODEL_FIT!$H$1+1,"",OFFSET(MODEL_FIT!$A$6,0,MODEL_FIT!$H$1+1-ROW()+ROW($AE$2),1,1))</f>
        <v>-0.35986405468749977</v>
      </c>
      <c r="AF6" s="1" t="str">
        <f ca="1">IF(A6&gt;MODEL_FIT!$H$1+1,"",OFFSET(MODEL_FIT!$A$5,0,MODEL_FIT!$H$1+1-ROW()+ROW($AE$2),1,1))</f>
        <v>AC</v>
      </c>
      <c r="AH6" s="1">
        <f t="shared" ca="1" si="1"/>
        <v>0.67361584375000039</v>
      </c>
      <c r="AJ6" s="1">
        <f t="shared" ca="1" si="2"/>
        <v>5</v>
      </c>
      <c r="AK6" s="1">
        <f t="shared" ca="1" si="3"/>
        <v>7.8595721749999994</v>
      </c>
      <c r="AL6" s="1">
        <f t="shared" ca="1" si="4"/>
        <v>0.67361584375000039</v>
      </c>
    </row>
    <row r="7" spans="1:38" x14ac:dyDescent="0.25">
      <c r="A7">
        <v>6</v>
      </c>
      <c r="B7" s="1">
        <f>MODEL_MATRIX!B7</f>
        <v>4.3121690187499997</v>
      </c>
      <c r="C7" s="1">
        <f ca="1"/>
        <v>5.3496906281250007</v>
      </c>
      <c r="D7" s="1">
        <f t="shared" si="0"/>
        <v>1</v>
      </c>
      <c r="E7" s="1">
        <f>MODEL_MATRIX!C7</f>
        <v>1</v>
      </c>
      <c r="F7" s="1">
        <f>MODEL_MATRIX!D7</f>
        <v>1</v>
      </c>
      <c r="G7" s="1">
        <f>MODEL_MATRIX!E7</f>
        <v>-1</v>
      </c>
      <c r="H7" s="1">
        <f>MODEL_MATRIX!F7</f>
        <v>1</v>
      </c>
      <c r="I7" s="1">
        <f>MODEL_MATRIX!G7</f>
        <v>-1</v>
      </c>
      <c r="J7" s="1" t="str">
        <f>MODEL_MATRIX!H7</f>
        <v/>
      </c>
      <c r="K7" s="1" t="str">
        <f>MODEL_MATRIX!I7</f>
        <v/>
      </c>
      <c r="L7" s="1" t="str">
        <f>MODEL_MATRIX!J7</f>
        <v/>
      </c>
      <c r="M7" s="1" t="str">
        <f>MODEL_MATRIX!K7</f>
        <v/>
      </c>
      <c r="N7" s="1" t="str">
        <f>MODEL_MATRIX!L7</f>
        <v/>
      </c>
      <c r="O7" s="1" t="str">
        <f>MODEL_MATRIX!M7</f>
        <v/>
      </c>
      <c r="P7" s="1" t="str">
        <f>MODEL_MATRIX!N7</f>
        <v/>
      </c>
      <c r="Q7" s="1" t="str">
        <f>MODEL_MATRIX!O7</f>
        <v/>
      </c>
      <c r="R7" s="1" t="str">
        <f>MODEL_MATRIX!P7</f>
        <v/>
      </c>
      <c r="S7" s="1" t="str">
        <f>MODEL_MATRIX!Q7</f>
        <v/>
      </c>
      <c r="T7" s="1" t="str">
        <f>MODEL_MATRIX!R7</f>
        <v/>
      </c>
      <c r="U7" s="1" t="str">
        <f>MODEL_MATRIX!S7</f>
        <v/>
      </c>
      <c r="V7" s="1" t="str">
        <f>MODEL_MATRIX!T7</f>
        <v/>
      </c>
      <c r="W7" s="1" t="str">
        <f>MODEL_MATRIX!U7</f>
        <v/>
      </c>
      <c r="X7" s="1" t="str">
        <f>MODEL_MATRIX!V7</f>
        <v/>
      </c>
      <c r="Y7" s="1" t="str">
        <f>MODEL_MATRIX!W7</f>
        <v/>
      </c>
      <c r="Z7" s="1" t="str">
        <f>MODEL_MATRIX!X7</f>
        <v/>
      </c>
      <c r="AA7" s="1" t="str">
        <f>MODEL_MATRIX!Y7</f>
        <v/>
      </c>
      <c r="AB7" s="1" t="str">
        <f>MODEL_MATRIX!Z7</f>
        <v/>
      </c>
      <c r="AC7" s="1" t="str">
        <f>MODEL_MATRIX!AA7</f>
        <v/>
      </c>
      <c r="AE7" s="1">
        <f ca="1">IF(A7&gt;MODEL_FIT!$H$1+1,"",OFFSET(MODEL_FIT!$A$6,0,MODEL_FIT!$H$1+1-ROW()+ROW($AE$2),1,1))</f>
        <v>0.41883355468749978</v>
      </c>
      <c r="AF7" s="1" t="str">
        <f ca="1">IF(A7&gt;MODEL_FIT!$H$1+1,"",OFFSET(MODEL_FIT!$A$5,0,MODEL_FIT!$H$1+1-ROW()+ROW($AE$2),1,1))</f>
        <v>AE</v>
      </c>
      <c r="AH7" s="1">
        <f t="shared" ca="1" si="1"/>
        <v>-1.037521609375001</v>
      </c>
      <c r="AJ7" s="1">
        <f t="shared" ca="1" si="2"/>
        <v>6</v>
      </c>
      <c r="AK7" s="1">
        <f t="shared" ca="1" si="3"/>
        <v>5.3496906281250007</v>
      </c>
      <c r="AL7" s="1">
        <f t="shared" ca="1" si="4"/>
        <v>-1.037521609375001</v>
      </c>
    </row>
    <row r="8" spans="1:38" x14ac:dyDescent="0.25">
      <c r="A8">
        <v>7</v>
      </c>
      <c r="B8" s="1">
        <f>MODEL_MATRIX!B8</f>
        <v>8.3170460187500002</v>
      </c>
      <c r="C8" s="1">
        <f ca="1"/>
        <v>7.8595721749999994</v>
      </c>
      <c r="D8" s="1">
        <f t="shared" si="0"/>
        <v>1</v>
      </c>
      <c r="E8" s="1">
        <f>MODEL_MATRIX!C8</f>
        <v>-1</v>
      </c>
      <c r="F8" s="1">
        <f>MODEL_MATRIX!D8</f>
        <v>1</v>
      </c>
      <c r="G8" s="1">
        <f>MODEL_MATRIX!E8</f>
        <v>-1</v>
      </c>
      <c r="H8" s="1">
        <f>MODEL_MATRIX!F8</f>
        <v>-1</v>
      </c>
      <c r="I8" s="1">
        <f>MODEL_MATRIX!G8</f>
        <v>1</v>
      </c>
      <c r="J8" s="1" t="str">
        <f>MODEL_MATRIX!H8</f>
        <v/>
      </c>
      <c r="K8" s="1" t="str">
        <f>MODEL_MATRIX!I8</f>
        <v/>
      </c>
      <c r="L8" s="1" t="str">
        <f>MODEL_MATRIX!J8</f>
        <v/>
      </c>
      <c r="M8" s="1" t="str">
        <f>MODEL_MATRIX!K8</f>
        <v/>
      </c>
      <c r="N8" s="1" t="str">
        <f>MODEL_MATRIX!L8</f>
        <v/>
      </c>
      <c r="O8" s="1" t="str">
        <f>MODEL_MATRIX!M8</f>
        <v/>
      </c>
      <c r="P8" s="1" t="str">
        <f>MODEL_MATRIX!N8</f>
        <v/>
      </c>
      <c r="Q8" s="1" t="str">
        <f>MODEL_MATRIX!O8</f>
        <v/>
      </c>
      <c r="R8" s="1" t="str">
        <f>MODEL_MATRIX!P8</f>
        <v/>
      </c>
      <c r="S8" s="1" t="str">
        <f>MODEL_MATRIX!Q8</f>
        <v/>
      </c>
      <c r="T8" s="1" t="str">
        <f>MODEL_MATRIX!R8</f>
        <v/>
      </c>
      <c r="U8" s="1" t="str">
        <f>MODEL_MATRIX!S8</f>
        <v/>
      </c>
      <c r="V8" s="1" t="str">
        <f>MODEL_MATRIX!T8</f>
        <v/>
      </c>
      <c r="W8" s="1" t="str">
        <f>MODEL_MATRIX!U8</f>
        <v/>
      </c>
      <c r="X8" s="1" t="str">
        <f>MODEL_MATRIX!V8</f>
        <v/>
      </c>
      <c r="Y8" s="1" t="str">
        <f>MODEL_MATRIX!W8</f>
        <v/>
      </c>
      <c r="Z8" s="1" t="str">
        <f>MODEL_MATRIX!X8</f>
        <v/>
      </c>
      <c r="AA8" s="1" t="str">
        <f>MODEL_MATRIX!Y8</f>
        <v/>
      </c>
      <c r="AB8" s="1" t="str">
        <f>MODEL_MATRIX!Z8</f>
        <v/>
      </c>
      <c r="AC8" s="1" t="str">
        <f>MODEL_MATRIX!AA8</f>
        <v/>
      </c>
      <c r="AE8" s="1" t="str">
        <f ca="1">IF(A8&gt;MODEL_FIT!$H$1+1,"",OFFSET(MODEL_FIT!$A$6,0,MODEL_FIT!$H$1+1-ROW()+ROW($AE$2),1,1))</f>
        <v/>
      </c>
      <c r="AF8" s="1" t="str">
        <f ca="1">IF(A8&gt;MODEL_FIT!$H$1+1,"",OFFSET(MODEL_FIT!$A$5,0,MODEL_FIT!$H$1+1-ROW()+ROW($AE$2),1,1))</f>
        <v/>
      </c>
      <c r="AH8" s="1">
        <f t="shared" ca="1" si="1"/>
        <v>0.45747384375000077</v>
      </c>
      <c r="AJ8" s="1">
        <f t="shared" ca="1" si="2"/>
        <v>7</v>
      </c>
      <c r="AK8" s="1">
        <f t="shared" ca="1" si="3"/>
        <v>7.8595721749999994</v>
      </c>
      <c r="AL8" s="1">
        <f t="shared" ca="1" si="4"/>
        <v>0.45747384375000077</v>
      </c>
    </row>
    <row r="9" spans="1:38" x14ac:dyDescent="0.25">
      <c r="A9">
        <v>8</v>
      </c>
      <c r="B9" s="1">
        <f>MODEL_MATRIX!B9</f>
        <v>4.2429670187499999</v>
      </c>
      <c r="C9" s="1">
        <f ca="1"/>
        <v>5.3496906281250007</v>
      </c>
      <c r="D9" s="1">
        <f t="shared" si="0"/>
        <v>1</v>
      </c>
      <c r="E9" s="1">
        <f>MODEL_MATRIX!C9</f>
        <v>1</v>
      </c>
      <c r="F9" s="1">
        <f>MODEL_MATRIX!D9</f>
        <v>1</v>
      </c>
      <c r="G9" s="1">
        <f>MODEL_MATRIX!E9</f>
        <v>-1</v>
      </c>
      <c r="H9" s="1">
        <f>MODEL_MATRIX!F9</f>
        <v>1</v>
      </c>
      <c r="I9" s="1">
        <f>MODEL_MATRIX!G9</f>
        <v>-1</v>
      </c>
      <c r="J9" s="1" t="str">
        <f>MODEL_MATRIX!H9</f>
        <v/>
      </c>
      <c r="K9" s="1" t="str">
        <f>MODEL_MATRIX!I9</f>
        <v/>
      </c>
      <c r="L9" s="1" t="str">
        <f>MODEL_MATRIX!J9</f>
        <v/>
      </c>
      <c r="M9" s="1" t="str">
        <f>MODEL_MATRIX!K9</f>
        <v/>
      </c>
      <c r="N9" s="1" t="str">
        <f>MODEL_MATRIX!L9</f>
        <v/>
      </c>
      <c r="O9" s="1" t="str">
        <f>MODEL_MATRIX!M9</f>
        <v/>
      </c>
      <c r="P9" s="1" t="str">
        <f>MODEL_MATRIX!N9</f>
        <v/>
      </c>
      <c r="Q9" s="1" t="str">
        <f>MODEL_MATRIX!O9</f>
        <v/>
      </c>
      <c r="R9" s="1" t="str">
        <f>MODEL_MATRIX!P9</f>
        <v/>
      </c>
      <c r="S9" s="1" t="str">
        <f>MODEL_MATRIX!Q9</f>
        <v/>
      </c>
      <c r="T9" s="1" t="str">
        <f>MODEL_MATRIX!R9</f>
        <v/>
      </c>
      <c r="U9" s="1" t="str">
        <f>MODEL_MATRIX!S9</f>
        <v/>
      </c>
      <c r="V9" s="1" t="str">
        <f>MODEL_MATRIX!T9</f>
        <v/>
      </c>
      <c r="W9" s="1" t="str">
        <f>MODEL_MATRIX!U9</f>
        <v/>
      </c>
      <c r="X9" s="1" t="str">
        <f>MODEL_MATRIX!V9</f>
        <v/>
      </c>
      <c r="Y9" s="1" t="str">
        <f>MODEL_MATRIX!W9</f>
        <v/>
      </c>
      <c r="Z9" s="1" t="str">
        <f>MODEL_MATRIX!X9</f>
        <v/>
      </c>
      <c r="AA9" s="1" t="str">
        <f>MODEL_MATRIX!Y9</f>
        <v/>
      </c>
      <c r="AB9" s="1" t="str">
        <f>MODEL_MATRIX!Z9</f>
        <v/>
      </c>
      <c r="AC9" s="1" t="str">
        <f>MODEL_MATRIX!AA9</f>
        <v/>
      </c>
      <c r="AE9" s="1" t="str">
        <f ca="1">IF(A9&gt;MODEL_FIT!$H$1+1,"",OFFSET(MODEL_FIT!$A$6,0,MODEL_FIT!$H$1+1-ROW()+ROW($AE$2),1,1))</f>
        <v/>
      </c>
      <c r="AF9" s="1" t="str">
        <f ca="1">IF(A9&gt;MODEL_FIT!$H$1+1,"",OFFSET(MODEL_FIT!$A$5,0,MODEL_FIT!$H$1+1-ROW()+ROW($AE$2),1,1))</f>
        <v/>
      </c>
      <c r="AH9" s="1">
        <f t="shared" ca="1" si="1"/>
        <v>-1.1067236093750008</v>
      </c>
      <c r="AJ9" s="1">
        <f t="shared" ca="1" si="2"/>
        <v>8</v>
      </c>
      <c r="AK9" s="1">
        <f t="shared" ca="1" si="3"/>
        <v>5.3496906281250007</v>
      </c>
      <c r="AL9" s="1">
        <f t="shared" ca="1" si="4"/>
        <v>-1.1067236093750008</v>
      </c>
    </row>
    <row r="10" spans="1:38" x14ac:dyDescent="0.25">
      <c r="A10">
        <v>9</v>
      </c>
      <c r="B10" s="1">
        <f>MODEL_MATRIX!B10</f>
        <v>4.7379400187499998</v>
      </c>
      <c r="C10" s="1">
        <f ca="1"/>
        <v>4.9724589875000005</v>
      </c>
      <c r="D10" s="1">
        <f t="shared" si="0"/>
        <v>1</v>
      </c>
      <c r="E10" s="1">
        <f>MODEL_MATRIX!C10</f>
        <v>-1</v>
      </c>
      <c r="F10" s="1">
        <f>MODEL_MATRIX!D10</f>
        <v>-1</v>
      </c>
      <c r="G10" s="1">
        <f>MODEL_MATRIX!E10</f>
        <v>-1</v>
      </c>
      <c r="H10" s="1">
        <f>MODEL_MATRIX!F10</f>
        <v>1</v>
      </c>
      <c r="I10" s="1">
        <f>MODEL_MATRIX!G10</f>
        <v>1</v>
      </c>
      <c r="J10" s="1" t="str">
        <f>MODEL_MATRIX!H10</f>
        <v/>
      </c>
      <c r="K10" s="1" t="str">
        <f>MODEL_MATRIX!I10</f>
        <v/>
      </c>
      <c r="L10" s="1" t="str">
        <f>MODEL_MATRIX!J10</f>
        <v/>
      </c>
      <c r="M10" s="1" t="str">
        <f>MODEL_MATRIX!K10</f>
        <v/>
      </c>
      <c r="N10" s="1" t="str">
        <f>MODEL_MATRIX!L10</f>
        <v/>
      </c>
      <c r="O10" s="1" t="str">
        <f>MODEL_MATRIX!M10</f>
        <v/>
      </c>
      <c r="P10" s="1" t="str">
        <f>MODEL_MATRIX!N10</f>
        <v/>
      </c>
      <c r="Q10" s="1" t="str">
        <f>MODEL_MATRIX!O10</f>
        <v/>
      </c>
      <c r="R10" s="1" t="str">
        <f>MODEL_MATRIX!P10</f>
        <v/>
      </c>
      <c r="S10" s="1" t="str">
        <f>MODEL_MATRIX!Q10</f>
        <v/>
      </c>
      <c r="T10" s="1" t="str">
        <f>MODEL_MATRIX!R10</f>
        <v/>
      </c>
      <c r="U10" s="1" t="str">
        <f>MODEL_MATRIX!S10</f>
        <v/>
      </c>
      <c r="V10" s="1" t="str">
        <f>MODEL_MATRIX!T10</f>
        <v/>
      </c>
      <c r="W10" s="1" t="str">
        <f>MODEL_MATRIX!U10</f>
        <v/>
      </c>
      <c r="X10" s="1" t="str">
        <f>MODEL_MATRIX!V10</f>
        <v/>
      </c>
      <c r="Y10" s="1" t="str">
        <f>MODEL_MATRIX!W10</f>
        <v/>
      </c>
      <c r="Z10" s="1" t="str">
        <f>MODEL_MATRIX!X10</f>
        <v/>
      </c>
      <c r="AA10" s="1" t="str">
        <f>MODEL_MATRIX!Y10</f>
        <v/>
      </c>
      <c r="AB10" s="1" t="str">
        <f>MODEL_MATRIX!Z10</f>
        <v/>
      </c>
      <c r="AC10" s="1" t="str">
        <f>MODEL_MATRIX!AA10</f>
        <v/>
      </c>
      <c r="AE10" s="1" t="str">
        <f ca="1">IF(A10&gt;MODEL_FIT!$H$1+1,"",OFFSET(MODEL_FIT!$A$6,0,MODEL_FIT!$H$1+1-ROW()+ROW($AE$2),1,1))</f>
        <v/>
      </c>
      <c r="AF10" s="1" t="str">
        <f ca="1">IF(A10&gt;MODEL_FIT!$H$1+1,"",OFFSET(MODEL_FIT!$A$5,0,MODEL_FIT!$H$1+1-ROW()+ROW($AE$2),1,1))</f>
        <v/>
      </c>
      <c r="AH10" s="1">
        <f t="shared" ca="1" si="1"/>
        <v>-0.23451896875000067</v>
      </c>
      <c r="AJ10" s="1">
        <f t="shared" ca="1" si="2"/>
        <v>9</v>
      </c>
      <c r="AK10" s="1">
        <f t="shared" ca="1" si="3"/>
        <v>4.9724589875000005</v>
      </c>
      <c r="AL10" s="1">
        <f t="shared" ca="1" si="4"/>
        <v>-0.23451896875000067</v>
      </c>
    </row>
    <row r="11" spans="1:38" x14ac:dyDescent="0.25">
      <c r="A11">
        <v>10</v>
      </c>
      <c r="B11" s="1">
        <f>MODEL_MATRIX!B11</f>
        <v>3.8313652687499999</v>
      </c>
      <c r="C11" s="1">
        <f ca="1"/>
        <v>3.9020336593750011</v>
      </c>
      <c r="D11" s="1">
        <f t="shared" si="0"/>
        <v>1</v>
      </c>
      <c r="E11" s="1">
        <f>MODEL_MATRIX!C11</f>
        <v>1</v>
      </c>
      <c r="F11" s="1">
        <f>MODEL_MATRIX!D11</f>
        <v>-1</v>
      </c>
      <c r="G11" s="1">
        <f>MODEL_MATRIX!E11</f>
        <v>-1</v>
      </c>
      <c r="H11" s="1">
        <f>MODEL_MATRIX!F11</f>
        <v>-1</v>
      </c>
      <c r="I11" s="1">
        <f>MODEL_MATRIX!G11</f>
        <v>-1</v>
      </c>
      <c r="J11" s="1" t="str">
        <f>MODEL_MATRIX!H11</f>
        <v/>
      </c>
      <c r="K11" s="1" t="str">
        <f>MODEL_MATRIX!I11</f>
        <v/>
      </c>
      <c r="L11" s="1" t="str">
        <f>MODEL_MATRIX!J11</f>
        <v/>
      </c>
      <c r="M11" s="1" t="str">
        <f>MODEL_MATRIX!K11</f>
        <v/>
      </c>
      <c r="N11" s="1" t="str">
        <f>MODEL_MATRIX!L11</f>
        <v/>
      </c>
      <c r="O11" s="1" t="str">
        <f>MODEL_MATRIX!M11</f>
        <v/>
      </c>
      <c r="P11" s="1" t="str">
        <f>MODEL_MATRIX!N11</f>
        <v/>
      </c>
      <c r="Q11" s="1" t="str">
        <f>MODEL_MATRIX!O11</f>
        <v/>
      </c>
      <c r="R11" s="1" t="str">
        <f>MODEL_MATRIX!P11</f>
        <v/>
      </c>
      <c r="S11" s="1" t="str">
        <f>MODEL_MATRIX!Q11</f>
        <v/>
      </c>
      <c r="T11" s="1" t="str">
        <f>MODEL_MATRIX!R11</f>
        <v/>
      </c>
      <c r="U11" s="1" t="str">
        <f>MODEL_MATRIX!S11</f>
        <v/>
      </c>
      <c r="V11" s="1" t="str">
        <f>MODEL_MATRIX!T11</f>
        <v/>
      </c>
      <c r="W11" s="1" t="str">
        <f>MODEL_MATRIX!U11</f>
        <v/>
      </c>
      <c r="X11" s="1" t="str">
        <f>MODEL_MATRIX!V11</f>
        <v/>
      </c>
      <c r="Y11" s="1" t="str">
        <f>MODEL_MATRIX!W11</f>
        <v/>
      </c>
      <c r="Z11" s="1" t="str">
        <f>MODEL_MATRIX!X11</f>
        <v/>
      </c>
      <c r="AA11" s="1" t="str">
        <f>MODEL_MATRIX!Y11</f>
        <v/>
      </c>
      <c r="AB11" s="1" t="str">
        <f>MODEL_MATRIX!Z11</f>
        <v/>
      </c>
      <c r="AC11" s="1" t="str">
        <f>MODEL_MATRIX!AA11</f>
        <v/>
      </c>
      <c r="AE11" s="1" t="str">
        <f ca="1">IF(A11&gt;MODEL_FIT!$H$1+1,"",OFFSET(MODEL_FIT!$A$6,0,MODEL_FIT!$H$1+1-ROW()+ROW($AE$2),1,1))</f>
        <v/>
      </c>
      <c r="AF11" s="1" t="str">
        <f ca="1">IF(A11&gt;MODEL_FIT!$H$1+1,"",OFFSET(MODEL_FIT!$A$5,0,MODEL_FIT!$H$1+1-ROW()+ROW($AE$2),1,1))</f>
        <v/>
      </c>
      <c r="AH11" s="1">
        <f t="shared" ca="1" si="1"/>
        <v>-7.0668390625001187E-2</v>
      </c>
      <c r="AJ11" s="1">
        <f t="shared" ca="1" si="2"/>
        <v>10</v>
      </c>
      <c r="AK11" s="1">
        <f t="shared" ca="1" si="3"/>
        <v>3.9020336593750011</v>
      </c>
      <c r="AL11" s="1">
        <f t="shared" ca="1" si="4"/>
        <v>-7.0668390625001187E-2</v>
      </c>
    </row>
    <row r="12" spans="1:38" x14ac:dyDescent="0.25">
      <c r="A12">
        <v>11</v>
      </c>
      <c r="B12" s="1">
        <f>MODEL_MATRIX!B12</f>
        <v>5.4280640187499998</v>
      </c>
      <c r="C12" s="1">
        <f ca="1"/>
        <v>4.9724589875000005</v>
      </c>
      <c r="D12" s="1">
        <f t="shared" si="0"/>
        <v>1</v>
      </c>
      <c r="E12" s="1">
        <f>MODEL_MATRIX!C12</f>
        <v>-1</v>
      </c>
      <c r="F12" s="1">
        <f>MODEL_MATRIX!D12</f>
        <v>-1</v>
      </c>
      <c r="G12" s="1">
        <f>MODEL_MATRIX!E12</f>
        <v>-1</v>
      </c>
      <c r="H12" s="1">
        <f>MODEL_MATRIX!F12</f>
        <v>1</v>
      </c>
      <c r="I12" s="1">
        <f>MODEL_MATRIX!G12</f>
        <v>1</v>
      </c>
      <c r="J12" s="1" t="str">
        <f>MODEL_MATRIX!H12</f>
        <v/>
      </c>
      <c r="K12" s="1" t="str">
        <f>MODEL_MATRIX!I12</f>
        <v/>
      </c>
      <c r="L12" s="1" t="str">
        <f>MODEL_MATRIX!J12</f>
        <v/>
      </c>
      <c r="M12" s="1" t="str">
        <f>MODEL_MATRIX!K12</f>
        <v/>
      </c>
      <c r="N12" s="1" t="str">
        <f>MODEL_MATRIX!L12</f>
        <v/>
      </c>
      <c r="O12" s="1" t="str">
        <f>MODEL_MATRIX!M12</f>
        <v/>
      </c>
      <c r="P12" s="1" t="str">
        <f>MODEL_MATRIX!N12</f>
        <v/>
      </c>
      <c r="Q12" s="1" t="str">
        <f>MODEL_MATRIX!O12</f>
        <v/>
      </c>
      <c r="R12" s="1" t="str">
        <f>MODEL_MATRIX!P12</f>
        <v/>
      </c>
      <c r="S12" s="1" t="str">
        <f>MODEL_MATRIX!Q12</f>
        <v/>
      </c>
      <c r="T12" s="1" t="str">
        <f>MODEL_MATRIX!R12</f>
        <v/>
      </c>
      <c r="U12" s="1" t="str">
        <f>MODEL_MATRIX!S12</f>
        <v/>
      </c>
      <c r="V12" s="1" t="str">
        <f>MODEL_MATRIX!T12</f>
        <v/>
      </c>
      <c r="W12" s="1" t="str">
        <f>MODEL_MATRIX!U12</f>
        <v/>
      </c>
      <c r="X12" s="1" t="str">
        <f>MODEL_MATRIX!V12</f>
        <v/>
      </c>
      <c r="Y12" s="1" t="str">
        <f>MODEL_MATRIX!W12</f>
        <v/>
      </c>
      <c r="Z12" s="1" t="str">
        <f>MODEL_MATRIX!X12</f>
        <v/>
      </c>
      <c r="AA12" s="1" t="str">
        <f>MODEL_MATRIX!Y12</f>
        <v/>
      </c>
      <c r="AB12" s="1" t="str">
        <f>MODEL_MATRIX!Z12</f>
        <v/>
      </c>
      <c r="AC12" s="1" t="str">
        <f>MODEL_MATRIX!AA12</f>
        <v/>
      </c>
      <c r="AE12" s="1" t="str">
        <f ca="1">IF(A12&gt;MODEL_FIT!$H$1+1,"",OFFSET(MODEL_FIT!$A$6,0,MODEL_FIT!$H$1+1-ROW()+ROW($AE$2),1,1))</f>
        <v/>
      </c>
      <c r="AF12" s="1" t="str">
        <f ca="1">IF(A12&gt;MODEL_FIT!$H$1+1,"",OFFSET(MODEL_FIT!$A$5,0,MODEL_FIT!$H$1+1-ROW()+ROW($AE$2),1,1))</f>
        <v/>
      </c>
      <c r="AH12" s="1">
        <f t="shared" ca="1" si="1"/>
        <v>0.45560503124999929</v>
      </c>
      <c r="AJ12" s="1">
        <f t="shared" ca="1" si="2"/>
        <v>11</v>
      </c>
      <c r="AK12" s="1">
        <f t="shared" ca="1" si="3"/>
        <v>4.9724589875000005</v>
      </c>
      <c r="AL12" s="1">
        <f t="shared" ca="1" si="4"/>
        <v>0.45560503124999929</v>
      </c>
    </row>
    <row r="13" spans="1:38" x14ac:dyDescent="0.25">
      <c r="A13">
        <v>12</v>
      </c>
      <c r="B13" s="1">
        <f>MODEL_MATRIX!B13</f>
        <v>4.8226030187499997</v>
      </c>
      <c r="C13" s="1">
        <f ca="1"/>
        <v>3.9020336593750011</v>
      </c>
      <c r="D13" s="1">
        <f t="shared" si="0"/>
        <v>1</v>
      </c>
      <c r="E13" s="1">
        <f>MODEL_MATRIX!C13</f>
        <v>1</v>
      </c>
      <c r="F13" s="1">
        <f>MODEL_MATRIX!D13</f>
        <v>-1</v>
      </c>
      <c r="G13" s="1">
        <f>MODEL_MATRIX!E13</f>
        <v>-1</v>
      </c>
      <c r="H13" s="1">
        <f>MODEL_MATRIX!F13</f>
        <v>-1</v>
      </c>
      <c r="I13" s="1">
        <f>MODEL_MATRIX!G13</f>
        <v>-1</v>
      </c>
      <c r="J13" s="1" t="str">
        <f>MODEL_MATRIX!H13</f>
        <v/>
      </c>
      <c r="K13" s="1" t="str">
        <f>MODEL_MATRIX!I13</f>
        <v/>
      </c>
      <c r="L13" s="1" t="str">
        <f>MODEL_MATRIX!J13</f>
        <v/>
      </c>
      <c r="M13" s="1" t="str">
        <f>MODEL_MATRIX!K13</f>
        <v/>
      </c>
      <c r="N13" s="1" t="str">
        <f>MODEL_MATRIX!L13</f>
        <v/>
      </c>
      <c r="O13" s="1" t="str">
        <f>MODEL_MATRIX!M13</f>
        <v/>
      </c>
      <c r="P13" s="1" t="str">
        <f>MODEL_MATRIX!N13</f>
        <v/>
      </c>
      <c r="Q13" s="1" t="str">
        <f>MODEL_MATRIX!O13</f>
        <v/>
      </c>
      <c r="R13" s="1" t="str">
        <f>MODEL_MATRIX!P13</f>
        <v/>
      </c>
      <c r="S13" s="1" t="str">
        <f>MODEL_MATRIX!Q13</f>
        <v/>
      </c>
      <c r="T13" s="1" t="str">
        <f>MODEL_MATRIX!R13</f>
        <v/>
      </c>
      <c r="U13" s="1" t="str">
        <f>MODEL_MATRIX!S13</f>
        <v/>
      </c>
      <c r="V13" s="1" t="str">
        <f>MODEL_MATRIX!T13</f>
        <v/>
      </c>
      <c r="W13" s="1" t="str">
        <f>MODEL_MATRIX!U13</f>
        <v/>
      </c>
      <c r="X13" s="1" t="str">
        <f>MODEL_MATRIX!V13</f>
        <v/>
      </c>
      <c r="Y13" s="1" t="str">
        <f>MODEL_MATRIX!W13</f>
        <v/>
      </c>
      <c r="Z13" s="1" t="str">
        <f>MODEL_MATRIX!X13</f>
        <v/>
      </c>
      <c r="AA13" s="1" t="str">
        <f>MODEL_MATRIX!Y13</f>
        <v/>
      </c>
      <c r="AB13" s="1" t="str">
        <f>MODEL_MATRIX!Z13</f>
        <v/>
      </c>
      <c r="AC13" s="1" t="str">
        <f>MODEL_MATRIX!AA13</f>
        <v/>
      </c>
      <c r="AE13" s="1" t="str">
        <f ca="1">IF(A13&gt;MODEL_FIT!$H$1+1,"",OFFSET(MODEL_FIT!$A$6,0,MODEL_FIT!$H$1+1-ROW()+ROW($AE$2),1,1))</f>
        <v/>
      </c>
      <c r="AF13" s="1" t="str">
        <f ca="1">IF(A13&gt;MODEL_FIT!$H$1+1,"",OFFSET(MODEL_FIT!$A$5,0,MODEL_FIT!$H$1+1-ROW()+ROW($AE$2),1,1))</f>
        <v/>
      </c>
      <c r="AH13" s="1">
        <f t="shared" ca="1" si="1"/>
        <v>0.92056935937499862</v>
      </c>
      <c r="AJ13" s="1">
        <f t="shared" ca="1" si="2"/>
        <v>12</v>
      </c>
      <c r="AK13" s="1">
        <f t="shared" ca="1" si="3"/>
        <v>3.9020336593750011</v>
      </c>
      <c r="AL13" s="1">
        <f t="shared" ca="1" si="4"/>
        <v>0.92056935937499862</v>
      </c>
    </row>
    <row r="14" spans="1:38" x14ac:dyDescent="0.25">
      <c r="A14">
        <v>13</v>
      </c>
      <c r="B14" s="1">
        <f>MODEL_MATRIX!B14</f>
        <v>7.74115001875</v>
      </c>
      <c r="C14" s="1">
        <f ca="1"/>
        <v>7.8595721749999994</v>
      </c>
      <c r="D14" s="1">
        <f t="shared" si="0"/>
        <v>1</v>
      </c>
      <c r="E14" s="1">
        <f>MODEL_MATRIX!C14</f>
        <v>-1</v>
      </c>
      <c r="F14" s="1">
        <f>MODEL_MATRIX!D14</f>
        <v>1</v>
      </c>
      <c r="G14" s="1">
        <f>MODEL_MATRIX!E14</f>
        <v>-1</v>
      </c>
      <c r="H14" s="1">
        <f>MODEL_MATRIX!F14</f>
        <v>-1</v>
      </c>
      <c r="I14" s="1">
        <f>MODEL_MATRIX!G14</f>
        <v>1</v>
      </c>
      <c r="J14" s="1" t="str">
        <f>MODEL_MATRIX!H14</f>
        <v/>
      </c>
      <c r="K14" s="1" t="str">
        <f>MODEL_MATRIX!I14</f>
        <v/>
      </c>
      <c r="L14" s="1" t="str">
        <f>MODEL_MATRIX!J14</f>
        <v/>
      </c>
      <c r="M14" s="1" t="str">
        <f>MODEL_MATRIX!K14</f>
        <v/>
      </c>
      <c r="N14" s="1" t="str">
        <f>MODEL_MATRIX!L14</f>
        <v/>
      </c>
      <c r="O14" s="1" t="str">
        <f>MODEL_MATRIX!M14</f>
        <v/>
      </c>
      <c r="P14" s="1" t="str">
        <f>MODEL_MATRIX!N14</f>
        <v/>
      </c>
      <c r="Q14" s="1" t="str">
        <f>MODEL_MATRIX!O14</f>
        <v/>
      </c>
      <c r="R14" s="1" t="str">
        <f>MODEL_MATRIX!P14</f>
        <v/>
      </c>
      <c r="S14" s="1" t="str">
        <f>MODEL_MATRIX!Q14</f>
        <v/>
      </c>
      <c r="T14" s="1" t="str">
        <f>MODEL_MATRIX!R14</f>
        <v/>
      </c>
      <c r="U14" s="1" t="str">
        <f>MODEL_MATRIX!S14</f>
        <v/>
      </c>
      <c r="V14" s="1" t="str">
        <f>MODEL_MATRIX!T14</f>
        <v/>
      </c>
      <c r="W14" s="1" t="str">
        <f>MODEL_MATRIX!U14</f>
        <v/>
      </c>
      <c r="X14" s="1" t="str">
        <f>MODEL_MATRIX!V14</f>
        <v/>
      </c>
      <c r="Y14" s="1" t="str">
        <f>MODEL_MATRIX!W14</f>
        <v/>
      </c>
      <c r="Z14" s="1" t="str">
        <f>MODEL_MATRIX!X14</f>
        <v/>
      </c>
      <c r="AA14" s="1" t="str">
        <f>MODEL_MATRIX!Y14</f>
        <v/>
      </c>
      <c r="AB14" s="1" t="str">
        <f>MODEL_MATRIX!Z14</f>
        <v/>
      </c>
      <c r="AC14" s="1" t="str">
        <f>MODEL_MATRIX!AA14</f>
        <v/>
      </c>
      <c r="AE14" s="1" t="str">
        <f ca="1">IF(A14&gt;MODEL_FIT!$H$1+1,"",OFFSET(MODEL_FIT!$A$6,0,MODEL_FIT!$H$1+1-ROW()+ROW($AE$2),1,1))</f>
        <v/>
      </c>
      <c r="AF14" s="1" t="str">
        <f ca="1">IF(A14&gt;MODEL_FIT!$H$1+1,"",OFFSET(MODEL_FIT!$A$5,0,MODEL_FIT!$H$1+1-ROW()+ROW($AE$2),1,1))</f>
        <v/>
      </c>
      <c r="AH14" s="1">
        <f t="shared" ca="1" si="1"/>
        <v>-0.11842215624999941</v>
      </c>
      <c r="AJ14" s="1">
        <f t="shared" ca="1" si="2"/>
        <v>13</v>
      </c>
      <c r="AK14" s="1">
        <f t="shared" ca="1" si="3"/>
        <v>7.8595721749999994</v>
      </c>
      <c r="AL14" s="1">
        <f t="shared" ca="1" si="4"/>
        <v>-0.11842215624999941</v>
      </c>
    </row>
    <row r="15" spans="1:38" x14ac:dyDescent="0.25">
      <c r="A15">
        <v>14</v>
      </c>
      <c r="B15" s="1">
        <f>MODEL_MATRIX!B15</f>
        <v>5.2487835187499998</v>
      </c>
      <c r="C15" s="1">
        <f ca="1"/>
        <v>5.3496906281250007</v>
      </c>
      <c r="D15" s="1">
        <f t="shared" si="0"/>
        <v>1</v>
      </c>
      <c r="E15" s="1">
        <f>MODEL_MATRIX!C15</f>
        <v>1</v>
      </c>
      <c r="F15" s="1">
        <f>MODEL_MATRIX!D15</f>
        <v>1</v>
      </c>
      <c r="G15" s="1">
        <f>MODEL_MATRIX!E15</f>
        <v>-1</v>
      </c>
      <c r="H15" s="1">
        <f>MODEL_MATRIX!F15</f>
        <v>1</v>
      </c>
      <c r="I15" s="1">
        <f>MODEL_MATRIX!G15</f>
        <v>-1</v>
      </c>
      <c r="J15" s="1" t="str">
        <f>MODEL_MATRIX!H15</f>
        <v/>
      </c>
      <c r="K15" s="1" t="str">
        <f>MODEL_MATRIX!I15</f>
        <v/>
      </c>
      <c r="L15" s="1" t="str">
        <f>MODEL_MATRIX!J15</f>
        <v/>
      </c>
      <c r="M15" s="1" t="str">
        <f>MODEL_MATRIX!K15</f>
        <v/>
      </c>
      <c r="N15" s="1" t="str">
        <f>MODEL_MATRIX!L15</f>
        <v/>
      </c>
      <c r="O15" s="1" t="str">
        <f>MODEL_MATRIX!M15</f>
        <v/>
      </c>
      <c r="P15" s="1" t="str">
        <f>MODEL_MATRIX!N15</f>
        <v/>
      </c>
      <c r="Q15" s="1" t="str">
        <f>MODEL_MATRIX!O15</f>
        <v/>
      </c>
      <c r="R15" s="1" t="str">
        <f>MODEL_MATRIX!P15</f>
        <v/>
      </c>
      <c r="S15" s="1" t="str">
        <f>MODEL_MATRIX!Q15</f>
        <v/>
      </c>
      <c r="T15" s="1" t="str">
        <f>MODEL_MATRIX!R15</f>
        <v/>
      </c>
      <c r="U15" s="1" t="str">
        <f>MODEL_MATRIX!S15</f>
        <v/>
      </c>
      <c r="V15" s="1" t="str">
        <f>MODEL_MATRIX!T15</f>
        <v/>
      </c>
      <c r="W15" s="1" t="str">
        <f>MODEL_MATRIX!U15</f>
        <v/>
      </c>
      <c r="X15" s="1" t="str">
        <f>MODEL_MATRIX!V15</f>
        <v/>
      </c>
      <c r="Y15" s="1" t="str">
        <f>MODEL_MATRIX!W15</f>
        <v/>
      </c>
      <c r="Z15" s="1" t="str">
        <f>MODEL_MATRIX!X15</f>
        <v/>
      </c>
      <c r="AA15" s="1" t="str">
        <f>MODEL_MATRIX!Y15</f>
        <v/>
      </c>
      <c r="AB15" s="1" t="str">
        <f>MODEL_MATRIX!Z15</f>
        <v/>
      </c>
      <c r="AC15" s="1" t="str">
        <f>MODEL_MATRIX!AA15</f>
        <v/>
      </c>
      <c r="AE15" s="1" t="str">
        <f ca="1">IF(A15&gt;MODEL_FIT!$H$1+1,"",OFFSET(MODEL_FIT!$A$6,0,MODEL_FIT!$H$1+1-ROW()+ROW($AE$2),1,1))</f>
        <v/>
      </c>
      <c r="AF15" s="1" t="str">
        <f ca="1">IF(A15&gt;MODEL_FIT!$H$1+1,"",OFFSET(MODEL_FIT!$A$5,0,MODEL_FIT!$H$1+1-ROW()+ROW($AE$2),1,1))</f>
        <v/>
      </c>
      <c r="AH15" s="1">
        <f t="shared" ca="1" si="1"/>
        <v>-0.10090710937500091</v>
      </c>
      <c r="AJ15" s="1">
        <f t="shared" ca="1" si="2"/>
        <v>14</v>
      </c>
      <c r="AK15" s="1">
        <f t="shared" ca="1" si="3"/>
        <v>5.3496906281250007</v>
      </c>
      <c r="AL15" s="1">
        <f t="shared" ca="1" si="4"/>
        <v>-0.10090710937500091</v>
      </c>
    </row>
    <row r="16" spans="1:38" x14ac:dyDescent="0.25">
      <c r="A16">
        <v>15</v>
      </c>
      <c r="B16" s="1">
        <f>MODEL_MATRIX!B16</f>
        <v>7.0982790187499996</v>
      </c>
      <c r="C16" s="1">
        <f ca="1"/>
        <v>7.8595721749999994</v>
      </c>
      <c r="D16" s="1">
        <f t="shared" si="0"/>
        <v>1</v>
      </c>
      <c r="E16" s="1">
        <f>MODEL_MATRIX!C16</f>
        <v>-1</v>
      </c>
      <c r="F16" s="1">
        <f>MODEL_MATRIX!D16</f>
        <v>1</v>
      </c>
      <c r="G16" s="1">
        <f>MODEL_MATRIX!E16</f>
        <v>-1</v>
      </c>
      <c r="H16" s="1">
        <f>MODEL_MATRIX!F16</f>
        <v>-1</v>
      </c>
      <c r="I16" s="1">
        <f>MODEL_MATRIX!G16</f>
        <v>1</v>
      </c>
      <c r="J16" s="1" t="str">
        <f>MODEL_MATRIX!H16</f>
        <v/>
      </c>
      <c r="K16" s="1" t="str">
        <f>MODEL_MATRIX!I16</f>
        <v/>
      </c>
      <c r="L16" s="1" t="str">
        <f>MODEL_MATRIX!J16</f>
        <v/>
      </c>
      <c r="M16" s="1" t="str">
        <f>MODEL_MATRIX!K16</f>
        <v/>
      </c>
      <c r="N16" s="1" t="str">
        <f>MODEL_MATRIX!L16</f>
        <v/>
      </c>
      <c r="O16" s="1" t="str">
        <f>MODEL_MATRIX!M16</f>
        <v/>
      </c>
      <c r="P16" s="1" t="str">
        <f>MODEL_MATRIX!N16</f>
        <v/>
      </c>
      <c r="Q16" s="1" t="str">
        <f>MODEL_MATRIX!O16</f>
        <v/>
      </c>
      <c r="R16" s="1" t="str">
        <f>MODEL_MATRIX!P16</f>
        <v/>
      </c>
      <c r="S16" s="1" t="str">
        <f>MODEL_MATRIX!Q16</f>
        <v/>
      </c>
      <c r="T16" s="1" t="str">
        <f>MODEL_MATRIX!R16</f>
        <v/>
      </c>
      <c r="U16" s="1" t="str">
        <f>MODEL_MATRIX!S16</f>
        <v/>
      </c>
      <c r="V16" s="1" t="str">
        <f>MODEL_MATRIX!T16</f>
        <v/>
      </c>
      <c r="W16" s="1" t="str">
        <f>MODEL_MATRIX!U16</f>
        <v/>
      </c>
      <c r="X16" s="1" t="str">
        <f>MODEL_MATRIX!V16</f>
        <v/>
      </c>
      <c r="Y16" s="1" t="str">
        <f>MODEL_MATRIX!W16</f>
        <v/>
      </c>
      <c r="Z16" s="1" t="str">
        <f>MODEL_MATRIX!X16</f>
        <v/>
      </c>
      <c r="AA16" s="1" t="str">
        <f>MODEL_MATRIX!Y16</f>
        <v/>
      </c>
      <c r="AB16" s="1" t="str">
        <f>MODEL_MATRIX!Z16</f>
        <v/>
      </c>
      <c r="AC16" s="1" t="str">
        <f>MODEL_MATRIX!AA16</f>
        <v/>
      </c>
      <c r="AE16" s="1" t="str">
        <f ca="1">IF(A16&gt;MODEL_FIT!$H$1+1,"",OFFSET(MODEL_FIT!$A$6,0,MODEL_FIT!$H$1+1-ROW()+ROW($AE$2),1,1))</f>
        <v/>
      </c>
      <c r="AF16" s="1" t="str">
        <f ca="1">IF(A16&gt;MODEL_FIT!$H$1+1,"",OFFSET(MODEL_FIT!$A$5,0,MODEL_FIT!$H$1+1-ROW()+ROW($AE$2),1,1))</f>
        <v/>
      </c>
      <c r="AH16" s="1">
        <f t="shared" ca="1" si="1"/>
        <v>-0.76129315624999983</v>
      </c>
      <c r="AJ16" s="1">
        <f t="shared" ca="1" si="2"/>
        <v>15</v>
      </c>
      <c r="AK16" s="1">
        <f t="shared" ca="1" si="3"/>
        <v>7.8595721749999994</v>
      </c>
      <c r="AL16" s="1">
        <f t="shared" ca="1" si="4"/>
        <v>-0.76129315624999983</v>
      </c>
    </row>
    <row r="17" spans="1:38" x14ac:dyDescent="0.25">
      <c r="A17">
        <v>16</v>
      </c>
      <c r="B17" s="1">
        <f>MODEL_MATRIX!B17</f>
        <v>5.84936901875</v>
      </c>
      <c r="C17" s="1">
        <f ca="1"/>
        <v>5.3496906281250007</v>
      </c>
      <c r="D17" s="1">
        <f t="shared" si="0"/>
        <v>1</v>
      </c>
      <c r="E17" s="1">
        <f>MODEL_MATRIX!C17</f>
        <v>1</v>
      </c>
      <c r="F17" s="1">
        <f>MODEL_MATRIX!D17</f>
        <v>1</v>
      </c>
      <c r="G17" s="1">
        <f>MODEL_MATRIX!E17</f>
        <v>-1</v>
      </c>
      <c r="H17" s="1">
        <f>MODEL_MATRIX!F17</f>
        <v>1</v>
      </c>
      <c r="I17" s="1">
        <f>MODEL_MATRIX!G17</f>
        <v>-1</v>
      </c>
      <c r="J17" s="1" t="str">
        <f>MODEL_MATRIX!H17</f>
        <v/>
      </c>
      <c r="K17" s="1" t="str">
        <f>MODEL_MATRIX!I17</f>
        <v/>
      </c>
      <c r="L17" s="1" t="str">
        <f>MODEL_MATRIX!J17</f>
        <v/>
      </c>
      <c r="M17" s="1" t="str">
        <f>MODEL_MATRIX!K17</f>
        <v/>
      </c>
      <c r="N17" s="1" t="str">
        <f>MODEL_MATRIX!L17</f>
        <v/>
      </c>
      <c r="O17" s="1" t="str">
        <f>MODEL_MATRIX!M17</f>
        <v/>
      </c>
      <c r="P17" s="1" t="str">
        <f>MODEL_MATRIX!N17</f>
        <v/>
      </c>
      <c r="Q17" s="1" t="str">
        <f>MODEL_MATRIX!O17</f>
        <v/>
      </c>
      <c r="R17" s="1" t="str">
        <f>MODEL_MATRIX!P17</f>
        <v/>
      </c>
      <c r="S17" s="1" t="str">
        <f>MODEL_MATRIX!Q17</f>
        <v/>
      </c>
      <c r="T17" s="1" t="str">
        <f>MODEL_MATRIX!R17</f>
        <v/>
      </c>
      <c r="U17" s="1" t="str">
        <f>MODEL_MATRIX!S17</f>
        <v/>
      </c>
      <c r="V17" s="1" t="str">
        <f>MODEL_MATRIX!T17</f>
        <v/>
      </c>
      <c r="W17" s="1" t="str">
        <f>MODEL_MATRIX!U17</f>
        <v/>
      </c>
      <c r="X17" s="1" t="str">
        <f>MODEL_MATRIX!V17</f>
        <v/>
      </c>
      <c r="Y17" s="1" t="str">
        <f>MODEL_MATRIX!W17</f>
        <v/>
      </c>
      <c r="Z17" s="1" t="str">
        <f>MODEL_MATRIX!X17</f>
        <v/>
      </c>
      <c r="AA17" s="1" t="str">
        <f>MODEL_MATRIX!Y17</f>
        <v/>
      </c>
      <c r="AB17" s="1" t="str">
        <f>MODEL_MATRIX!Z17</f>
        <v/>
      </c>
      <c r="AC17" s="1" t="str">
        <f>MODEL_MATRIX!AA17</f>
        <v/>
      </c>
      <c r="AE17" s="1" t="str">
        <f ca="1">IF(A17&gt;MODEL_FIT!$H$1+1,"",OFFSET(MODEL_FIT!$A$6,0,MODEL_FIT!$H$1+1-ROW()+ROW($AE$2),1,1))</f>
        <v/>
      </c>
      <c r="AF17" s="1" t="str">
        <f ca="1">IF(A17&gt;MODEL_FIT!$H$1+1,"",OFFSET(MODEL_FIT!$A$5,0,MODEL_FIT!$H$1+1-ROW()+ROW($AE$2),1,1))</f>
        <v/>
      </c>
      <c r="AH17" s="1">
        <f t="shared" ca="1" si="1"/>
        <v>0.4996783906249993</v>
      </c>
      <c r="AJ17" s="1">
        <f t="shared" ca="1" si="2"/>
        <v>16</v>
      </c>
      <c r="AK17" s="1">
        <f t="shared" ca="1" si="3"/>
        <v>5.3496906281250007</v>
      </c>
      <c r="AL17" s="1">
        <f t="shared" ca="1" si="4"/>
        <v>0.4996783906249993</v>
      </c>
    </row>
    <row r="18" spans="1:38" x14ac:dyDescent="0.25">
      <c r="A18">
        <v>17</v>
      </c>
      <c r="B18" s="1">
        <f>MODEL_MATRIX!B18</f>
        <v>4.5330400187500004</v>
      </c>
      <c r="C18" s="1">
        <f ca="1"/>
        <v>5.070772175000001</v>
      </c>
      <c r="D18" s="1">
        <f t="shared" si="0"/>
        <v>1</v>
      </c>
      <c r="E18" s="1">
        <f>MODEL_MATRIX!C18</f>
        <v>-1</v>
      </c>
      <c r="F18" s="1">
        <f>MODEL_MATRIX!D18</f>
        <v>-1</v>
      </c>
      <c r="G18" s="1">
        <f>MODEL_MATRIX!E18</f>
        <v>1</v>
      </c>
      <c r="H18" s="1">
        <f>MODEL_MATRIX!F18</f>
        <v>1</v>
      </c>
      <c r="I18" s="1">
        <f>MODEL_MATRIX!G18</f>
        <v>-1</v>
      </c>
      <c r="J18" s="1" t="str">
        <f>MODEL_MATRIX!H18</f>
        <v/>
      </c>
      <c r="K18" s="1" t="str">
        <f>MODEL_MATRIX!I18</f>
        <v/>
      </c>
      <c r="L18" s="1" t="str">
        <f>MODEL_MATRIX!J18</f>
        <v/>
      </c>
      <c r="M18" s="1" t="str">
        <f>MODEL_MATRIX!K18</f>
        <v/>
      </c>
      <c r="N18" s="1" t="str">
        <f>MODEL_MATRIX!L18</f>
        <v/>
      </c>
      <c r="O18" s="1" t="str">
        <f>MODEL_MATRIX!M18</f>
        <v/>
      </c>
      <c r="P18" s="1" t="str">
        <f>MODEL_MATRIX!N18</f>
        <v/>
      </c>
      <c r="Q18" s="1" t="str">
        <f>MODEL_MATRIX!O18</f>
        <v/>
      </c>
      <c r="R18" s="1" t="str">
        <f>MODEL_MATRIX!P18</f>
        <v/>
      </c>
      <c r="S18" s="1" t="str">
        <f>MODEL_MATRIX!Q18</f>
        <v/>
      </c>
      <c r="T18" s="1" t="str">
        <f>MODEL_MATRIX!R18</f>
        <v/>
      </c>
      <c r="U18" s="1" t="str">
        <f>MODEL_MATRIX!S18</f>
        <v/>
      </c>
      <c r="V18" s="1" t="str">
        <f>MODEL_MATRIX!T18</f>
        <v/>
      </c>
      <c r="W18" s="1" t="str">
        <f>MODEL_MATRIX!U18</f>
        <v/>
      </c>
      <c r="X18" s="1" t="str">
        <f>MODEL_MATRIX!V18</f>
        <v/>
      </c>
      <c r="Y18" s="1" t="str">
        <f>MODEL_MATRIX!W18</f>
        <v/>
      </c>
      <c r="Z18" s="1" t="str">
        <f>MODEL_MATRIX!X18</f>
        <v/>
      </c>
      <c r="AA18" s="1" t="str">
        <f>MODEL_MATRIX!Y18</f>
        <v/>
      </c>
      <c r="AB18" s="1" t="str">
        <f>MODEL_MATRIX!Z18</f>
        <v/>
      </c>
      <c r="AC18" s="1" t="str">
        <f>MODEL_MATRIX!AA18</f>
        <v/>
      </c>
      <c r="AE18" s="1" t="str">
        <f ca="1">IF(A18&gt;MODEL_FIT!$H$1+1,"",OFFSET(MODEL_FIT!$A$6,0,MODEL_FIT!$H$1+1-ROW()+ROW($AE$2),1,1))</f>
        <v/>
      </c>
      <c r="AF18" s="1" t="str">
        <f ca="1">IF(A18&gt;MODEL_FIT!$H$1+1,"",OFFSET(MODEL_FIT!$A$5,0,MODEL_FIT!$H$1+1-ROW()+ROW($AE$2),1,1))</f>
        <v/>
      </c>
      <c r="AH18" s="1">
        <f t="shared" ca="1" si="1"/>
        <v>-0.53773215625000059</v>
      </c>
      <c r="AJ18" s="1">
        <f t="shared" ca="1" si="2"/>
        <v>17</v>
      </c>
      <c r="AK18" s="1">
        <f t="shared" ca="1" si="3"/>
        <v>5.070772175000001</v>
      </c>
      <c r="AL18" s="1">
        <f t="shared" ca="1" si="4"/>
        <v>-0.53773215625000059</v>
      </c>
    </row>
    <row r="19" spans="1:38" x14ac:dyDescent="0.25">
      <c r="A19">
        <v>18</v>
      </c>
      <c r="B19" s="1">
        <f>MODEL_MATRIX!B19</f>
        <v>5.7342475187500002</v>
      </c>
      <c r="C19" s="1">
        <f ca="1"/>
        <v>5.6756810656250005</v>
      </c>
      <c r="D19" s="1">
        <f t="shared" si="0"/>
        <v>1</v>
      </c>
      <c r="E19" s="1">
        <f>MODEL_MATRIX!C19</f>
        <v>1</v>
      </c>
      <c r="F19" s="1">
        <f>MODEL_MATRIX!D19</f>
        <v>-1</v>
      </c>
      <c r="G19" s="1">
        <f>MODEL_MATRIX!E19</f>
        <v>1</v>
      </c>
      <c r="H19" s="1">
        <f>MODEL_MATRIX!F19</f>
        <v>-1</v>
      </c>
      <c r="I19" s="1">
        <f>MODEL_MATRIX!G19</f>
        <v>1</v>
      </c>
      <c r="J19" s="1" t="str">
        <f>MODEL_MATRIX!H19</f>
        <v/>
      </c>
      <c r="K19" s="1" t="str">
        <f>MODEL_MATRIX!I19</f>
        <v/>
      </c>
      <c r="L19" s="1" t="str">
        <f>MODEL_MATRIX!J19</f>
        <v/>
      </c>
      <c r="M19" s="1" t="str">
        <f>MODEL_MATRIX!K19</f>
        <v/>
      </c>
      <c r="N19" s="1" t="str">
        <f>MODEL_MATRIX!L19</f>
        <v/>
      </c>
      <c r="O19" s="1" t="str">
        <f>MODEL_MATRIX!M19</f>
        <v/>
      </c>
      <c r="P19" s="1" t="str">
        <f>MODEL_MATRIX!N19</f>
        <v/>
      </c>
      <c r="Q19" s="1" t="str">
        <f>MODEL_MATRIX!O19</f>
        <v/>
      </c>
      <c r="R19" s="1" t="str">
        <f>MODEL_MATRIX!P19</f>
        <v/>
      </c>
      <c r="S19" s="1" t="str">
        <f>MODEL_MATRIX!Q19</f>
        <v/>
      </c>
      <c r="T19" s="1" t="str">
        <f>MODEL_MATRIX!R19</f>
        <v/>
      </c>
      <c r="U19" s="1" t="str">
        <f>MODEL_MATRIX!S19</f>
        <v/>
      </c>
      <c r="V19" s="1" t="str">
        <f>MODEL_MATRIX!T19</f>
        <v/>
      </c>
      <c r="W19" s="1" t="str">
        <f>MODEL_MATRIX!U19</f>
        <v/>
      </c>
      <c r="X19" s="1" t="str">
        <f>MODEL_MATRIX!V19</f>
        <v/>
      </c>
      <c r="Y19" s="1" t="str">
        <f>MODEL_MATRIX!W19</f>
        <v/>
      </c>
      <c r="Z19" s="1" t="str">
        <f>MODEL_MATRIX!X19</f>
        <v/>
      </c>
      <c r="AA19" s="1" t="str">
        <f>MODEL_MATRIX!Y19</f>
        <v/>
      </c>
      <c r="AB19" s="1" t="str">
        <f>MODEL_MATRIX!Z19</f>
        <v/>
      </c>
      <c r="AC19" s="1" t="str">
        <f>MODEL_MATRIX!AA19</f>
        <v/>
      </c>
      <c r="AE19" s="1" t="str">
        <f ca="1">IF(A19&gt;MODEL_FIT!$H$1+1,"",OFFSET(MODEL_FIT!$A$6,0,MODEL_FIT!$H$1+1-ROW()+ROW($AE$2),1,1))</f>
        <v/>
      </c>
      <c r="AF19" s="1" t="str">
        <f ca="1">IF(A19&gt;MODEL_FIT!$H$1+1,"",OFFSET(MODEL_FIT!$A$5,0,MODEL_FIT!$H$1+1-ROW()+ROW($AE$2),1,1))</f>
        <v/>
      </c>
      <c r="AH19" s="1">
        <f t="shared" ca="1" si="1"/>
        <v>5.856645312499964E-2</v>
      </c>
      <c r="AJ19" s="1">
        <f t="shared" ca="1" si="2"/>
        <v>18</v>
      </c>
      <c r="AK19" s="1">
        <f t="shared" ca="1" si="3"/>
        <v>5.6756810656250005</v>
      </c>
      <c r="AL19" s="1">
        <f t="shared" ca="1" si="4"/>
        <v>5.856645312499964E-2</v>
      </c>
    </row>
    <row r="20" spans="1:38" x14ac:dyDescent="0.25">
      <c r="A20">
        <v>19</v>
      </c>
      <c r="B20" s="1">
        <f>MODEL_MATRIX!B20</f>
        <v>5.8781730187500001</v>
      </c>
      <c r="C20" s="1">
        <f ca="1"/>
        <v>5.070772175000001</v>
      </c>
      <c r="D20" s="1">
        <f t="shared" si="0"/>
        <v>1</v>
      </c>
      <c r="E20" s="1">
        <f>MODEL_MATRIX!C20</f>
        <v>-1</v>
      </c>
      <c r="F20" s="1">
        <f>MODEL_MATRIX!D20</f>
        <v>-1</v>
      </c>
      <c r="G20" s="1">
        <f>MODEL_MATRIX!E20</f>
        <v>1</v>
      </c>
      <c r="H20" s="1">
        <f>MODEL_MATRIX!F20</f>
        <v>1</v>
      </c>
      <c r="I20" s="1">
        <f>MODEL_MATRIX!G20</f>
        <v>-1</v>
      </c>
      <c r="J20" s="1" t="str">
        <f>MODEL_MATRIX!H20</f>
        <v/>
      </c>
      <c r="K20" s="1" t="str">
        <f>MODEL_MATRIX!I20</f>
        <v/>
      </c>
      <c r="L20" s="1" t="str">
        <f>MODEL_MATRIX!J20</f>
        <v/>
      </c>
      <c r="M20" s="1" t="str">
        <f>MODEL_MATRIX!K20</f>
        <v/>
      </c>
      <c r="N20" s="1" t="str">
        <f>MODEL_MATRIX!L20</f>
        <v/>
      </c>
      <c r="O20" s="1" t="str">
        <f>MODEL_MATRIX!M20</f>
        <v/>
      </c>
      <c r="P20" s="1" t="str">
        <f>MODEL_MATRIX!N20</f>
        <v/>
      </c>
      <c r="Q20" s="1" t="str">
        <f>MODEL_MATRIX!O20</f>
        <v/>
      </c>
      <c r="R20" s="1" t="str">
        <f>MODEL_MATRIX!P20</f>
        <v/>
      </c>
      <c r="S20" s="1" t="str">
        <f>MODEL_MATRIX!Q20</f>
        <v/>
      </c>
      <c r="T20" s="1" t="str">
        <f>MODEL_MATRIX!R20</f>
        <v/>
      </c>
      <c r="U20" s="1" t="str">
        <f>MODEL_MATRIX!S20</f>
        <v/>
      </c>
      <c r="V20" s="1" t="str">
        <f>MODEL_MATRIX!T20</f>
        <v/>
      </c>
      <c r="W20" s="1" t="str">
        <f>MODEL_MATRIX!U20</f>
        <v/>
      </c>
      <c r="X20" s="1" t="str">
        <f>MODEL_MATRIX!V20</f>
        <v/>
      </c>
      <c r="Y20" s="1" t="str">
        <f>MODEL_MATRIX!W20</f>
        <v/>
      </c>
      <c r="Z20" s="1" t="str">
        <f>MODEL_MATRIX!X20</f>
        <v/>
      </c>
      <c r="AA20" s="1" t="str">
        <f>MODEL_MATRIX!Y20</f>
        <v/>
      </c>
      <c r="AB20" s="1" t="str">
        <f>MODEL_MATRIX!Z20</f>
        <v/>
      </c>
      <c r="AC20" s="1" t="str">
        <f>MODEL_MATRIX!AA20</f>
        <v/>
      </c>
      <c r="AE20" s="1" t="str">
        <f ca="1">IF(A20&gt;MODEL_FIT!$H$1+1,"",OFFSET(MODEL_FIT!$A$6,0,MODEL_FIT!$H$1+1-ROW()+ROW($AE$2),1,1))</f>
        <v/>
      </c>
      <c r="AF20" s="1" t="str">
        <f ca="1">IF(A20&gt;MODEL_FIT!$H$1+1,"",OFFSET(MODEL_FIT!$A$5,0,MODEL_FIT!$H$1+1-ROW()+ROW($AE$2),1,1))</f>
        <v/>
      </c>
      <c r="AH20" s="1">
        <f t="shared" ca="1" si="1"/>
        <v>0.8074008437499991</v>
      </c>
      <c r="AJ20" s="1">
        <f t="shared" ca="1" si="2"/>
        <v>19</v>
      </c>
      <c r="AK20" s="1">
        <f t="shared" ca="1" si="3"/>
        <v>5.070772175000001</v>
      </c>
      <c r="AL20" s="1">
        <f t="shared" ca="1" si="4"/>
        <v>0.8074008437499991</v>
      </c>
    </row>
    <row r="21" spans="1:38" x14ac:dyDescent="0.25">
      <c r="A21">
        <v>20</v>
      </c>
      <c r="B21" s="1">
        <f>MODEL_MATRIX!B21</f>
        <v>5.2625435187500003</v>
      </c>
      <c r="C21" s="1">
        <f ca="1"/>
        <v>5.6756810656250005</v>
      </c>
      <c r="D21" s="1">
        <f t="shared" si="0"/>
        <v>1</v>
      </c>
      <c r="E21" s="1">
        <f>MODEL_MATRIX!C21</f>
        <v>1</v>
      </c>
      <c r="F21" s="1">
        <f>MODEL_MATRIX!D21</f>
        <v>-1</v>
      </c>
      <c r="G21" s="1">
        <f>MODEL_MATRIX!E21</f>
        <v>1</v>
      </c>
      <c r="H21" s="1">
        <f>MODEL_MATRIX!F21</f>
        <v>-1</v>
      </c>
      <c r="I21" s="1">
        <f>MODEL_MATRIX!G21</f>
        <v>1</v>
      </c>
      <c r="J21" s="1" t="str">
        <f>MODEL_MATRIX!H21</f>
        <v/>
      </c>
      <c r="K21" s="1" t="str">
        <f>MODEL_MATRIX!I21</f>
        <v/>
      </c>
      <c r="L21" s="1" t="str">
        <f>MODEL_MATRIX!J21</f>
        <v/>
      </c>
      <c r="M21" s="1" t="str">
        <f>MODEL_MATRIX!K21</f>
        <v/>
      </c>
      <c r="N21" s="1" t="str">
        <f>MODEL_MATRIX!L21</f>
        <v/>
      </c>
      <c r="O21" s="1" t="str">
        <f>MODEL_MATRIX!M21</f>
        <v/>
      </c>
      <c r="P21" s="1" t="str">
        <f>MODEL_MATRIX!N21</f>
        <v/>
      </c>
      <c r="Q21" s="1" t="str">
        <f>MODEL_MATRIX!O21</f>
        <v/>
      </c>
      <c r="R21" s="1" t="str">
        <f>MODEL_MATRIX!P21</f>
        <v/>
      </c>
      <c r="S21" s="1" t="str">
        <f>MODEL_MATRIX!Q21</f>
        <v/>
      </c>
      <c r="T21" s="1" t="str">
        <f>MODEL_MATRIX!R21</f>
        <v/>
      </c>
      <c r="U21" s="1" t="str">
        <f>MODEL_MATRIX!S21</f>
        <v/>
      </c>
      <c r="V21" s="1" t="str">
        <f>MODEL_MATRIX!T21</f>
        <v/>
      </c>
      <c r="W21" s="1" t="str">
        <f>MODEL_MATRIX!U21</f>
        <v/>
      </c>
      <c r="X21" s="1" t="str">
        <f>MODEL_MATRIX!V21</f>
        <v/>
      </c>
      <c r="Y21" s="1" t="str">
        <f>MODEL_MATRIX!W21</f>
        <v/>
      </c>
      <c r="Z21" s="1" t="str">
        <f>MODEL_MATRIX!X21</f>
        <v/>
      </c>
      <c r="AA21" s="1" t="str">
        <f>MODEL_MATRIX!Y21</f>
        <v/>
      </c>
      <c r="AB21" s="1" t="str">
        <f>MODEL_MATRIX!Z21</f>
        <v/>
      </c>
      <c r="AC21" s="1" t="str">
        <f>MODEL_MATRIX!AA21</f>
        <v/>
      </c>
      <c r="AE21" s="1" t="str">
        <f ca="1">IF(A21&gt;MODEL_FIT!$H$1+1,"",OFFSET(MODEL_FIT!$A$6,0,MODEL_FIT!$H$1+1-ROW()+ROW($AE$2),1,1))</f>
        <v/>
      </c>
      <c r="AF21" s="1" t="str">
        <f ca="1">IF(A21&gt;MODEL_FIT!$H$1+1,"",OFFSET(MODEL_FIT!$A$5,0,MODEL_FIT!$H$1+1-ROW()+ROW($AE$2),1,1))</f>
        <v/>
      </c>
      <c r="AH21" s="1">
        <f t="shared" ca="1" si="1"/>
        <v>-0.41313754687500026</v>
      </c>
      <c r="AJ21" s="1">
        <f t="shared" ca="1" si="2"/>
        <v>20</v>
      </c>
      <c r="AK21" s="1">
        <f t="shared" ca="1" si="3"/>
        <v>5.6756810656250005</v>
      </c>
      <c r="AL21" s="1">
        <f t="shared" ca="1" si="4"/>
        <v>-0.41313754687500026</v>
      </c>
    </row>
    <row r="22" spans="1:38" x14ac:dyDescent="0.25">
      <c r="A22">
        <v>21</v>
      </c>
      <c r="B22" s="1">
        <f>MODEL_MATRIX!B22</f>
        <v>6.6597015187500004</v>
      </c>
      <c r="C22" s="1">
        <f ca="1"/>
        <v>7.9578853624999999</v>
      </c>
      <c r="D22" s="1">
        <f t="shared" si="0"/>
        <v>1</v>
      </c>
      <c r="E22" s="1">
        <f>MODEL_MATRIX!C22</f>
        <v>-1</v>
      </c>
      <c r="F22" s="1">
        <f>MODEL_MATRIX!D22</f>
        <v>1</v>
      </c>
      <c r="G22" s="1">
        <f>MODEL_MATRIX!E22</f>
        <v>1</v>
      </c>
      <c r="H22" s="1">
        <f>MODEL_MATRIX!F22</f>
        <v>-1</v>
      </c>
      <c r="I22" s="1">
        <f>MODEL_MATRIX!G22</f>
        <v>-1</v>
      </c>
      <c r="J22" s="1" t="str">
        <f>MODEL_MATRIX!H22</f>
        <v/>
      </c>
      <c r="K22" s="1" t="str">
        <f>MODEL_MATRIX!I22</f>
        <v/>
      </c>
      <c r="L22" s="1" t="str">
        <f>MODEL_MATRIX!J22</f>
        <v/>
      </c>
      <c r="M22" s="1" t="str">
        <f>MODEL_MATRIX!K22</f>
        <v/>
      </c>
      <c r="N22" s="1" t="str">
        <f>MODEL_MATRIX!L22</f>
        <v/>
      </c>
      <c r="O22" s="1" t="str">
        <f>MODEL_MATRIX!M22</f>
        <v/>
      </c>
      <c r="P22" s="1" t="str">
        <f>MODEL_MATRIX!N22</f>
        <v/>
      </c>
      <c r="Q22" s="1" t="str">
        <f>MODEL_MATRIX!O22</f>
        <v/>
      </c>
      <c r="R22" s="1" t="str">
        <f>MODEL_MATRIX!P22</f>
        <v/>
      </c>
      <c r="S22" s="1" t="str">
        <f>MODEL_MATRIX!Q22</f>
        <v/>
      </c>
      <c r="T22" s="1" t="str">
        <f>MODEL_MATRIX!R22</f>
        <v/>
      </c>
      <c r="U22" s="1" t="str">
        <f>MODEL_MATRIX!S22</f>
        <v/>
      </c>
      <c r="V22" s="1" t="str">
        <f>MODEL_MATRIX!T22</f>
        <v/>
      </c>
      <c r="W22" s="1" t="str">
        <f>MODEL_MATRIX!U22</f>
        <v/>
      </c>
      <c r="X22" s="1" t="str">
        <f>MODEL_MATRIX!V22</f>
        <v/>
      </c>
      <c r="Y22" s="1" t="str">
        <f>MODEL_MATRIX!W22</f>
        <v/>
      </c>
      <c r="Z22" s="1" t="str">
        <f>MODEL_MATRIX!X22</f>
        <v/>
      </c>
      <c r="AA22" s="1" t="str">
        <f>MODEL_MATRIX!Y22</f>
        <v/>
      </c>
      <c r="AB22" s="1" t="str">
        <f>MODEL_MATRIX!Z22</f>
        <v/>
      </c>
      <c r="AC22" s="1" t="str">
        <f>MODEL_MATRIX!AA22</f>
        <v/>
      </c>
      <c r="AE22" s="1" t="str">
        <f ca="1">IF(A22&gt;MODEL_FIT!$H$1+1,"",OFFSET(MODEL_FIT!$A$6,0,MODEL_FIT!$H$1+1-ROW()+ROW($AE$2),1,1))</f>
        <v/>
      </c>
      <c r="AF22" s="1" t="str">
        <f ca="1">IF(A22&gt;MODEL_FIT!$H$1+1,"",OFFSET(MODEL_FIT!$A$5,0,MODEL_FIT!$H$1+1-ROW()+ROW($AE$2),1,1))</f>
        <v/>
      </c>
      <c r="AH22" s="1">
        <f t="shared" ca="1" si="1"/>
        <v>-1.2981838437499995</v>
      </c>
      <c r="AJ22" s="1">
        <f t="shared" ca="1" si="2"/>
        <v>21</v>
      </c>
      <c r="AK22" s="1">
        <f t="shared" ca="1" si="3"/>
        <v>7.9578853624999999</v>
      </c>
      <c r="AL22" s="1">
        <f t="shared" ca="1" si="4"/>
        <v>-1.2981838437499995</v>
      </c>
    </row>
    <row r="23" spans="1:38" x14ac:dyDescent="0.25">
      <c r="A23">
        <v>22</v>
      </c>
      <c r="B23" s="1">
        <f>MODEL_MATRIX!B23</f>
        <v>8.10153251875</v>
      </c>
      <c r="C23" s="1">
        <f ca="1"/>
        <v>7.1233380343750001</v>
      </c>
      <c r="D23" s="1">
        <f t="shared" si="0"/>
        <v>1</v>
      </c>
      <c r="E23" s="1">
        <f>MODEL_MATRIX!C23</f>
        <v>1</v>
      </c>
      <c r="F23" s="1">
        <f>MODEL_MATRIX!D23</f>
        <v>1</v>
      </c>
      <c r="G23" s="1">
        <f>MODEL_MATRIX!E23</f>
        <v>1</v>
      </c>
      <c r="H23" s="1">
        <f>MODEL_MATRIX!F23</f>
        <v>1</v>
      </c>
      <c r="I23" s="1">
        <f>MODEL_MATRIX!G23</f>
        <v>1</v>
      </c>
      <c r="J23" s="1" t="str">
        <f>MODEL_MATRIX!H23</f>
        <v/>
      </c>
      <c r="K23" s="1" t="str">
        <f>MODEL_MATRIX!I23</f>
        <v/>
      </c>
      <c r="L23" s="1" t="str">
        <f>MODEL_MATRIX!J23</f>
        <v/>
      </c>
      <c r="M23" s="1" t="str">
        <f>MODEL_MATRIX!K23</f>
        <v/>
      </c>
      <c r="N23" s="1" t="str">
        <f>MODEL_MATRIX!L23</f>
        <v/>
      </c>
      <c r="O23" s="1" t="str">
        <f>MODEL_MATRIX!M23</f>
        <v/>
      </c>
      <c r="P23" s="1" t="str">
        <f>MODEL_MATRIX!N23</f>
        <v/>
      </c>
      <c r="Q23" s="1" t="str">
        <f>MODEL_MATRIX!O23</f>
        <v/>
      </c>
      <c r="R23" s="1" t="str">
        <f>MODEL_MATRIX!P23</f>
        <v/>
      </c>
      <c r="S23" s="1" t="str">
        <f>MODEL_MATRIX!Q23</f>
        <v/>
      </c>
      <c r="T23" s="1" t="str">
        <f>MODEL_MATRIX!R23</f>
        <v/>
      </c>
      <c r="U23" s="1" t="str">
        <f>MODEL_MATRIX!S23</f>
        <v/>
      </c>
      <c r="V23" s="1" t="str">
        <f>MODEL_MATRIX!T23</f>
        <v/>
      </c>
      <c r="W23" s="1" t="str">
        <f>MODEL_MATRIX!U23</f>
        <v/>
      </c>
      <c r="X23" s="1" t="str">
        <f>MODEL_MATRIX!V23</f>
        <v/>
      </c>
      <c r="Y23" s="1" t="str">
        <f>MODEL_MATRIX!W23</f>
        <v/>
      </c>
      <c r="Z23" s="1" t="str">
        <f>MODEL_MATRIX!X23</f>
        <v/>
      </c>
      <c r="AA23" s="1" t="str">
        <f>MODEL_MATRIX!Y23</f>
        <v/>
      </c>
      <c r="AB23" s="1" t="str">
        <f>MODEL_MATRIX!Z23</f>
        <v/>
      </c>
      <c r="AC23" s="1" t="str">
        <f>MODEL_MATRIX!AA23</f>
        <v/>
      </c>
      <c r="AE23" s="1" t="str">
        <f ca="1">IF(A23&gt;MODEL_FIT!$H$1+1,"",OFFSET(MODEL_FIT!$A$6,0,MODEL_FIT!$H$1+1-ROW()+ROW($AE$2),1,1))</f>
        <v/>
      </c>
      <c r="AF23" s="1" t="str">
        <f ca="1">IF(A23&gt;MODEL_FIT!$H$1+1,"",OFFSET(MODEL_FIT!$A$5,0,MODEL_FIT!$H$1+1-ROW()+ROW($AE$2),1,1))</f>
        <v/>
      </c>
      <c r="AH23" s="1">
        <f t="shared" ca="1" si="1"/>
        <v>0.9781944843749999</v>
      </c>
      <c r="AJ23" s="1">
        <f t="shared" ca="1" si="2"/>
        <v>22</v>
      </c>
      <c r="AK23" s="1">
        <f t="shared" ca="1" si="3"/>
        <v>7.1233380343750001</v>
      </c>
      <c r="AL23" s="1">
        <f t="shared" ca="1" si="4"/>
        <v>0.9781944843749999</v>
      </c>
    </row>
    <row r="24" spans="1:38" x14ac:dyDescent="0.25">
      <c r="A24">
        <v>23</v>
      </c>
      <c r="B24" s="1">
        <f>MODEL_MATRIX!B24</f>
        <v>8.9268260187500008</v>
      </c>
      <c r="C24" s="1">
        <f ca="1"/>
        <v>7.9578853624999999</v>
      </c>
      <c r="D24" s="1">
        <f t="shared" si="0"/>
        <v>1</v>
      </c>
      <c r="E24" s="1">
        <f>MODEL_MATRIX!C24</f>
        <v>-1</v>
      </c>
      <c r="F24" s="1">
        <f>MODEL_MATRIX!D24</f>
        <v>1</v>
      </c>
      <c r="G24" s="1">
        <f>MODEL_MATRIX!E24</f>
        <v>1</v>
      </c>
      <c r="H24" s="1">
        <f>MODEL_MATRIX!F24</f>
        <v>-1</v>
      </c>
      <c r="I24" s="1">
        <f>MODEL_MATRIX!G24</f>
        <v>-1</v>
      </c>
      <c r="J24" s="1" t="str">
        <f>MODEL_MATRIX!H24</f>
        <v/>
      </c>
      <c r="K24" s="1" t="str">
        <f>MODEL_MATRIX!I24</f>
        <v/>
      </c>
      <c r="L24" s="1" t="str">
        <f>MODEL_MATRIX!J24</f>
        <v/>
      </c>
      <c r="M24" s="1" t="str">
        <f>MODEL_MATRIX!K24</f>
        <v/>
      </c>
      <c r="N24" s="1" t="str">
        <f>MODEL_MATRIX!L24</f>
        <v/>
      </c>
      <c r="O24" s="1" t="str">
        <f>MODEL_MATRIX!M24</f>
        <v/>
      </c>
      <c r="P24" s="1" t="str">
        <f>MODEL_MATRIX!N24</f>
        <v/>
      </c>
      <c r="Q24" s="1" t="str">
        <f>MODEL_MATRIX!O24</f>
        <v/>
      </c>
      <c r="R24" s="1" t="str">
        <f>MODEL_MATRIX!P24</f>
        <v/>
      </c>
      <c r="S24" s="1" t="str">
        <f>MODEL_MATRIX!Q24</f>
        <v/>
      </c>
      <c r="T24" s="1" t="str">
        <f>MODEL_MATRIX!R24</f>
        <v/>
      </c>
      <c r="U24" s="1" t="str">
        <f>MODEL_MATRIX!S24</f>
        <v/>
      </c>
      <c r="V24" s="1" t="str">
        <f>MODEL_MATRIX!T24</f>
        <v/>
      </c>
      <c r="W24" s="1" t="str">
        <f>MODEL_MATRIX!U24</f>
        <v/>
      </c>
      <c r="X24" s="1" t="str">
        <f>MODEL_MATRIX!V24</f>
        <v/>
      </c>
      <c r="Y24" s="1" t="str">
        <f>MODEL_MATRIX!W24</f>
        <v/>
      </c>
      <c r="Z24" s="1" t="str">
        <f>MODEL_MATRIX!X24</f>
        <v/>
      </c>
      <c r="AA24" s="1" t="str">
        <f>MODEL_MATRIX!Y24</f>
        <v/>
      </c>
      <c r="AB24" s="1" t="str">
        <f>MODEL_MATRIX!Z24</f>
        <v/>
      </c>
      <c r="AC24" s="1" t="str">
        <f>MODEL_MATRIX!AA24</f>
        <v/>
      </c>
      <c r="AE24" s="1" t="str">
        <f ca="1">IF(A24&gt;MODEL_FIT!$H$1+1,"",OFFSET(MODEL_FIT!$A$6,0,MODEL_FIT!$H$1+1-ROW()+ROW($AE$2),1,1))</f>
        <v/>
      </c>
      <c r="AF24" s="1" t="str">
        <f ca="1">IF(A24&gt;MODEL_FIT!$H$1+1,"",OFFSET(MODEL_FIT!$A$5,0,MODEL_FIT!$H$1+1-ROW()+ROW($AE$2),1,1))</f>
        <v/>
      </c>
      <c r="AH24" s="1">
        <f t="shared" ca="1" si="1"/>
        <v>0.96894065625000092</v>
      </c>
      <c r="AJ24" s="1">
        <f t="shared" ca="1" si="2"/>
        <v>23</v>
      </c>
      <c r="AK24" s="1">
        <f t="shared" ca="1" si="3"/>
        <v>7.9578853624999999</v>
      </c>
      <c r="AL24" s="1">
        <f t="shared" ca="1" si="4"/>
        <v>0.96894065625000092</v>
      </c>
    </row>
    <row r="25" spans="1:38" x14ac:dyDescent="0.25">
      <c r="A25">
        <v>24</v>
      </c>
      <c r="B25" s="1">
        <f>MODEL_MATRIX!B25</f>
        <v>7.0592920187499999</v>
      </c>
      <c r="C25" s="1">
        <f ca="1"/>
        <v>7.1233380343750001</v>
      </c>
      <c r="D25" s="1">
        <f t="shared" si="0"/>
        <v>1</v>
      </c>
      <c r="E25" s="1">
        <f>MODEL_MATRIX!C25</f>
        <v>1</v>
      </c>
      <c r="F25" s="1">
        <f>MODEL_MATRIX!D25</f>
        <v>1</v>
      </c>
      <c r="G25" s="1">
        <f>MODEL_MATRIX!E25</f>
        <v>1</v>
      </c>
      <c r="H25" s="1">
        <f>MODEL_MATRIX!F25</f>
        <v>1</v>
      </c>
      <c r="I25" s="1">
        <f>MODEL_MATRIX!G25</f>
        <v>1</v>
      </c>
      <c r="J25" s="1" t="str">
        <f>MODEL_MATRIX!H25</f>
        <v/>
      </c>
      <c r="K25" s="1" t="str">
        <f>MODEL_MATRIX!I25</f>
        <v/>
      </c>
      <c r="L25" s="1" t="str">
        <f>MODEL_MATRIX!J25</f>
        <v/>
      </c>
      <c r="M25" s="1" t="str">
        <f>MODEL_MATRIX!K25</f>
        <v/>
      </c>
      <c r="N25" s="1" t="str">
        <f>MODEL_MATRIX!L25</f>
        <v/>
      </c>
      <c r="O25" s="1" t="str">
        <f>MODEL_MATRIX!M25</f>
        <v/>
      </c>
      <c r="P25" s="1" t="str">
        <f>MODEL_MATRIX!N25</f>
        <v/>
      </c>
      <c r="Q25" s="1" t="str">
        <f>MODEL_MATRIX!O25</f>
        <v/>
      </c>
      <c r="R25" s="1" t="str">
        <f>MODEL_MATRIX!P25</f>
        <v/>
      </c>
      <c r="S25" s="1" t="str">
        <f>MODEL_MATRIX!Q25</f>
        <v/>
      </c>
      <c r="T25" s="1" t="str">
        <f>MODEL_MATRIX!R25</f>
        <v/>
      </c>
      <c r="U25" s="1" t="str">
        <f>MODEL_MATRIX!S25</f>
        <v/>
      </c>
      <c r="V25" s="1" t="str">
        <f>MODEL_MATRIX!T25</f>
        <v/>
      </c>
      <c r="W25" s="1" t="str">
        <f>MODEL_MATRIX!U25</f>
        <v/>
      </c>
      <c r="X25" s="1" t="str">
        <f>MODEL_MATRIX!V25</f>
        <v/>
      </c>
      <c r="Y25" s="1" t="str">
        <f>MODEL_MATRIX!W25</f>
        <v/>
      </c>
      <c r="Z25" s="1" t="str">
        <f>MODEL_MATRIX!X25</f>
        <v/>
      </c>
      <c r="AA25" s="1" t="str">
        <f>MODEL_MATRIX!Y25</f>
        <v/>
      </c>
      <c r="AB25" s="1" t="str">
        <f>MODEL_MATRIX!Z25</f>
        <v/>
      </c>
      <c r="AC25" s="1" t="str">
        <f>MODEL_MATRIX!AA25</f>
        <v/>
      </c>
      <c r="AE25" s="1" t="str">
        <f ca="1">IF(A25&gt;MODEL_FIT!$H$1+1,"",OFFSET(MODEL_FIT!$A$6,0,MODEL_FIT!$H$1+1-ROW()+ROW($AE$2),1,1))</f>
        <v/>
      </c>
      <c r="AF25" s="1" t="str">
        <f ca="1">IF(A25&gt;MODEL_FIT!$H$1+1,"",OFFSET(MODEL_FIT!$A$5,0,MODEL_FIT!$H$1+1-ROW()+ROW($AE$2),1,1))</f>
        <v/>
      </c>
      <c r="AH25" s="1">
        <f t="shared" ca="1" si="1"/>
        <v>-6.404601562500023E-2</v>
      </c>
      <c r="AJ25" s="1">
        <f t="shared" ca="1" si="2"/>
        <v>24</v>
      </c>
      <c r="AK25" s="1">
        <f t="shared" ca="1" si="3"/>
        <v>7.1233380343750001</v>
      </c>
      <c r="AL25" s="1">
        <f t="shared" ca="1" si="4"/>
        <v>-6.404601562500023E-2</v>
      </c>
    </row>
    <row r="26" spans="1:38" x14ac:dyDescent="0.25">
      <c r="A26">
        <v>25</v>
      </c>
      <c r="B26" s="1">
        <f>MODEL_MATRIX!B26</f>
        <v>4.4412020187500003</v>
      </c>
      <c r="C26" s="1">
        <f ca="1"/>
        <v>5.070772175000001</v>
      </c>
      <c r="D26" s="1">
        <f t="shared" si="0"/>
        <v>1</v>
      </c>
      <c r="E26" s="1">
        <f>MODEL_MATRIX!C26</f>
        <v>-1</v>
      </c>
      <c r="F26" s="1">
        <f>MODEL_MATRIX!D26</f>
        <v>-1</v>
      </c>
      <c r="G26" s="1">
        <f>MODEL_MATRIX!E26</f>
        <v>1</v>
      </c>
      <c r="H26" s="1">
        <f>MODEL_MATRIX!F26</f>
        <v>1</v>
      </c>
      <c r="I26" s="1">
        <f>MODEL_MATRIX!G26</f>
        <v>-1</v>
      </c>
      <c r="J26" s="1" t="str">
        <f>MODEL_MATRIX!H26</f>
        <v/>
      </c>
      <c r="K26" s="1" t="str">
        <f>MODEL_MATRIX!I26</f>
        <v/>
      </c>
      <c r="L26" s="1" t="str">
        <f>MODEL_MATRIX!J26</f>
        <v/>
      </c>
      <c r="M26" s="1" t="str">
        <f>MODEL_MATRIX!K26</f>
        <v/>
      </c>
      <c r="N26" s="1" t="str">
        <f>MODEL_MATRIX!L26</f>
        <v/>
      </c>
      <c r="O26" s="1" t="str">
        <f>MODEL_MATRIX!M26</f>
        <v/>
      </c>
      <c r="P26" s="1" t="str">
        <f>MODEL_MATRIX!N26</f>
        <v/>
      </c>
      <c r="Q26" s="1" t="str">
        <f>MODEL_MATRIX!O26</f>
        <v/>
      </c>
      <c r="R26" s="1" t="str">
        <f>MODEL_MATRIX!P26</f>
        <v/>
      </c>
      <c r="S26" s="1" t="str">
        <f>MODEL_MATRIX!Q26</f>
        <v/>
      </c>
      <c r="T26" s="1" t="str">
        <f>MODEL_MATRIX!R26</f>
        <v/>
      </c>
      <c r="U26" s="1" t="str">
        <f>MODEL_MATRIX!S26</f>
        <v/>
      </c>
      <c r="V26" s="1" t="str">
        <f>MODEL_MATRIX!T26</f>
        <v/>
      </c>
      <c r="W26" s="1" t="str">
        <f>MODEL_MATRIX!U26</f>
        <v/>
      </c>
      <c r="X26" s="1" t="str">
        <f>MODEL_MATRIX!V26</f>
        <v/>
      </c>
      <c r="Y26" s="1" t="str">
        <f>MODEL_MATRIX!W26</f>
        <v/>
      </c>
      <c r="Z26" s="1" t="str">
        <f>MODEL_MATRIX!X26</f>
        <v/>
      </c>
      <c r="AA26" s="1" t="str">
        <f>MODEL_MATRIX!Y26</f>
        <v/>
      </c>
      <c r="AB26" s="1" t="str">
        <f>MODEL_MATRIX!Z26</f>
        <v/>
      </c>
      <c r="AC26" s="1" t="str">
        <f>MODEL_MATRIX!AA26</f>
        <v/>
      </c>
      <c r="AE26" s="1" t="str">
        <f ca="1">IF(A26&gt;MODEL_FIT!$H$1+1,"",OFFSET(MODEL_FIT!$A$6,0,MODEL_FIT!$H$1+1-ROW()+ROW($AE$2),1,1))</f>
        <v/>
      </c>
      <c r="AF26" s="1" t="str">
        <f ca="1">IF(A26&gt;MODEL_FIT!$H$1+1,"",OFFSET(MODEL_FIT!$A$5,0,MODEL_FIT!$H$1+1-ROW()+ROW($AE$2),1,1))</f>
        <v/>
      </c>
      <c r="AH26" s="1">
        <f t="shared" ca="1" si="1"/>
        <v>-0.62957015625000068</v>
      </c>
      <c r="AJ26" s="1">
        <f t="shared" ca="1" si="2"/>
        <v>25</v>
      </c>
      <c r="AK26" s="1">
        <f t="shared" ca="1" si="3"/>
        <v>5.070772175000001</v>
      </c>
      <c r="AL26" s="1">
        <f t="shared" ca="1" si="4"/>
        <v>-0.62957015625000068</v>
      </c>
    </row>
    <row r="27" spans="1:38" x14ac:dyDescent="0.25">
      <c r="A27">
        <v>26</v>
      </c>
      <c r="B27" s="1">
        <f>MODEL_MATRIX!B27</f>
        <v>4.1802867687500003</v>
      </c>
      <c r="C27" s="1">
        <f ca="1"/>
        <v>5.6756810656250005</v>
      </c>
      <c r="D27" s="1">
        <f t="shared" si="0"/>
        <v>1</v>
      </c>
      <c r="E27" s="1">
        <f>MODEL_MATRIX!C27</f>
        <v>1</v>
      </c>
      <c r="F27" s="1">
        <f>MODEL_MATRIX!D27</f>
        <v>-1</v>
      </c>
      <c r="G27" s="1">
        <f>MODEL_MATRIX!E27</f>
        <v>1</v>
      </c>
      <c r="H27" s="1">
        <f>MODEL_MATRIX!F27</f>
        <v>-1</v>
      </c>
      <c r="I27" s="1">
        <f>MODEL_MATRIX!G27</f>
        <v>1</v>
      </c>
      <c r="J27" s="1" t="str">
        <f>MODEL_MATRIX!H27</f>
        <v/>
      </c>
      <c r="K27" s="1" t="str">
        <f>MODEL_MATRIX!I27</f>
        <v/>
      </c>
      <c r="L27" s="1" t="str">
        <f>MODEL_MATRIX!J27</f>
        <v/>
      </c>
      <c r="M27" s="1" t="str">
        <f>MODEL_MATRIX!K27</f>
        <v/>
      </c>
      <c r="N27" s="1" t="str">
        <f>MODEL_MATRIX!L27</f>
        <v/>
      </c>
      <c r="O27" s="1" t="str">
        <f>MODEL_MATRIX!M27</f>
        <v/>
      </c>
      <c r="P27" s="1" t="str">
        <f>MODEL_MATRIX!N27</f>
        <v/>
      </c>
      <c r="Q27" s="1" t="str">
        <f>MODEL_MATRIX!O27</f>
        <v/>
      </c>
      <c r="R27" s="1" t="str">
        <f>MODEL_MATRIX!P27</f>
        <v/>
      </c>
      <c r="S27" s="1" t="str">
        <f>MODEL_MATRIX!Q27</f>
        <v/>
      </c>
      <c r="T27" s="1" t="str">
        <f>MODEL_MATRIX!R27</f>
        <v/>
      </c>
      <c r="U27" s="1" t="str">
        <f>MODEL_MATRIX!S27</f>
        <v/>
      </c>
      <c r="V27" s="1" t="str">
        <f>MODEL_MATRIX!T27</f>
        <v/>
      </c>
      <c r="W27" s="1" t="str">
        <f>MODEL_MATRIX!U27</f>
        <v/>
      </c>
      <c r="X27" s="1" t="str">
        <f>MODEL_MATRIX!V27</f>
        <v/>
      </c>
      <c r="Y27" s="1" t="str">
        <f>MODEL_MATRIX!W27</f>
        <v/>
      </c>
      <c r="Z27" s="1" t="str">
        <f>MODEL_MATRIX!X27</f>
        <v/>
      </c>
      <c r="AA27" s="1" t="str">
        <f>MODEL_MATRIX!Y27</f>
        <v/>
      </c>
      <c r="AB27" s="1" t="str">
        <f>MODEL_MATRIX!Z27</f>
        <v/>
      </c>
      <c r="AC27" s="1" t="str">
        <f>MODEL_MATRIX!AA27</f>
        <v/>
      </c>
      <c r="AE27" s="1" t="str">
        <f ca="1">IF(A27&gt;MODEL_FIT!$H$1+1,"",OFFSET(MODEL_FIT!$A$6,0,MODEL_FIT!$H$1+1-ROW()+ROW($AE$2),1,1))</f>
        <v/>
      </c>
      <c r="AF27" s="1" t="str">
        <f ca="1">IF(A27&gt;MODEL_FIT!$H$1+1,"",OFFSET(MODEL_FIT!$A$5,0,MODEL_FIT!$H$1+1-ROW()+ROW($AE$2),1,1))</f>
        <v/>
      </c>
      <c r="AH27" s="1">
        <f t="shared" ca="1" si="1"/>
        <v>-1.4953942968750003</v>
      </c>
      <c r="AJ27" s="1">
        <f t="shared" ca="1" si="2"/>
        <v>26</v>
      </c>
      <c r="AK27" s="1">
        <f t="shared" ca="1" si="3"/>
        <v>5.6756810656250005</v>
      </c>
      <c r="AL27" s="1">
        <f t="shared" ca="1" si="4"/>
        <v>-1.4953942968750003</v>
      </c>
    </row>
    <row r="28" spans="1:38" x14ac:dyDescent="0.25">
      <c r="A28">
        <v>27</v>
      </c>
      <c r="B28" s="1">
        <f>MODEL_MATRIX!B28</f>
        <v>5.6820480187499998</v>
      </c>
      <c r="C28" s="1">
        <f ca="1"/>
        <v>5.070772175000001</v>
      </c>
      <c r="D28" s="1">
        <f t="shared" si="0"/>
        <v>1</v>
      </c>
      <c r="E28" s="1">
        <f>MODEL_MATRIX!C28</f>
        <v>-1</v>
      </c>
      <c r="F28" s="1">
        <f>MODEL_MATRIX!D28</f>
        <v>-1</v>
      </c>
      <c r="G28" s="1">
        <f>MODEL_MATRIX!E28</f>
        <v>1</v>
      </c>
      <c r="H28" s="1">
        <f>MODEL_MATRIX!F28</f>
        <v>1</v>
      </c>
      <c r="I28" s="1">
        <f>MODEL_MATRIX!G28</f>
        <v>-1</v>
      </c>
      <c r="J28" s="1" t="str">
        <f>MODEL_MATRIX!H28</f>
        <v/>
      </c>
      <c r="K28" s="1" t="str">
        <f>MODEL_MATRIX!I28</f>
        <v/>
      </c>
      <c r="L28" s="1" t="str">
        <f>MODEL_MATRIX!J28</f>
        <v/>
      </c>
      <c r="M28" s="1" t="str">
        <f>MODEL_MATRIX!K28</f>
        <v/>
      </c>
      <c r="N28" s="1" t="str">
        <f>MODEL_MATRIX!L28</f>
        <v/>
      </c>
      <c r="O28" s="1" t="str">
        <f>MODEL_MATRIX!M28</f>
        <v/>
      </c>
      <c r="P28" s="1" t="str">
        <f>MODEL_MATRIX!N28</f>
        <v/>
      </c>
      <c r="Q28" s="1" t="str">
        <f>MODEL_MATRIX!O28</f>
        <v/>
      </c>
      <c r="R28" s="1" t="str">
        <f>MODEL_MATRIX!P28</f>
        <v/>
      </c>
      <c r="S28" s="1" t="str">
        <f>MODEL_MATRIX!Q28</f>
        <v/>
      </c>
      <c r="T28" s="1" t="str">
        <f>MODEL_MATRIX!R28</f>
        <v/>
      </c>
      <c r="U28" s="1" t="str">
        <f>MODEL_MATRIX!S28</f>
        <v/>
      </c>
      <c r="V28" s="1" t="str">
        <f>MODEL_MATRIX!T28</f>
        <v/>
      </c>
      <c r="W28" s="1" t="str">
        <f>MODEL_MATRIX!U28</f>
        <v/>
      </c>
      <c r="X28" s="1" t="str">
        <f>MODEL_MATRIX!V28</f>
        <v/>
      </c>
      <c r="Y28" s="1" t="str">
        <f>MODEL_MATRIX!W28</f>
        <v/>
      </c>
      <c r="Z28" s="1" t="str">
        <f>MODEL_MATRIX!X28</f>
        <v/>
      </c>
      <c r="AA28" s="1" t="str">
        <f>MODEL_MATRIX!Y28</f>
        <v/>
      </c>
      <c r="AB28" s="1" t="str">
        <f>MODEL_MATRIX!Z28</f>
        <v/>
      </c>
      <c r="AC28" s="1" t="str">
        <f>MODEL_MATRIX!AA28</f>
        <v/>
      </c>
      <c r="AE28" s="1" t="str">
        <f ca="1">IF(A28&gt;MODEL_FIT!$H$1+1,"",OFFSET(MODEL_FIT!$A$6,0,MODEL_FIT!$H$1+1-ROW()+ROW($AE$2),1,1))</f>
        <v/>
      </c>
      <c r="AF28" s="1" t="str">
        <f ca="1">IF(A28&gt;MODEL_FIT!$H$1+1,"",OFFSET(MODEL_FIT!$A$5,0,MODEL_FIT!$H$1+1-ROW()+ROW($AE$2),1,1))</f>
        <v/>
      </c>
      <c r="AH28" s="1">
        <f t="shared" ca="1" si="1"/>
        <v>0.61127584374999877</v>
      </c>
      <c r="AJ28" s="1">
        <f t="shared" ca="1" si="2"/>
        <v>27</v>
      </c>
      <c r="AK28" s="1">
        <f t="shared" ca="1" si="3"/>
        <v>5.070772175000001</v>
      </c>
      <c r="AL28" s="1">
        <f t="shared" ca="1" si="4"/>
        <v>0.61127584374999877</v>
      </c>
    </row>
    <row r="29" spans="1:38" x14ac:dyDescent="0.25">
      <c r="A29">
        <v>28</v>
      </c>
      <c r="B29" s="1">
        <f>MODEL_MATRIX!B29</f>
        <v>5.7801725187499997</v>
      </c>
      <c r="C29" s="1">
        <f ca="1"/>
        <v>5.6756810656250005</v>
      </c>
      <c r="D29" s="1">
        <f t="shared" si="0"/>
        <v>1</v>
      </c>
      <c r="E29" s="1">
        <f>MODEL_MATRIX!C29</f>
        <v>1</v>
      </c>
      <c r="F29" s="1">
        <f>MODEL_MATRIX!D29</f>
        <v>-1</v>
      </c>
      <c r="G29" s="1">
        <f>MODEL_MATRIX!E29</f>
        <v>1</v>
      </c>
      <c r="H29" s="1">
        <f>MODEL_MATRIX!F29</f>
        <v>-1</v>
      </c>
      <c r="I29" s="1">
        <f>MODEL_MATRIX!G29</f>
        <v>1</v>
      </c>
      <c r="J29" s="1" t="str">
        <f>MODEL_MATRIX!H29</f>
        <v/>
      </c>
      <c r="K29" s="1" t="str">
        <f>MODEL_MATRIX!I29</f>
        <v/>
      </c>
      <c r="L29" s="1" t="str">
        <f>MODEL_MATRIX!J29</f>
        <v/>
      </c>
      <c r="M29" s="1" t="str">
        <f>MODEL_MATRIX!K29</f>
        <v/>
      </c>
      <c r="N29" s="1" t="str">
        <f>MODEL_MATRIX!L29</f>
        <v/>
      </c>
      <c r="O29" s="1" t="str">
        <f>MODEL_MATRIX!M29</f>
        <v/>
      </c>
      <c r="P29" s="1" t="str">
        <f>MODEL_MATRIX!N29</f>
        <v/>
      </c>
      <c r="Q29" s="1" t="str">
        <f>MODEL_MATRIX!O29</f>
        <v/>
      </c>
      <c r="R29" s="1" t="str">
        <f>MODEL_MATRIX!P29</f>
        <v/>
      </c>
      <c r="S29" s="1" t="str">
        <f>MODEL_MATRIX!Q29</f>
        <v/>
      </c>
      <c r="T29" s="1" t="str">
        <f>MODEL_MATRIX!R29</f>
        <v/>
      </c>
      <c r="U29" s="1" t="str">
        <f>MODEL_MATRIX!S29</f>
        <v/>
      </c>
      <c r="V29" s="1" t="str">
        <f>MODEL_MATRIX!T29</f>
        <v/>
      </c>
      <c r="W29" s="1" t="str">
        <f>MODEL_MATRIX!U29</f>
        <v/>
      </c>
      <c r="X29" s="1" t="str">
        <f>MODEL_MATRIX!V29</f>
        <v/>
      </c>
      <c r="Y29" s="1" t="str">
        <f>MODEL_MATRIX!W29</f>
        <v/>
      </c>
      <c r="Z29" s="1" t="str">
        <f>MODEL_MATRIX!X29</f>
        <v/>
      </c>
      <c r="AA29" s="1" t="str">
        <f>MODEL_MATRIX!Y29</f>
        <v/>
      </c>
      <c r="AB29" s="1" t="str">
        <f>MODEL_MATRIX!Z29</f>
        <v/>
      </c>
      <c r="AC29" s="1" t="str">
        <f>MODEL_MATRIX!AA29</f>
        <v/>
      </c>
      <c r="AE29" s="1" t="str">
        <f ca="1">IF(A29&gt;MODEL_FIT!$H$1+1,"",OFFSET(MODEL_FIT!$A$6,0,MODEL_FIT!$H$1+1-ROW()+ROW($AE$2),1,1))</f>
        <v/>
      </c>
      <c r="AF29" s="1" t="str">
        <f ca="1">IF(A29&gt;MODEL_FIT!$H$1+1,"",OFFSET(MODEL_FIT!$A$5,0,MODEL_FIT!$H$1+1-ROW()+ROW($AE$2),1,1))</f>
        <v/>
      </c>
      <c r="AH29" s="1">
        <f t="shared" ca="1" si="1"/>
        <v>0.10449145312499919</v>
      </c>
      <c r="AJ29" s="1">
        <f t="shared" ca="1" si="2"/>
        <v>28</v>
      </c>
      <c r="AK29" s="1">
        <f t="shared" ca="1" si="3"/>
        <v>5.6756810656250005</v>
      </c>
      <c r="AL29" s="1">
        <f t="shared" ca="1" si="4"/>
        <v>0.10449145312499919</v>
      </c>
    </row>
    <row r="30" spans="1:38" x14ac:dyDescent="0.25">
      <c r="A30">
        <v>29</v>
      </c>
      <c r="B30" s="1">
        <f>MODEL_MATRIX!B30</f>
        <v>8.7397320187500007</v>
      </c>
      <c r="C30" s="1">
        <f ca="1"/>
        <v>7.9578853624999999</v>
      </c>
      <c r="D30" s="1">
        <f t="shared" si="0"/>
        <v>1</v>
      </c>
      <c r="E30" s="1">
        <f>MODEL_MATRIX!C30</f>
        <v>-1</v>
      </c>
      <c r="F30" s="1">
        <f>MODEL_MATRIX!D30</f>
        <v>1</v>
      </c>
      <c r="G30" s="1">
        <f>MODEL_MATRIX!E30</f>
        <v>1</v>
      </c>
      <c r="H30" s="1">
        <f>MODEL_MATRIX!F30</f>
        <v>-1</v>
      </c>
      <c r="I30" s="1">
        <f>MODEL_MATRIX!G30</f>
        <v>-1</v>
      </c>
      <c r="J30" s="1" t="str">
        <f>MODEL_MATRIX!H30</f>
        <v/>
      </c>
      <c r="K30" s="1" t="str">
        <f>MODEL_MATRIX!I30</f>
        <v/>
      </c>
      <c r="L30" s="1" t="str">
        <f>MODEL_MATRIX!J30</f>
        <v/>
      </c>
      <c r="M30" s="1" t="str">
        <f>MODEL_MATRIX!K30</f>
        <v/>
      </c>
      <c r="N30" s="1" t="str">
        <f>MODEL_MATRIX!L30</f>
        <v/>
      </c>
      <c r="O30" s="1" t="str">
        <f>MODEL_MATRIX!M30</f>
        <v/>
      </c>
      <c r="P30" s="1" t="str">
        <f>MODEL_MATRIX!N30</f>
        <v/>
      </c>
      <c r="Q30" s="1" t="str">
        <f>MODEL_MATRIX!O30</f>
        <v/>
      </c>
      <c r="R30" s="1" t="str">
        <f>MODEL_MATRIX!P30</f>
        <v/>
      </c>
      <c r="S30" s="1" t="str">
        <f>MODEL_MATRIX!Q30</f>
        <v/>
      </c>
      <c r="T30" s="1" t="str">
        <f>MODEL_MATRIX!R30</f>
        <v/>
      </c>
      <c r="U30" s="1" t="str">
        <f>MODEL_MATRIX!S30</f>
        <v/>
      </c>
      <c r="V30" s="1" t="str">
        <f>MODEL_MATRIX!T30</f>
        <v/>
      </c>
      <c r="W30" s="1" t="str">
        <f>MODEL_MATRIX!U30</f>
        <v/>
      </c>
      <c r="X30" s="1" t="str">
        <f>MODEL_MATRIX!V30</f>
        <v/>
      </c>
      <c r="Y30" s="1" t="str">
        <f>MODEL_MATRIX!W30</f>
        <v/>
      </c>
      <c r="Z30" s="1" t="str">
        <f>MODEL_MATRIX!X30</f>
        <v/>
      </c>
      <c r="AA30" s="1" t="str">
        <f>MODEL_MATRIX!Y30</f>
        <v/>
      </c>
      <c r="AB30" s="1" t="str">
        <f>MODEL_MATRIX!Z30</f>
        <v/>
      </c>
      <c r="AC30" s="1" t="str">
        <f>MODEL_MATRIX!AA30</f>
        <v/>
      </c>
      <c r="AE30" s="1" t="str">
        <f ca="1">IF(A30&gt;MODEL_FIT!$H$1+1,"",OFFSET(MODEL_FIT!$A$6,0,MODEL_FIT!$H$1+1-ROW()+ROW($AE$2),1,1))</f>
        <v/>
      </c>
      <c r="AF30" s="1" t="str">
        <f ca="1">IF(A30&gt;MODEL_FIT!$H$1+1,"",OFFSET(MODEL_FIT!$A$5,0,MODEL_FIT!$H$1+1-ROW()+ROW($AE$2),1,1))</f>
        <v/>
      </c>
      <c r="AH30" s="1">
        <f t="shared" ca="1" si="1"/>
        <v>0.78184665625000083</v>
      </c>
      <c r="AJ30" s="1">
        <f t="shared" ca="1" si="2"/>
        <v>29</v>
      </c>
      <c r="AK30" s="1">
        <f t="shared" ca="1" si="3"/>
        <v>7.9578853624999999</v>
      </c>
      <c r="AL30" s="1">
        <f t="shared" ca="1" si="4"/>
        <v>0.78184665625000083</v>
      </c>
    </row>
    <row r="31" spans="1:38" x14ac:dyDescent="0.25">
      <c r="A31">
        <v>30</v>
      </c>
      <c r="B31" s="1">
        <f>MODEL_MATRIX!B31</f>
        <v>7.8388045187499999</v>
      </c>
      <c r="C31" s="1">
        <f ca="1"/>
        <v>7.1233380343750001</v>
      </c>
      <c r="D31" s="1">
        <f t="shared" si="0"/>
        <v>1</v>
      </c>
      <c r="E31" s="1">
        <f>MODEL_MATRIX!C31</f>
        <v>1</v>
      </c>
      <c r="F31" s="1">
        <f>MODEL_MATRIX!D31</f>
        <v>1</v>
      </c>
      <c r="G31" s="1">
        <f>MODEL_MATRIX!E31</f>
        <v>1</v>
      </c>
      <c r="H31" s="1">
        <f>MODEL_MATRIX!F31</f>
        <v>1</v>
      </c>
      <c r="I31" s="1">
        <f>MODEL_MATRIX!G31</f>
        <v>1</v>
      </c>
      <c r="J31" s="1" t="str">
        <f>MODEL_MATRIX!H31</f>
        <v/>
      </c>
      <c r="K31" s="1" t="str">
        <f>MODEL_MATRIX!I31</f>
        <v/>
      </c>
      <c r="L31" s="1" t="str">
        <f>MODEL_MATRIX!J31</f>
        <v/>
      </c>
      <c r="M31" s="1" t="str">
        <f>MODEL_MATRIX!K31</f>
        <v/>
      </c>
      <c r="N31" s="1" t="str">
        <f>MODEL_MATRIX!L31</f>
        <v/>
      </c>
      <c r="O31" s="1" t="str">
        <f>MODEL_MATRIX!M31</f>
        <v/>
      </c>
      <c r="P31" s="1" t="str">
        <f>MODEL_MATRIX!N31</f>
        <v/>
      </c>
      <c r="Q31" s="1" t="str">
        <f>MODEL_MATRIX!O31</f>
        <v/>
      </c>
      <c r="R31" s="1" t="str">
        <f>MODEL_MATRIX!P31</f>
        <v/>
      </c>
      <c r="S31" s="1" t="str">
        <f>MODEL_MATRIX!Q31</f>
        <v/>
      </c>
      <c r="T31" s="1" t="str">
        <f>MODEL_MATRIX!R31</f>
        <v/>
      </c>
      <c r="U31" s="1" t="str">
        <f>MODEL_MATRIX!S31</f>
        <v/>
      </c>
      <c r="V31" s="1" t="str">
        <f>MODEL_MATRIX!T31</f>
        <v/>
      </c>
      <c r="W31" s="1" t="str">
        <f>MODEL_MATRIX!U31</f>
        <v/>
      </c>
      <c r="X31" s="1" t="str">
        <f>MODEL_MATRIX!V31</f>
        <v/>
      </c>
      <c r="Y31" s="1" t="str">
        <f>MODEL_MATRIX!W31</f>
        <v/>
      </c>
      <c r="Z31" s="1" t="str">
        <f>MODEL_MATRIX!X31</f>
        <v/>
      </c>
      <c r="AA31" s="1" t="str">
        <f>MODEL_MATRIX!Y31</f>
        <v/>
      </c>
      <c r="AB31" s="1" t="str">
        <f>MODEL_MATRIX!Z31</f>
        <v/>
      </c>
      <c r="AC31" s="1" t="str">
        <f>MODEL_MATRIX!AA31</f>
        <v/>
      </c>
      <c r="AE31" s="1" t="str">
        <f ca="1">IF(A31&gt;MODEL_FIT!$H$1+1,"",OFFSET(MODEL_FIT!$A$6,0,MODEL_FIT!$H$1+1-ROW()+ROW($AE$2),1,1))</f>
        <v/>
      </c>
      <c r="AF31" s="1" t="str">
        <f ca="1">IF(A31&gt;MODEL_FIT!$H$1+1,"",OFFSET(MODEL_FIT!$A$5,0,MODEL_FIT!$H$1+1-ROW()+ROW($AE$2),1,1))</f>
        <v/>
      </c>
      <c r="AH31" s="1">
        <f t="shared" ca="1" si="1"/>
        <v>0.71546648437499982</v>
      </c>
      <c r="AJ31" s="1">
        <f t="shared" ca="1" si="2"/>
        <v>30</v>
      </c>
      <c r="AK31" s="1">
        <f t="shared" ca="1" si="3"/>
        <v>7.1233380343750001</v>
      </c>
      <c r="AL31" s="1">
        <f t="shared" ca="1" si="4"/>
        <v>0.71546648437499982</v>
      </c>
    </row>
    <row r="32" spans="1:38" x14ac:dyDescent="0.25">
      <c r="A32">
        <v>31</v>
      </c>
      <c r="B32" s="1">
        <f>MODEL_MATRIX!B32</f>
        <v>7.2539075187500002</v>
      </c>
      <c r="C32" s="1">
        <f ca="1"/>
        <v>7.9578853624999999</v>
      </c>
      <c r="D32" s="1">
        <f t="shared" si="0"/>
        <v>1</v>
      </c>
      <c r="E32" s="1">
        <f>MODEL_MATRIX!C32</f>
        <v>-1</v>
      </c>
      <c r="F32" s="1">
        <f>MODEL_MATRIX!D32</f>
        <v>1</v>
      </c>
      <c r="G32" s="1">
        <f>MODEL_MATRIX!E32</f>
        <v>1</v>
      </c>
      <c r="H32" s="1">
        <f>MODEL_MATRIX!F32</f>
        <v>-1</v>
      </c>
      <c r="I32" s="1">
        <f>MODEL_MATRIX!G32</f>
        <v>-1</v>
      </c>
      <c r="J32" s="1" t="str">
        <f>MODEL_MATRIX!H32</f>
        <v/>
      </c>
      <c r="K32" s="1" t="str">
        <f>MODEL_MATRIX!I32</f>
        <v/>
      </c>
      <c r="L32" s="1" t="str">
        <f>MODEL_MATRIX!J32</f>
        <v/>
      </c>
      <c r="M32" s="1" t="str">
        <f>MODEL_MATRIX!K32</f>
        <v/>
      </c>
      <c r="N32" s="1" t="str">
        <f>MODEL_MATRIX!L32</f>
        <v/>
      </c>
      <c r="O32" s="1" t="str">
        <f>MODEL_MATRIX!M32</f>
        <v/>
      </c>
      <c r="P32" s="1" t="str">
        <f>MODEL_MATRIX!N32</f>
        <v/>
      </c>
      <c r="Q32" s="1" t="str">
        <f>MODEL_MATRIX!O32</f>
        <v/>
      </c>
      <c r="R32" s="1" t="str">
        <f>MODEL_MATRIX!P32</f>
        <v/>
      </c>
      <c r="S32" s="1" t="str">
        <f>MODEL_MATRIX!Q32</f>
        <v/>
      </c>
      <c r="T32" s="1" t="str">
        <f>MODEL_MATRIX!R32</f>
        <v/>
      </c>
      <c r="U32" s="1" t="str">
        <f>MODEL_MATRIX!S32</f>
        <v/>
      </c>
      <c r="V32" s="1" t="str">
        <f>MODEL_MATRIX!T32</f>
        <v/>
      </c>
      <c r="W32" s="1" t="str">
        <f>MODEL_MATRIX!U32</f>
        <v/>
      </c>
      <c r="X32" s="1" t="str">
        <f>MODEL_MATRIX!V32</f>
        <v/>
      </c>
      <c r="Y32" s="1" t="str">
        <f>MODEL_MATRIX!W32</f>
        <v/>
      </c>
      <c r="Z32" s="1" t="str">
        <f>MODEL_MATRIX!X32</f>
        <v/>
      </c>
      <c r="AA32" s="1" t="str">
        <f>MODEL_MATRIX!Y32</f>
        <v/>
      </c>
      <c r="AB32" s="1" t="str">
        <f>MODEL_MATRIX!Z32</f>
        <v/>
      </c>
      <c r="AC32" s="1" t="str">
        <f>MODEL_MATRIX!AA32</f>
        <v/>
      </c>
      <c r="AE32" s="1" t="str">
        <f ca="1">IF(A32&gt;MODEL_FIT!$H$1+1,"",OFFSET(MODEL_FIT!$A$6,0,MODEL_FIT!$H$1+1-ROW()+ROW($AE$2),1,1))</f>
        <v/>
      </c>
      <c r="AF32" s="1" t="str">
        <f ca="1">IF(A32&gt;MODEL_FIT!$H$1+1,"",OFFSET(MODEL_FIT!$A$5,0,MODEL_FIT!$H$1+1-ROW()+ROW($AE$2),1,1))</f>
        <v/>
      </c>
      <c r="AH32" s="1">
        <f t="shared" ca="1" si="1"/>
        <v>-0.70397784374999972</v>
      </c>
      <c r="AJ32" s="1">
        <f t="shared" ca="1" si="2"/>
        <v>31</v>
      </c>
      <c r="AK32" s="1">
        <f t="shared" ca="1" si="3"/>
        <v>7.9578853624999999</v>
      </c>
      <c r="AL32" s="1">
        <f t="shared" ca="1" si="4"/>
        <v>-0.70397784374999972</v>
      </c>
    </row>
    <row r="33" spans="1:38" x14ac:dyDescent="0.25">
      <c r="A33">
        <v>32</v>
      </c>
      <c r="B33" s="1">
        <f>MODEL_MATRIX!B33</f>
        <v>7.2391970187499997</v>
      </c>
      <c r="C33" s="1">
        <f ca="1"/>
        <v>7.1233380343750001</v>
      </c>
      <c r="D33" s="1">
        <f t="shared" si="0"/>
        <v>1</v>
      </c>
      <c r="E33" s="1">
        <f>MODEL_MATRIX!C33</f>
        <v>1</v>
      </c>
      <c r="F33" s="1">
        <f>MODEL_MATRIX!D33</f>
        <v>1</v>
      </c>
      <c r="G33" s="1">
        <f>MODEL_MATRIX!E33</f>
        <v>1</v>
      </c>
      <c r="H33" s="1">
        <f>MODEL_MATRIX!F33</f>
        <v>1</v>
      </c>
      <c r="I33" s="1">
        <f>MODEL_MATRIX!G33</f>
        <v>1</v>
      </c>
      <c r="J33" s="1" t="str">
        <f>MODEL_MATRIX!H33</f>
        <v/>
      </c>
      <c r="K33" s="1" t="str">
        <f>MODEL_MATRIX!I33</f>
        <v/>
      </c>
      <c r="L33" s="1" t="str">
        <f>MODEL_MATRIX!J33</f>
        <v/>
      </c>
      <c r="M33" s="1" t="str">
        <f>MODEL_MATRIX!K33</f>
        <v/>
      </c>
      <c r="N33" s="1" t="str">
        <f>MODEL_MATRIX!L33</f>
        <v/>
      </c>
      <c r="O33" s="1" t="str">
        <f>MODEL_MATRIX!M33</f>
        <v/>
      </c>
      <c r="P33" s="1" t="str">
        <f>MODEL_MATRIX!N33</f>
        <v/>
      </c>
      <c r="Q33" s="1" t="str">
        <f>MODEL_MATRIX!O33</f>
        <v/>
      </c>
      <c r="R33" s="1" t="str">
        <f>MODEL_MATRIX!P33</f>
        <v/>
      </c>
      <c r="S33" s="1" t="str">
        <f>MODEL_MATRIX!Q33</f>
        <v/>
      </c>
      <c r="T33" s="1" t="str">
        <f>MODEL_MATRIX!R33</f>
        <v/>
      </c>
      <c r="U33" s="1" t="str">
        <f>MODEL_MATRIX!S33</f>
        <v/>
      </c>
      <c r="V33" s="1" t="str">
        <f>MODEL_MATRIX!T33</f>
        <v/>
      </c>
      <c r="W33" s="1" t="str">
        <f>MODEL_MATRIX!U33</f>
        <v/>
      </c>
      <c r="X33" s="1" t="str">
        <f>MODEL_MATRIX!V33</f>
        <v/>
      </c>
      <c r="Y33" s="1" t="str">
        <f>MODEL_MATRIX!W33</f>
        <v/>
      </c>
      <c r="Z33" s="1" t="str">
        <f>MODEL_MATRIX!X33</f>
        <v/>
      </c>
      <c r="AA33" s="1" t="str">
        <f>MODEL_MATRIX!Y33</f>
        <v/>
      </c>
      <c r="AB33" s="1" t="str">
        <f>MODEL_MATRIX!Z33</f>
        <v/>
      </c>
      <c r="AC33" s="1" t="str">
        <f>MODEL_MATRIX!AA33</f>
        <v/>
      </c>
      <c r="AE33" s="1" t="str">
        <f ca="1">IF(A33&gt;MODEL_FIT!$H$1+1,"",OFFSET(MODEL_FIT!$A$6,0,MODEL_FIT!$H$1+1-ROW()+ROW($AE$2),1,1))</f>
        <v/>
      </c>
      <c r="AF33" s="1" t="str">
        <f ca="1">IF(A33&gt;MODEL_FIT!$H$1+1,"",OFFSET(MODEL_FIT!$A$5,0,MODEL_FIT!$H$1+1-ROW()+ROW($AE$2),1,1))</f>
        <v/>
      </c>
      <c r="AH33" s="1">
        <f t="shared" ca="1" si="1"/>
        <v>0.11585898437499953</v>
      </c>
      <c r="AJ33" s="1">
        <f t="shared" ca="1" si="2"/>
        <v>32</v>
      </c>
      <c r="AK33" s="1">
        <f t="shared" ca="1" si="3"/>
        <v>7.1233380343750001</v>
      </c>
      <c r="AL33" s="1">
        <f t="shared" ca="1" si="4"/>
        <v>0.11585898437499953</v>
      </c>
    </row>
    <row r="34" spans="1:38" x14ac:dyDescent="0.25">
      <c r="A34">
        <v>33</v>
      </c>
      <c r="B34" s="1" t="str">
        <f>MODEL_MATRIX!B34</f>
        <v/>
      </c>
      <c r="C34" s="1"/>
      <c r="D34" s="1" t="str">
        <f t="shared" si="0"/>
        <v/>
      </c>
      <c r="E34" s="1" t="str">
        <f>MODEL_MATRIX!C34</f>
        <v/>
      </c>
      <c r="F34" s="1" t="str">
        <f>MODEL_MATRIX!D34</f>
        <v/>
      </c>
      <c r="G34" s="1" t="str">
        <f>MODEL_MATRIX!E34</f>
        <v/>
      </c>
      <c r="H34" s="1" t="str">
        <f>MODEL_MATRIX!F34</f>
        <v/>
      </c>
      <c r="I34" s="1" t="str">
        <f>MODEL_MATRIX!G34</f>
        <v/>
      </c>
      <c r="J34" s="1" t="str">
        <f>MODEL_MATRIX!H34</f>
        <v/>
      </c>
      <c r="K34" s="1" t="str">
        <f>MODEL_MATRIX!I34</f>
        <v/>
      </c>
      <c r="L34" s="1" t="str">
        <f>MODEL_MATRIX!J34</f>
        <v/>
      </c>
      <c r="M34" s="1" t="str">
        <f>MODEL_MATRIX!K34</f>
        <v/>
      </c>
      <c r="N34" s="1" t="str">
        <f>MODEL_MATRIX!L34</f>
        <v/>
      </c>
      <c r="O34" s="1" t="str">
        <f>MODEL_MATRIX!M34</f>
        <v/>
      </c>
      <c r="P34" s="1" t="str">
        <f>MODEL_MATRIX!N34</f>
        <v/>
      </c>
      <c r="Q34" s="1" t="str">
        <f>MODEL_MATRIX!O34</f>
        <v/>
      </c>
      <c r="R34" s="1" t="str">
        <f>MODEL_MATRIX!P34</f>
        <v/>
      </c>
      <c r="S34" s="1" t="str">
        <f>MODEL_MATRIX!Q34</f>
        <v/>
      </c>
      <c r="T34" s="1" t="str">
        <f>MODEL_MATRIX!R34</f>
        <v/>
      </c>
      <c r="U34" s="1" t="str">
        <f>MODEL_MATRIX!S34</f>
        <v/>
      </c>
      <c r="V34" s="1" t="str">
        <f>MODEL_MATRIX!T34</f>
        <v/>
      </c>
      <c r="W34" s="1" t="str">
        <f>MODEL_MATRIX!U34</f>
        <v/>
      </c>
      <c r="X34" s="1" t="str">
        <f>MODEL_MATRIX!V34</f>
        <v/>
      </c>
      <c r="Y34" s="1" t="str">
        <f>MODEL_MATRIX!W34</f>
        <v/>
      </c>
      <c r="Z34" s="1" t="str">
        <f>MODEL_MATRIX!X34</f>
        <v/>
      </c>
      <c r="AA34" s="1" t="str">
        <f>MODEL_MATRIX!Y34</f>
        <v/>
      </c>
      <c r="AB34" s="1" t="str">
        <f>MODEL_MATRIX!Z34</f>
        <v/>
      </c>
      <c r="AC34" s="1" t="str">
        <f>MODEL_MATRIX!AA34</f>
        <v/>
      </c>
      <c r="AE34" s="1" t="str">
        <f ca="1">IF(A34&gt;MODEL_FIT!$H$1+1,"",OFFSET(MODEL_FIT!$A$6,0,MODEL_FIT!$H$1+1-ROW()+ROW($AE$2),1,1))</f>
        <v/>
      </c>
      <c r="AF34" s="1" t="str">
        <f ca="1">IF(A34&gt;MODEL_FIT!$H$1+1,"",OFFSET(MODEL_FIT!$A$5,0,MODEL_FIT!$H$1+1-ROW()+ROW($AE$2),1,1))</f>
        <v/>
      </c>
      <c r="AH34" s="1" t="str">
        <f t="shared" si="1"/>
        <v/>
      </c>
      <c r="AJ34" s="1" t="e">
        <f t="shared" si="2"/>
        <v>#N/A</v>
      </c>
      <c r="AK34" s="1" t="e">
        <f t="shared" si="3"/>
        <v>#N/A</v>
      </c>
      <c r="AL34" s="1" t="e">
        <f t="shared" si="4"/>
        <v>#N/A</v>
      </c>
    </row>
    <row r="35" spans="1:38" x14ac:dyDescent="0.25">
      <c r="A35">
        <v>34</v>
      </c>
      <c r="B35" s="1" t="str">
        <f>MODEL_MATRIX!B35</f>
        <v/>
      </c>
      <c r="C35" s="1"/>
      <c r="D35" s="1" t="str">
        <f t="shared" si="0"/>
        <v/>
      </c>
      <c r="E35" s="1" t="str">
        <f>MODEL_MATRIX!C35</f>
        <v/>
      </c>
      <c r="F35" s="1" t="str">
        <f>MODEL_MATRIX!D35</f>
        <v/>
      </c>
      <c r="G35" s="1" t="str">
        <f>MODEL_MATRIX!E35</f>
        <v/>
      </c>
      <c r="H35" s="1" t="str">
        <f>MODEL_MATRIX!F35</f>
        <v/>
      </c>
      <c r="I35" s="1" t="str">
        <f>MODEL_MATRIX!G35</f>
        <v/>
      </c>
      <c r="J35" s="1" t="str">
        <f>MODEL_MATRIX!H35</f>
        <v/>
      </c>
      <c r="K35" s="1" t="str">
        <f>MODEL_MATRIX!I35</f>
        <v/>
      </c>
      <c r="L35" s="1" t="str">
        <f>MODEL_MATRIX!J35</f>
        <v/>
      </c>
      <c r="M35" s="1" t="str">
        <f>MODEL_MATRIX!K35</f>
        <v/>
      </c>
      <c r="N35" s="1" t="str">
        <f>MODEL_MATRIX!L35</f>
        <v/>
      </c>
      <c r="O35" s="1" t="str">
        <f>MODEL_MATRIX!M35</f>
        <v/>
      </c>
      <c r="P35" s="1" t="str">
        <f>MODEL_MATRIX!N35</f>
        <v/>
      </c>
      <c r="Q35" s="1" t="str">
        <f>MODEL_MATRIX!O35</f>
        <v/>
      </c>
      <c r="R35" s="1" t="str">
        <f>MODEL_MATRIX!P35</f>
        <v/>
      </c>
      <c r="S35" s="1" t="str">
        <f>MODEL_MATRIX!Q35</f>
        <v/>
      </c>
      <c r="T35" s="1" t="str">
        <f>MODEL_MATRIX!R35</f>
        <v/>
      </c>
      <c r="U35" s="1" t="str">
        <f>MODEL_MATRIX!S35</f>
        <v/>
      </c>
      <c r="V35" s="1" t="str">
        <f>MODEL_MATRIX!T35</f>
        <v/>
      </c>
      <c r="W35" s="1" t="str">
        <f>MODEL_MATRIX!U35</f>
        <v/>
      </c>
      <c r="X35" s="1" t="str">
        <f>MODEL_MATRIX!V35</f>
        <v/>
      </c>
      <c r="Y35" s="1" t="str">
        <f>MODEL_MATRIX!W35</f>
        <v/>
      </c>
      <c r="Z35" s="1" t="str">
        <f>MODEL_MATRIX!X35</f>
        <v/>
      </c>
      <c r="AA35" s="1" t="str">
        <f>MODEL_MATRIX!Y35</f>
        <v/>
      </c>
      <c r="AB35" s="1" t="str">
        <f>MODEL_MATRIX!Z35</f>
        <v/>
      </c>
      <c r="AC35" s="1" t="str">
        <f>MODEL_MATRIX!AA35</f>
        <v/>
      </c>
      <c r="AE35" s="1" t="str">
        <f ca="1">IF(A35&gt;MODEL_FIT!$H$1+1,"",OFFSET(MODEL_FIT!$A$6,0,MODEL_FIT!$H$1+1-ROW()+ROW($AE$2),1,1))</f>
        <v/>
      </c>
      <c r="AF35" s="1" t="str">
        <f ca="1">IF(A35&gt;MODEL_FIT!$H$1+1,"",OFFSET(MODEL_FIT!$A$5,0,MODEL_FIT!$H$1+1-ROW()+ROW($AE$2),1,1))</f>
        <v/>
      </c>
      <c r="AH35" s="1" t="str">
        <f t="shared" si="1"/>
        <v/>
      </c>
      <c r="AJ35" s="1" t="e">
        <f t="shared" si="2"/>
        <v>#N/A</v>
      </c>
      <c r="AK35" s="1" t="e">
        <f t="shared" si="3"/>
        <v>#N/A</v>
      </c>
      <c r="AL35" s="1" t="e">
        <f t="shared" si="4"/>
        <v>#N/A</v>
      </c>
    </row>
    <row r="36" spans="1:38" x14ac:dyDescent="0.25">
      <c r="A36">
        <v>35</v>
      </c>
      <c r="B36" s="1" t="str">
        <f>MODEL_MATRIX!B36</f>
        <v/>
      </c>
      <c r="C36" s="1"/>
      <c r="D36" s="1" t="str">
        <f t="shared" si="0"/>
        <v/>
      </c>
      <c r="E36" s="1" t="str">
        <f>MODEL_MATRIX!C36</f>
        <v/>
      </c>
      <c r="F36" s="1" t="str">
        <f>MODEL_MATRIX!D36</f>
        <v/>
      </c>
      <c r="G36" s="1" t="str">
        <f>MODEL_MATRIX!E36</f>
        <v/>
      </c>
      <c r="H36" s="1" t="str">
        <f>MODEL_MATRIX!F36</f>
        <v/>
      </c>
      <c r="I36" s="1" t="str">
        <f>MODEL_MATRIX!G36</f>
        <v/>
      </c>
      <c r="J36" s="1" t="str">
        <f>MODEL_MATRIX!H36</f>
        <v/>
      </c>
      <c r="K36" s="1" t="str">
        <f>MODEL_MATRIX!I36</f>
        <v/>
      </c>
      <c r="L36" s="1" t="str">
        <f>MODEL_MATRIX!J36</f>
        <v/>
      </c>
      <c r="M36" s="1" t="str">
        <f>MODEL_MATRIX!K36</f>
        <v/>
      </c>
      <c r="N36" s="1" t="str">
        <f>MODEL_MATRIX!L36</f>
        <v/>
      </c>
      <c r="O36" s="1" t="str">
        <f>MODEL_MATRIX!M36</f>
        <v/>
      </c>
      <c r="P36" s="1" t="str">
        <f>MODEL_MATRIX!N36</f>
        <v/>
      </c>
      <c r="Q36" s="1" t="str">
        <f>MODEL_MATRIX!O36</f>
        <v/>
      </c>
      <c r="R36" s="1" t="str">
        <f>MODEL_MATRIX!P36</f>
        <v/>
      </c>
      <c r="S36" s="1" t="str">
        <f>MODEL_MATRIX!Q36</f>
        <v/>
      </c>
      <c r="T36" s="1" t="str">
        <f>MODEL_MATRIX!R36</f>
        <v/>
      </c>
      <c r="U36" s="1" t="str">
        <f>MODEL_MATRIX!S36</f>
        <v/>
      </c>
      <c r="V36" s="1" t="str">
        <f>MODEL_MATRIX!T36</f>
        <v/>
      </c>
      <c r="W36" s="1" t="str">
        <f>MODEL_MATRIX!U36</f>
        <v/>
      </c>
      <c r="X36" s="1" t="str">
        <f>MODEL_MATRIX!V36</f>
        <v/>
      </c>
      <c r="Y36" s="1" t="str">
        <f>MODEL_MATRIX!W36</f>
        <v/>
      </c>
      <c r="Z36" s="1" t="str">
        <f>MODEL_MATRIX!X36</f>
        <v/>
      </c>
      <c r="AA36" s="1" t="str">
        <f>MODEL_MATRIX!Y36</f>
        <v/>
      </c>
      <c r="AB36" s="1" t="str">
        <f>MODEL_MATRIX!Z36</f>
        <v/>
      </c>
      <c r="AC36" s="1" t="str">
        <f>MODEL_MATRIX!AA36</f>
        <v/>
      </c>
      <c r="AE36" s="1" t="str">
        <f ca="1">IF(A36&gt;MODEL_FIT!$H$1+1,"",OFFSET(MODEL_FIT!$A$6,0,MODEL_FIT!$H$1+1-ROW()+ROW($AE$2),1,1))</f>
        <v/>
      </c>
      <c r="AF36" s="1" t="str">
        <f ca="1">IF(A36&gt;MODEL_FIT!$H$1+1,"",OFFSET(MODEL_FIT!$A$5,0,MODEL_FIT!$H$1+1-ROW()+ROW($AE$2),1,1))</f>
        <v/>
      </c>
      <c r="AH36" s="1" t="str">
        <f t="shared" si="1"/>
        <v/>
      </c>
      <c r="AJ36" s="1" t="e">
        <f t="shared" si="2"/>
        <v>#N/A</v>
      </c>
      <c r="AK36" s="1" t="e">
        <f t="shared" si="3"/>
        <v>#N/A</v>
      </c>
      <c r="AL36" s="1" t="e">
        <f t="shared" si="4"/>
        <v>#N/A</v>
      </c>
    </row>
    <row r="37" spans="1:38" x14ac:dyDescent="0.25">
      <c r="A37">
        <v>36</v>
      </c>
      <c r="B37" s="1" t="str">
        <f>MODEL_MATRIX!B37</f>
        <v/>
      </c>
      <c r="C37" s="1"/>
      <c r="D37" s="1" t="str">
        <f t="shared" si="0"/>
        <v/>
      </c>
      <c r="E37" s="1" t="str">
        <f>MODEL_MATRIX!C37</f>
        <v/>
      </c>
      <c r="F37" s="1" t="str">
        <f>MODEL_MATRIX!D37</f>
        <v/>
      </c>
      <c r="G37" s="1" t="str">
        <f>MODEL_MATRIX!E37</f>
        <v/>
      </c>
      <c r="H37" s="1" t="str">
        <f>MODEL_MATRIX!F37</f>
        <v/>
      </c>
      <c r="I37" s="1" t="str">
        <f>MODEL_MATRIX!G37</f>
        <v/>
      </c>
      <c r="J37" s="1" t="str">
        <f>MODEL_MATRIX!H37</f>
        <v/>
      </c>
      <c r="K37" s="1" t="str">
        <f>MODEL_MATRIX!I37</f>
        <v/>
      </c>
      <c r="L37" s="1" t="str">
        <f>MODEL_MATRIX!J37</f>
        <v/>
      </c>
      <c r="M37" s="1" t="str">
        <f>MODEL_MATRIX!K37</f>
        <v/>
      </c>
      <c r="N37" s="1" t="str">
        <f>MODEL_MATRIX!L37</f>
        <v/>
      </c>
      <c r="O37" s="1" t="str">
        <f>MODEL_MATRIX!M37</f>
        <v/>
      </c>
      <c r="P37" s="1" t="str">
        <f>MODEL_MATRIX!N37</f>
        <v/>
      </c>
      <c r="Q37" s="1" t="str">
        <f>MODEL_MATRIX!O37</f>
        <v/>
      </c>
      <c r="R37" s="1" t="str">
        <f>MODEL_MATRIX!P37</f>
        <v/>
      </c>
      <c r="S37" s="1" t="str">
        <f>MODEL_MATRIX!Q37</f>
        <v/>
      </c>
      <c r="T37" s="1" t="str">
        <f>MODEL_MATRIX!R37</f>
        <v/>
      </c>
      <c r="U37" s="1" t="str">
        <f>MODEL_MATRIX!S37</f>
        <v/>
      </c>
      <c r="V37" s="1" t="str">
        <f>MODEL_MATRIX!T37</f>
        <v/>
      </c>
      <c r="W37" s="1" t="str">
        <f>MODEL_MATRIX!U37</f>
        <v/>
      </c>
      <c r="X37" s="1" t="str">
        <f>MODEL_MATRIX!V37</f>
        <v/>
      </c>
      <c r="Y37" s="1" t="str">
        <f>MODEL_MATRIX!W37</f>
        <v/>
      </c>
      <c r="Z37" s="1" t="str">
        <f>MODEL_MATRIX!X37</f>
        <v/>
      </c>
      <c r="AA37" s="1" t="str">
        <f>MODEL_MATRIX!Y37</f>
        <v/>
      </c>
      <c r="AB37" s="1" t="str">
        <f>MODEL_MATRIX!Z37</f>
        <v/>
      </c>
      <c r="AC37" s="1" t="str">
        <f>MODEL_MATRIX!AA37</f>
        <v/>
      </c>
      <c r="AE37" s="1" t="str">
        <f ca="1">IF(A37&gt;MODEL_FIT!$H$1+1,"",OFFSET(MODEL_FIT!$A$6,0,MODEL_FIT!$H$1+1-ROW()+ROW($AE$2),1,1))</f>
        <v/>
      </c>
      <c r="AF37" s="1" t="str">
        <f ca="1">IF(A37&gt;MODEL_FIT!$H$1+1,"",OFFSET(MODEL_FIT!$A$5,0,MODEL_FIT!$H$1+1-ROW()+ROW($AE$2),1,1))</f>
        <v/>
      </c>
      <c r="AH37" s="1" t="str">
        <f t="shared" si="1"/>
        <v/>
      </c>
      <c r="AJ37" s="1" t="e">
        <f t="shared" si="2"/>
        <v>#N/A</v>
      </c>
      <c r="AK37" s="1" t="e">
        <f t="shared" si="3"/>
        <v>#N/A</v>
      </c>
      <c r="AL37" s="1" t="e">
        <f t="shared" si="4"/>
        <v>#N/A</v>
      </c>
    </row>
    <row r="38" spans="1:38" x14ac:dyDescent="0.25">
      <c r="A38">
        <v>37</v>
      </c>
      <c r="B38" s="1" t="str">
        <f>MODEL_MATRIX!B38</f>
        <v/>
      </c>
      <c r="C38" s="1"/>
      <c r="D38" s="1" t="str">
        <f t="shared" si="0"/>
        <v/>
      </c>
      <c r="E38" s="1" t="str">
        <f>MODEL_MATRIX!C38</f>
        <v/>
      </c>
      <c r="F38" s="1" t="str">
        <f>MODEL_MATRIX!D38</f>
        <v/>
      </c>
      <c r="G38" s="1" t="str">
        <f>MODEL_MATRIX!E38</f>
        <v/>
      </c>
      <c r="H38" s="1" t="str">
        <f>MODEL_MATRIX!F38</f>
        <v/>
      </c>
      <c r="I38" s="1" t="str">
        <f>MODEL_MATRIX!G38</f>
        <v/>
      </c>
      <c r="J38" s="1" t="str">
        <f>MODEL_MATRIX!H38</f>
        <v/>
      </c>
      <c r="K38" s="1" t="str">
        <f>MODEL_MATRIX!I38</f>
        <v/>
      </c>
      <c r="L38" s="1" t="str">
        <f>MODEL_MATRIX!J38</f>
        <v/>
      </c>
      <c r="M38" s="1" t="str">
        <f>MODEL_MATRIX!K38</f>
        <v/>
      </c>
      <c r="N38" s="1" t="str">
        <f>MODEL_MATRIX!L38</f>
        <v/>
      </c>
      <c r="O38" s="1" t="str">
        <f>MODEL_MATRIX!M38</f>
        <v/>
      </c>
      <c r="P38" s="1" t="str">
        <f>MODEL_MATRIX!N38</f>
        <v/>
      </c>
      <c r="Q38" s="1" t="str">
        <f>MODEL_MATRIX!O38</f>
        <v/>
      </c>
      <c r="R38" s="1" t="str">
        <f>MODEL_MATRIX!P38</f>
        <v/>
      </c>
      <c r="S38" s="1" t="str">
        <f>MODEL_MATRIX!Q38</f>
        <v/>
      </c>
      <c r="T38" s="1" t="str">
        <f>MODEL_MATRIX!R38</f>
        <v/>
      </c>
      <c r="U38" s="1" t="str">
        <f>MODEL_MATRIX!S38</f>
        <v/>
      </c>
      <c r="V38" s="1" t="str">
        <f>MODEL_MATRIX!T38</f>
        <v/>
      </c>
      <c r="W38" s="1" t="str">
        <f>MODEL_MATRIX!U38</f>
        <v/>
      </c>
      <c r="X38" s="1" t="str">
        <f>MODEL_MATRIX!V38</f>
        <v/>
      </c>
      <c r="Y38" s="1" t="str">
        <f>MODEL_MATRIX!W38</f>
        <v/>
      </c>
      <c r="Z38" s="1" t="str">
        <f>MODEL_MATRIX!X38</f>
        <v/>
      </c>
      <c r="AA38" s="1" t="str">
        <f>MODEL_MATRIX!Y38</f>
        <v/>
      </c>
      <c r="AB38" s="1" t="str">
        <f>MODEL_MATRIX!Z38</f>
        <v/>
      </c>
      <c r="AC38" s="1" t="str">
        <f>MODEL_MATRIX!AA38</f>
        <v/>
      </c>
      <c r="AE38" s="1" t="str">
        <f ca="1">IF(A38&gt;MODEL_FIT!$H$1+1,"",OFFSET(MODEL_FIT!$A$6,0,MODEL_FIT!$H$1+1-ROW()+ROW($AE$2),1,1))</f>
        <v/>
      </c>
      <c r="AF38" s="1" t="str">
        <f ca="1">IF(A38&gt;MODEL_FIT!$H$1+1,"",OFFSET(MODEL_FIT!$A$5,0,MODEL_FIT!$H$1+1-ROW()+ROW($AE$2),1,1))</f>
        <v/>
      </c>
      <c r="AH38" s="1" t="str">
        <f t="shared" si="1"/>
        <v/>
      </c>
      <c r="AJ38" s="1" t="e">
        <f t="shared" si="2"/>
        <v>#N/A</v>
      </c>
      <c r="AK38" s="1" t="e">
        <f t="shared" si="3"/>
        <v>#N/A</v>
      </c>
      <c r="AL38" s="1" t="e">
        <f t="shared" si="4"/>
        <v>#N/A</v>
      </c>
    </row>
    <row r="39" spans="1:38" x14ac:dyDescent="0.25">
      <c r="A39">
        <v>38</v>
      </c>
      <c r="B39" s="1" t="str">
        <f>MODEL_MATRIX!B39</f>
        <v/>
      </c>
      <c r="C39" s="1"/>
      <c r="D39" s="1" t="str">
        <f t="shared" si="0"/>
        <v/>
      </c>
      <c r="E39" s="1" t="str">
        <f>MODEL_MATRIX!C39</f>
        <v/>
      </c>
      <c r="F39" s="1" t="str">
        <f>MODEL_MATRIX!D39</f>
        <v/>
      </c>
      <c r="G39" s="1" t="str">
        <f>MODEL_MATRIX!E39</f>
        <v/>
      </c>
      <c r="H39" s="1" t="str">
        <f>MODEL_MATRIX!F39</f>
        <v/>
      </c>
      <c r="I39" s="1" t="str">
        <f>MODEL_MATRIX!G39</f>
        <v/>
      </c>
      <c r="J39" s="1" t="str">
        <f>MODEL_MATRIX!H39</f>
        <v/>
      </c>
      <c r="K39" s="1" t="str">
        <f>MODEL_MATRIX!I39</f>
        <v/>
      </c>
      <c r="L39" s="1" t="str">
        <f>MODEL_MATRIX!J39</f>
        <v/>
      </c>
      <c r="M39" s="1" t="str">
        <f>MODEL_MATRIX!K39</f>
        <v/>
      </c>
      <c r="N39" s="1" t="str">
        <f>MODEL_MATRIX!L39</f>
        <v/>
      </c>
      <c r="O39" s="1" t="str">
        <f>MODEL_MATRIX!M39</f>
        <v/>
      </c>
      <c r="P39" s="1" t="str">
        <f>MODEL_MATRIX!N39</f>
        <v/>
      </c>
      <c r="Q39" s="1" t="str">
        <f>MODEL_MATRIX!O39</f>
        <v/>
      </c>
      <c r="R39" s="1" t="str">
        <f>MODEL_MATRIX!P39</f>
        <v/>
      </c>
      <c r="S39" s="1" t="str">
        <f>MODEL_MATRIX!Q39</f>
        <v/>
      </c>
      <c r="T39" s="1" t="str">
        <f>MODEL_MATRIX!R39</f>
        <v/>
      </c>
      <c r="U39" s="1" t="str">
        <f>MODEL_MATRIX!S39</f>
        <v/>
      </c>
      <c r="V39" s="1" t="str">
        <f>MODEL_MATRIX!T39</f>
        <v/>
      </c>
      <c r="W39" s="1" t="str">
        <f>MODEL_MATRIX!U39</f>
        <v/>
      </c>
      <c r="X39" s="1" t="str">
        <f>MODEL_MATRIX!V39</f>
        <v/>
      </c>
      <c r="Y39" s="1" t="str">
        <f>MODEL_MATRIX!W39</f>
        <v/>
      </c>
      <c r="Z39" s="1" t="str">
        <f>MODEL_MATRIX!X39</f>
        <v/>
      </c>
      <c r="AA39" s="1" t="str">
        <f>MODEL_MATRIX!Y39</f>
        <v/>
      </c>
      <c r="AB39" s="1" t="str">
        <f>MODEL_MATRIX!Z39</f>
        <v/>
      </c>
      <c r="AC39" s="1" t="str">
        <f>MODEL_MATRIX!AA39</f>
        <v/>
      </c>
      <c r="AE39" s="1" t="str">
        <f ca="1">IF(A39&gt;MODEL_FIT!$H$1+1,"",OFFSET(MODEL_FIT!$A$6,0,MODEL_FIT!$H$1+1-ROW()+ROW($AE$2),1,1))</f>
        <v/>
      </c>
      <c r="AF39" s="1" t="str">
        <f ca="1">IF(A39&gt;MODEL_FIT!$H$1+1,"",OFFSET(MODEL_FIT!$A$5,0,MODEL_FIT!$H$1+1-ROW()+ROW($AE$2),1,1))</f>
        <v/>
      </c>
      <c r="AH39" s="1" t="str">
        <f t="shared" si="1"/>
        <v/>
      </c>
      <c r="AJ39" s="1" t="e">
        <f t="shared" si="2"/>
        <v>#N/A</v>
      </c>
      <c r="AK39" s="1" t="e">
        <f t="shared" si="3"/>
        <v>#N/A</v>
      </c>
      <c r="AL39" s="1" t="e">
        <f t="shared" si="4"/>
        <v>#N/A</v>
      </c>
    </row>
    <row r="40" spans="1:38" x14ac:dyDescent="0.25">
      <c r="A40">
        <v>39</v>
      </c>
      <c r="B40" s="1" t="str">
        <f>MODEL_MATRIX!B40</f>
        <v/>
      </c>
      <c r="C40" s="1"/>
      <c r="D40" s="1" t="str">
        <f t="shared" si="0"/>
        <v/>
      </c>
      <c r="E40" s="1" t="str">
        <f>MODEL_MATRIX!C40</f>
        <v/>
      </c>
      <c r="F40" s="1" t="str">
        <f>MODEL_MATRIX!D40</f>
        <v/>
      </c>
      <c r="G40" s="1" t="str">
        <f>MODEL_MATRIX!E40</f>
        <v/>
      </c>
      <c r="H40" s="1" t="str">
        <f>MODEL_MATRIX!F40</f>
        <v/>
      </c>
      <c r="I40" s="1" t="str">
        <f>MODEL_MATRIX!G40</f>
        <v/>
      </c>
      <c r="J40" s="1" t="str">
        <f>MODEL_MATRIX!H40</f>
        <v/>
      </c>
      <c r="K40" s="1" t="str">
        <f>MODEL_MATRIX!I40</f>
        <v/>
      </c>
      <c r="L40" s="1" t="str">
        <f>MODEL_MATRIX!J40</f>
        <v/>
      </c>
      <c r="M40" s="1" t="str">
        <f>MODEL_MATRIX!K40</f>
        <v/>
      </c>
      <c r="N40" s="1" t="str">
        <f>MODEL_MATRIX!L40</f>
        <v/>
      </c>
      <c r="O40" s="1" t="str">
        <f>MODEL_MATRIX!M40</f>
        <v/>
      </c>
      <c r="P40" s="1" t="str">
        <f>MODEL_MATRIX!N40</f>
        <v/>
      </c>
      <c r="Q40" s="1" t="str">
        <f>MODEL_MATRIX!O40</f>
        <v/>
      </c>
      <c r="R40" s="1" t="str">
        <f>MODEL_MATRIX!P40</f>
        <v/>
      </c>
      <c r="S40" s="1" t="str">
        <f>MODEL_MATRIX!Q40</f>
        <v/>
      </c>
      <c r="T40" s="1" t="str">
        <f>MODEL_MATRIX!R40</f>
        <v/>
      </c>
      <c r="U40" s="1" t="str">
        <f>MODEL_MATRIX!S40</f>
        <v/>
      </c>
      <c r="V40" s="1" t="str">
        <f>MODEL_MATRIX!T40</f>
        <v/>
      </c>
      <c r="W40" s="1" t="str">
        <f>MODEL_MATRIX!U40</f>
        <v/>
      </c>
      <c r="X40" s="1" t="str">
        <f>MODEL_MATRIX!V40</f>
        <v/>
      </c>
      <c r="Y40" s="1" t="str">
        <f>MODEL_MATRIX!W40</f>
        <v/>
      </c>
      <c r="Z40" s="1" t="str">
        <f>MODEL_MATRIX!X40</f>
        <v/>
      </c>
      <c r="AA40" s="1" t="str">
        <f>MODEL_MATRIX!Y40</f>
        <v/>
      </c>
      <c r="AB40" s="1" t="str">
        <f>MODEL_MATRIX!Z40</f>
        <v/>
      </c>
      <c r="AC40" s="1" t="str">
        <f>MODEL_MATRIX!AA40</f>
        <v/>
      </c>
      <c r="AE40" s="1" t="str">
        <f ca="1">IF(A40&gt;MODEL_FIT!$H$1+1,"",OFFSET(MODEL_FIT!$A$6,0,MODEL_FIT!$H$1+1-ROW()+ROW($AE$2),1,1))</f>
        <v/>
      </c>
      <c r="AF40" s="1" t="str">
        <f ca="1">IF(A40&gt;MODEL_FIT!$H$1+1,"",OFFSET(MODEL_FIT!$A$5,0,MODEL_FIT!$H$1+1-ROW()+ROW($AE$2),1,1))</f>
        <v/>
      </c>
      <c r="AH40" s="1" t="str">
        <f t="shared" si="1"/>
        <v/>
      </c>
      <c r="AJ40" s="1" t="e">
        <f t="shared" si="2"/>
        <v>#N/A</v>
      </c>
      <c r="AK40" s="1" t="e">
        <f t="shared" si="3"/>
        <v>#N/A</v>
      </c>
      <c r="AL40" s="1" t="e">
        <f t="shared" si="4"/>
        <v>#N/A</v>
      </c>
    </row>
    <row r="41" spans="1:38" x14ac:dyDescent="0.25">
      <c r="A41">
        <v>40</v>
      </c>
      <c r="B41" s="1" t="str">
        <f>MODEL_MATRIX!B41</f>
        <v/>
      </c>
      <c r="C41" s="1"/>
      <c r="D41" s="1" t="str">
        <f t="shared" si="0"/>
        <v/>
      </c>
      <c r="E41" s="1" t="str">
        <f>MODEL_MATRIX!C41</f>
        <v/>
      </c>
      <c r="F41" s="1" t="str">
        <f>MODEL_MATRIX!D41</f>
        <v/>
      </c>
      <c r="G41" s="1" t="str">
        <f>MODEL_MATRIX!E41</f>
        <v/>
      </c>
      <c r="H41" s="1" t="str">
        <f>MODEL_MATRIX!F41</f>
        <v/>
      </c>
      <c r="I41" s="1" t="str">
        <f>MODEL_MATRIX!G41</f>
        <v/>
      </c>
      <c r="J41" s="1" t="str">
        <f>MODEL_MATRIX!H41</f>
        <v/>
      </c>
      <c r="K41" s="1" t="str">
        <f>MODEL_MATRIX!I41</f>
        <v/>
      </c>
      <c r="L41" s="1" t="str">
        <f>MODEL_MATRIX!J41</f>
        <v/>
      </c>
      <c r="M41" s="1" t="str">
        <f>MODEL_MATRIX!K41</f>
        <v/>
      </c>
      <c r="N41" s="1" t="str">
        <f>MODEL_MATRIX!L41</f>
        <v/>
      </c>
      <c r="O41" s="1" t="str">
        <f>MODEL_MATRIX!M41</f>
        <v/>
      </c>
      <c r="P41" s="1" t="str">
        <f>MODEL_MATRIX!N41</f>
        <v/>
      </c>
      <c r="Q41" s="1" t="str">
        <f>MODEL_MATRIX!O41</f>
        <v/>
      </c>
      <c r="R41" s="1" t="str">
        <f>MODEL_MATRIX!P41</f>
        <v/>
      </c>
      <c r="S41" s="1" t="str">
        <f>MODEL_MATRIX!Q41</f>
        <v/>
      </c>
      <c r="T41" s="1" t="str">
        <f>MODEL_MATRIX!R41</f>
        <v/>
      </c>
      <c r="U41" s="1" t="str">
        <f>MODEL_MATRIX!S41</f>
        <v/>
      </c>
      <c r="V41" s="1" t="str">
        <f>MODEL_MATRIX!T41</f>
        <v/>
      </c>
      <c r="W41" s="1" t="str">
        <f>MODEL_MATRIX!U41</f>
        <v/>
      </c>
      <c r="X41" s="1" t="str">
        <f>MODEL_MATRIX!V41</f>
        <v/>
      </c>
      <c r="Y41" s="1" t="str">
        <f>MODEL_MATRIX!W41</f>
        <v/>
      </c>
      <c r="Z41" s="1" t="str">
        <f>MODEL_MATRIX!X41</f>
        <v/>
      </c>
      <c r="AA41" s="1" t="str">
        <f>MODEL_MATRIX!Y41</f>
        <v/>
      </c>
      <c r="AB41" s="1" t="str">
        <f>MODEL_MATRIX!Z41</f>
        <v/>
      </c>
      <c r="AC41" s="1" t="str">
        <f>MODEL_MATRIX!AA41</f>
        <v/>
      </c>
      <c r="AE41" s="1" t="str">
        <f ca="1">IF(A41&gt;MODEL_FIT!$H$1+1,"",OFFSET(MODEL_FIT!$A$6,0,MODEL_FIT!$H$1+1-ROW()+ROW($AE$2),1,1))</f>
        <v/>
      </c>
      <c r="AF41" s="1" t="str">
        <f ca="1">IF(A41&gt;MODEL_FIT!$H$1+1,"",OFFSET(MODEL_FIT!$A$5,0,MODEL_FIT!$H$1+1-ROW()+ROW($AE$2),1,1))</f>
        <v/>
      </c>
      <c r="AH41" s="1" t="str">
        <f t="shared" si="1"/>
        <v/>
      </c>
      <c r="AJ41" s="1" t="e">
        <f t="shared" si="2"/>
        <v>#N/A</v>
      </c>
      <c r="AK41" s="1" t="e">
        <f t="shared" si="3"/>
        <v>#N/A</v>
      </c>
      <c r="AL41" s="1" t="e">
        <f t="shared" si="4"/>
        <v>#N/A</v>
      </c>
    </row>
    <row r="42" spans="1:38" x14ac:dyDescent="0.25">
      <c r="A42">
        <v>41</v>
      </c>
      <c r="B42" s="1" t="str">
        <f>MODEL_MATRIX!B42</f>
        <v/>
      </c>
      <c r="C42" s="1"/>
      <c r="D42" s="1" t="str">
        <f t="shared" si="0"/>
        <v/>
      </c>
      <c r="E42" s="1" t="str">
        <f>MODEL_MATRIX!C42</f>
        <v/>
      </c>
      <c r="F42" s="1" t="str">
        <f>MODEL_MATRIX!D42</f>
        <v/>
      </c>
      <c r="G42" s="1" t="str">
        <f>MODEL_MATRIX!E42</f>
        <v/>
      </c>
      <c r="H42" s="1" t="str">
        <f>MODEL_MATRIX!F42</f>
        <v/>
      </c>
      <c r="I42" s="1" t="str">
        <f>MODEL_MATRIX!G42</f>
        <v/>
      </c>
      <c r="J42" s="1" t="str">
        <f>MODEL_MATRIX!H42</f>
        <v/>
      </c>
      <c r="K42" s="1" t="str">
        <f>MODEL_MATRIX!I42</f>
        <v/>
      </c>
      <c r="L42" s="1" t="str">
        <f>MODEL_MATRIX!J42</f>
        <v/>
      </c>
      <c r="M42" s="1" t="str">
        <f>MODEL_MATRIX!K42</f>
        <v/>
      </c>
      <c r="N42" s="1" t="str">
        <f>MODEL_MATRIX!L42</f>
        <v/>
      </c>
      <c r="O42" s="1" t="str">
        <f>MODEL_MATRIX!M42</f>
        <v/>
      </c>
      <c r="P42" s="1" t="str">
        <f>MODEL_MATRIX!N42</f>
        <v/>
      </c>
      <c r="Q42" s="1" t="str">
        <f>MODEL_MATRIX!O42</f>
        <v/>
      </c>
      <c r="R42" s="1" t="str">
        <f>MODEL_MATRIX!P42</f>
        <v/>
      </c>
      <c r="S42" s="1" t="str">
        <f>MODEL_MATRIX!Q42</f>
        <v/>
      </c>
      <c r="T42" s="1" t="str">
        <f>MODEL_MATRIX!R42</f>
        <v/>
      </c>
      <c r="U42" s="1" t="str">
        <f>MODEL_MATRIX!S42</f>
        <v/>
      </c>
      <c r="V42" s="1" t="str">
        <f>MODEL_MATRIX!T42</f>
        <v/>
      </c>
      <c r="W42" s="1" t="str">
        <f>MODEL_MATRIX!U42</f>
        <v/>
      </c>
      <c r="X42" s="1" t="str">
        <f>MODEL_MATRIX!V42</f>
        <v/>
      </c>
      <c r="Y42" s="1" t="str">
        <f>MODEL_MATRIX!W42</f>
        <v/>
      </c>
      <c r="Z42" s="1" t="str">
        <f>MODEL_MATRIX!X42</f>
        <v/>
      </c>
      <c r="AA42" s="1" t="str">
        <f>MODEL_MATRIX!Y42</f>
        <v/>
      </c>
      <c r="AB42" s="1" t="str">
        <f>MODEL_MATRIX!Z42</f>
        <v/>
      </c>
      <c r="AC42" s="1" t="str">
        <f>MODEL_MATRIX!AA42</f>
        <v/>
      </c>
      <c r="AE42" s="1" t="str">
        <f ca="1">IF(A42&gt;MODEL_FIT!$H$1+1,"",OFFSET(MODEL_FIT!$A$6,0,MODEL_FIT!$H$1+1-ROW()+ROW($AE$2),1,1))</f>
        <v/>
      </c>
      <c r="AF42" s="1" t="str">
        <f ca="1">IF(A42&gt;MODEL_FIT!$H$1+1,"",OFFSET(MODEL_FIT!$A$5,0,MODEL_FIT!$H$1+1-ROW()+ROW($AE$2),1,1))</f>
        <v/>
      </c>
      <c r="AH42" s="1" t="str">
        <f t="shared" si="1"/>
        <v/>
      </c>
      <c r="AJ42" s="1" t="e">
        <f t="shared" si="2"/>
        <v>#N/A</v>
      </c>
      <c r="AK42" s="1" t="e">
        <f t="shared" si="3"/>
        <v>#N/A</v>
      </c>
      <c r="AL42" s="1" t="e">
        <f t="shared" si="4"/>
        <v>#N/A</v>
      </c>
    </row>
    <row r="43" spans="1:38" x14ac:dyDescent="0.25">
      <c r="A43">
        <v>42</v>
      </c>
      <c r="B43" s="1" t="str">
        <f>MODEL_MATRIX!B43</f>
        <v/>
      </c>
      <c r="C43" s="1"/>
      <c r="D43" s="1" t="str">
        <f t="shared" si="0"/>
        <v/>
      </c>
      <c r="E43" s="1" t="str">
        <f>MODEL_MATRIX!C43</f>
        <v/>
      </c>
      <c r="F43" s="1" t="str">
        <f>MODEL_MATRIX!D43</f>
        <v/>
      </c>
      <c r="G43" s="1" t="str">
        <f>MODEL_MATRIX!E43</f>
        <v/>
      </c>
      <c r="H43" s="1" t="str">
        <f>MODEL_MATRIX!F43</f>
        <v/>
      </c>
      <c r="I43" s="1" t="str">
        <f>MODEL_MATRIX!G43</f>
        <v/>
      </c>
      <c r="J43" s="1" t="str">
        <f>MODEL_MATRIX!H43</f>
        <v/>
      </c>
      <c r="K43" s="1" t="str">
        <f>MODEL_MATRIX!I43</f>
        <v/>
      </c>
      <c r="L43" s="1" t="str">
        <f>MODEL_MATRIX!J43</f>
        <v/>
      </c>
      <c r="M43" s="1" t="str">
        <f>MODEL_MATRIX!K43</f>
        <v/>
      </c>
      <c r="N43" s="1" t="str">
        <f>MODEL_MATRIX!L43</f>
        <v/>
      </c>
      <c r="O43" s="1" t="str">
        <f>MODEL_MATRIX!M43</f>
        <v/>
      </c>
      <c r="P43" s="1" t="str">
        <f>MODEL_MATRIX!N43</f>
        <v/>
      </c>
      <c r="Q43" s="1" t="str">
        <f>MODEL_MATRIX!O43</f>
        <v/>
      </c>
      <c r="R43" s="1" t="str">
        <f>MODEL_MATRIX!P43</f>
        <v/>
      </c>
      <c r="S43" s="1" t="str">
        <f>MODEL_MATRIX!Q43</f>
        <v/>
      </c>
      <c r="T43" s="1" t="str">
        <f>MODEL_MATRIX!R43</f>
        <v/>
      </c>
      <c r="U43" s="1" t="str">
        <f>MODEL_MATRIX!S43</f>
        <v/>
      </c>
      <c r="V43" s="1" t="str">
        <f>MODEL_MATRIX!T43</f>
        <v/>
      </c>
      <c r="W43" s="1" t="str">
        <f>MODEL_MATRIX!U43</f>
        <v/>
      </c>
      <c r="X43" s="1" t="str">
        <f>MODEL_MATRIX!V43</f>
        <v/>
      </c>
      <c r="Y43" s="1" t="str">
        <f>MODEL_MATRIX!W43</f>
        <v/>
      </c>
      <c r="Z43" s="1" t="str">
        <f>MODEL_MATRIX!X43</f>
        <v/>
      </c>
      <c r="AA43" s="1" t="str">
        <f>MODEL_MATRIX!Y43</f>
        <v/>
      </c>
      <c r="AB43" s="1" t="str">
        <f>MODEL_MATRIX!Z43</f>
        <v/>
      </c>
      <c r="AC43" s="1" t="str">
        <f>MODEL_MATRIX!AA43</f>
        <v/>
      </c>
      <c r="AE43" s="1" t="str">
        <f ca="1">IF(A43&gt;MODEL_FIT!$H$1+1,"",OFFSET(MODEL_FIT!$A$6,0,MODEL_FIT!$H$1+1-ROW()+ROW($AE$2),1,1))</f>
        <v/>
      </c>
      <c r="AF43" s="1" t="str">
        <f ca="1">IF(A43&gt;MODEL_FIT!$H$1+1,"",OFFSET(MODEL_FIT!$A$5,0,MODEL_FIT!$H$1+1-ROW()+ROW($AE$2),1,1))</f>
        <v/>
      </c>
      <c r="AH43" s="1" t="str">
        <f t="shared" si="1"/>
        <v/>
      </c>
      <c r="AJ43" s="1" t="e">
        <f t="shared" si="2"/>
        <v>#N/A</v>
      </c>
      <c r="AK43" s="1" t="e">
        <f t="shared" si="3"/>
        <v>#N/A</v>
      </c>
      <c r="AL43" s="1" t="e">
        <f t="shared" si="4"/>
        <v>#N/A</v>
      </c>
    </row>
    <row r="44" spans="1:38" x14ac:dyDescent="0.25">
      <c r="A44">
        <v>43</v>
      </c>
      <c r="B44" s="1" t="str">
        <f>MODEL_MATRIX!B44</f>
        <v/>
      </c>
      <c r="C44" s="1"/>
      <c r="D44" s="1" t="str">
        <f t="shared" si="0"/>
        <v/>
      </c>
      <c r="E44" s="1" t="str">
        <f>MODEL_MATRIX!C44</f>
        <v/>
      </c>
      <c r="F44" s="1" t="str">
        <f>MODEL_MATRIX!D44</f>
        <v/>
      </c>
      <c r="G44" s="1" t="str">
        <f>MODEL_MATRIX!E44</f>
        <v/>
      </c>
      <c r="H44" s="1" t="str">
        <f>MODEL_MATRIX!F44</f>
        <v/>
      </c>
      <c r="I44" s="1" t="str">
        <f>MODEL_MATRIX!G44</f>
        <v/>
      </c>
      <c r="J44" s="1" t="str">
        <f>MODEL_MATRIX!H44</f>
        <v/>
      </c>
      <c r="K44" s="1" t="str">
        <f>MODEL_MATRIX!I44</f>
        <v/>
      </c>
      <c r="L44" s="1" t="str">
        <f>MODEL_MATRIX!J44</f>
        <v/>
      </c>
      <c r="M44" s="1" t="str">
        <f>MODEL_MATRIX!K44</f>
        <v/>
      </c>
      <c r="N44" s="1" t="str">
        <f>MODEL_MATRIX!L44</f>
        <v/>
      </c>
      <c r="O44" s="1" t="str">
        <f>MODEL_MATRIX!M44</f>
        <v/>
      </c>
      <c r="P44" s="1" t="str">
        <f>MODEL_MATRIX!N44</f>
        <v/>
      </c>
      <c r="Q44" s="1" t="str">
        <f>MODEL_MATRIX!O44</f>
        <v/>
      </c>
      <c r="R44" s="1" t="str">
        <f>MODEL_MATRIX!P44</f>
        <v/>
      </c>
      <c r="S44" s="1" t="str">
        <f>MODEL_MATRIX!Q44</f>
        <v/>
      </c>
      <c r="T44" s="1" t="str">
        <f>MODEL_MATRIX!R44</f>
        <v/>
      </c>
      <c r="U44" s="1" t="str">
        <f>MODEL_MATRIX!S44</f>
        <v/>
      </c>
      <c r="V44" s="1" t="str">
        <f>MODEL_MATRIX!T44</f>
        <v/>
      </c>
      <c r="W44" s="1" t="str">
        <f>MODEL_MATRIX!U44</f>
        <v/>
      </c>
      <c r="X44" s="1" t="str">
        <f>MODEL_MATRIX!V44</f>
        <v/>
      </c>
      <c r="Y44" s="1" t="str">
        <f>MODEL_MATRIX!W44</f>
        <v/>
      </c>
      <c r="Z44" s="1" t="str">
        <f>MODEL_MATRIX!X44</f>
        <v/>
      </c>
      <c r="AA44" s="1" t="str">
        <f>MODEL_MATRIX!Y44</f>
        <v/>
      </c>
      <c r="AB44" s="1" t="str">
        <f>MODEL_MATRIX!Z44</f>
        <v/>
      </c>
      <c r="AC44" s="1" t="str">
        <f>MODEL_MATRIX!AA44</f>
        <v/>
      </c>
      <c r="AE44" s="1" t="str">
        <f ca="1">IF(A44&gt;MODEL_FIT!$H$1+1,"",OFFSET(MODEL_FIT!$A$6,0,MODEL_FIT!$H$1+1-ROW()+ROW($AE$2),1,1))</f>
        <v/>
      </c>
      <c r="AF44" s="1" t="str">
        <f ca="1">IF(A44&gt;MODEL_FIT!$H$1+1,"",OFFSET(MODEL_FIT!$A$5,0,MODEL_FIT!$H$1+1-ROW()+ROW($AE$2),1,1))</f>
        <v/>
      </c>
      <c r="AH44" s="1" t="str">
        <f t="shared" si="1"/>
        <v/>
      </c>
      <c r="AJ44" s="1" t="e">
        <f t="shared" si="2"/>
        <v>#N/A</v>
      </c>
      <c r="AK44" s="1" t="e">
        <f t="shared" si="3"/>
        <v>#N/A</v>
      </c>
      <c r="AL44" s="1" t="e">
        <f t="shared" si="4"/>
        <v>#N/A</v>
      </c>
    </row>
    <row r="45" spans="1:38" x14ac:dyDescent="0.25">
      <c r="A45">
        <v>44</v>
      </c>
      <c r="B45" s="1" t="str">
        <f>MODEL_MATRIX!B45</f>
        <v/>
      </c>
      <c r="C45" s="1"/>
      <c r="D45" s="1" t="str">
        <f t="shared" si="0"/>
        <v/>
      </c>
      <c r="E45" s="1" t="str">
        <f>MODEL_MATRIX!C45</f>
        <v/>
      </c>
      <c r="F45" s="1" t="str">
        <f>MODEL_MATRIX!D45</f>
        <v/>
      </c>
      <c r="G45" s="1" t="str">
        <f>MODEL_MATRIX!E45</f>
        <v/>
      </c>
      <c r="H45" s="1" t="str">
        <f>MODEL_MATRIX!F45</f>
        <v/>
      </c>
      <c r="I45" s="1" t="str">
        <f>MODEL_MATRIX!G45</f>
        <v/>
      </c>
      <c r="J45" s="1" t="str">
        <f>MODEL_MATRIX!H45</f>
        <v/>
      </c>
      <c r="K45" s="1" t="str">
        <f>MODEL_MATRIX!I45</f>
        <v/>
      </c>
      <c r="L45" s="1" t="str">
        <f>MODEL_MATRIX!J45</f>
        <v/>
      </c>
      <c r="M45" s="1" t="str">
        <f>MODEL_MATRIX!K45</f>
        <v/>
      </c>
      <c r="N45" s="1" t="str">
        <f>MODEL_MATRIX!L45</f>
        <v/>
      </c>
      <c r="O45" s="1" t="str">
        <f>MODEL_MATRIX!M45</f>
        <v/>
      </c>
      <c r="P45" s="1" t="str">
        <f>MODEL_MATRIX!N45</f>
        <v/>
      </c>
      <c r="Q45" s="1" t="str">
        <f>MODEL_MATRIX!O45</f>
        <v/>
      </c>
      <c r="R45" s="1" t="str">
        <f>MODEL_MATRIX!P45</f>
        <v/>
      </c>
      <c r="S45" s="1" t="str">
        <f>MODEL_MATRIX!Q45</f>
        <v/>
      </c>
      <c r="T45" s="1" t="str">
        <f>MODEL_MATRIX!R45</f>
        <v/>
      </c>
      <c r="U45" s="1" t="str">
        <f>MODEL_MATRIX!S45</f>
        <v/>
      </c>
      <c r="V45" s="1" t="str">
        <f>MODEL_MATRIX!T45</f>
        <v/>
      </c>
      <c r="W45" s="1" t="str">
        <f>MODEL_MATRIX!U45</f>
        <v/>
      </c>
      <c r="X45" s="1" t="str">
        <f>MODEL_MATRIX!V45</f>
        <v/>
      </c>
      <c r="Y45" s="1" t="str">
        <f>MODEL_MATRIX!W45</f>
        <v/>
      </c>
      <c r="Z45" s="1" t="str">
        <f>MODEL_MATRIX!X45</f>
        <v/>
      </c>
      <c r="AA45" s="1" t="str">
        <f>MODEL_MATRIX!Y45</f>
        <v/>
      </c>
      <c r="AB45" s="1" t="str">
        <f>MODEL_MATRIX!Z45</f>
        <v/>
      </c>
      <c r="AC45" s="1" t="str">
        <f>MODEL_MATRIX!AA45</f>
        <v/>
      </c>
      <c r="AE45" s="1" t="str">
        <f ca="1">IF(A45&gt;MODEL_FIT!$H$1+1,"",OFFSET(MODEL_FIT!$A$6,0,MODEL_FIT!$H$1+1-ROW()+ROW($AE$2),1,1))</f>
        <v/>
      </c>
      <c r="AF45" s="1" t="str">
        <f ca="1">IF(A45&gt;MODEL_FIT!$H$1+1,"",OFFSET(MODEL_FIT!$A$5,0,MODEL_FIT!$H$1+1-ROW()+ROW($AE$2),1,1))</f>
        <v/>
      </c>
      <c r="AH45" s="1" t="str">
        <f t="shared" si="1"/>
        <v/>
      </c>
      <c r="AJ45" s="1" t="e">
        <f t="shared" si="2"/>
        <v>#N/A</v>
      </c>
      <c r="AK45" s="1" t="e">
        <f t="shared" si="3"/>
        <v>#N/A</v>
      </c>
      <c r="AL45" s="1" t="e">
        <f t="shared" si="4"/>
        <v>#N/A</v>
      </c>
    </row>
    <row r="46" spans="1:38" x14ac:dyDescent="0.25">
      <c r="A46">
        <v>45</v>
      </c>
      <c r="B46" s="1" t="str">
        <f>MODEL_MATRIX!B46</f>
        <v/>
      </c>
      <c r="C46" s="1"/>
      <c r="D46" s="1" t="str">
        <f t="shared" si="0"/>
        <v/>
      </c>
      <c r="E46" s="1" t="str">
        <f>MODEL_MATRIX!C46</f>
        <v/>
      </c>
      <c r="F46" s="1" t="str">
        <f>MODEL_MATRIX!D46</f>
        <v/>
      </c>
      <c r="G46" s="1" t="str">
        <f>MODEL_MATRIX!E46</f>
        <v/>
      </c>
      <c r="H46" s="1" t="str">
        <f>MODEL_MATRIX!F46</f>
        <v/>
      </c>
      <c r="I46" s="1" t="str">
        <f>MODEL_MATRIX!G46</f>
        <v/>
      </c>
      <c r="J46" s="1" t="str">
        <f>MODEL_MATRIX!H46</f>
        <v/>
      </c>
      <c r="K46" s="1" t="str">
        <f>MODEL_MATRIX!I46</f>
        <v/>
      </c>
      <c r="L46" s="1" t="str">
        <f>MODEL_MATRIX!J46</f>
        <v/>
      </c>
      <c r="M46" s="1" t="str">
        <f>MODEL_MATRIX!K46</f>
        <v/>
      </c>
      <c r="N46" s="1" t="str">
        <f>MODEL_MATRIX!L46</f>
        <v/>
      </c>
      <c r="O46" s="1" t="str">
        <f>MODEL_MATRIX!M46</f>
        <v/>
      </c>
      <c r="P46" s="1" t="str">
        <f>MODEL_MATRIX!N46</f>
        <v/>
      </c>
      <c r="Q46" s="1" t="str">
        <f>MODEL_MATRIX!O46</f>
        <v/>
      </c>
      <c r="R46" s="1" t="str">
        <f>MODEL_MATRIX!P46</f>
        <v/>
      </c>
      <c r="S46" s="1" t="str">
        <f>MODEL_MATRIX!Q46</f>
        <v/>
      </c>
      <c r="T46" s="1" t="str">
        <f>MODEL_MATRIX!R46</f>
        <v/>
      </c>
      <c r="U46" s="1" t="str">
        <f>MODEL_MATRIX!S46</f>
        <v/>
      </c>
      <c r="V46" s="1" t="str">
        <f>MODEL_MATRIX!T46</f>
        <v/>
      </c>
      <c r="W46" s="1" t="str">
        <f>MODEL_MATRIX!U46</f>
        <v/>
      </c>
      <c r="X46" s="1" t="str">
        <f>MODEL_MATRIX!V46</f>
        <v/>
      </c>
      <c r="Y46" s="1" t="str">
        <f>MODEL_MATRIX!W46</f>
        <v/>
      </c>
      <c r="Z46" s="1" t="str">
        <f>MODEL_MATRIX!X46</f>
        <v/>
      </c>
      <c r="AA46" s="1" t="str">
        <f>MODEL_MATRIX!Y46</f>
        <v/>
      </c>
      <c r="AB46" s="1" t="str">
        <f>MODEL_MATRIX!Z46</f>
        <v/>
      </c>
      <c r="AC46" s="1" t="str">
        <f>MODEL_MATRIX!AA46</f>
        <v/>
      </c>
      <c r="AE46" s="1" t="str">
        <f ca="1">IF(A46&gt;MODEL_FIT!$H$1+1,"",OFFSET(MODEL_FIT!$A$6,0,MODEL_FIT!$H$1+1-ROW()+ROW($AE$2),1,1))</f>
        <v/>
      </c>
      <c r="AF46" s="1" t="str">
        <f ca="1">IF(A46&gt;MODEL_FIT!$H$1+1,"",OFFSET(MODEL_FIT!$A$5,0,MODEL_FIT!$H$1+1-ROW()+ROW($AE$2),1,1))</f>
        <v/>
      </c>
      <c r="AH46" s="1" t="str">
        <f t="shared" si="1"/>
        <v/>
      </c>
      <c r="AJ46" s="1" t="e">
        <f t="shared" si="2"/>
        <v>#N/A</v>
      </c>
      <c r="AK46" s="1" t="e">
        <f t="shared" si="3"/>
        <v>#N/A</v>
      </c>
      <c r="AL46" s="1" t="e">
        <f t="shared" si="4"/>
        <v>#N/A</v>
      </c>
    </row>
    <row r="47" spans="1:38" x14ac:dyDescent="0.25">
      <c r="A47">
        <v>46</v>
      </c>
      <c r="B47" s="1" t="str">
        <f>MODEL_MATRIX!B47</f>
        <v/>
      </c>
      <c r="C47" s="1"/>
      <c r="D47" s="1" t="str">
        <f t="shared" si="0"/>
        <v/>
      </c>
      <c r="E47" s="1" t="str">
        <f>MODEL_MATRIX!C47</f>
        <v/>
      </c>
      <c r="F47" s="1" t="str">
        <f>MODEL_MATRIX!D47</f>
        <v/>
      </c>
      <c r="G47" s="1" t="str">
        <f>MODEL_MATRIX!E47</f>
        <v/>
      </c>
      <c r="H47" s="1" t="str">
        <f>MODEL_MATRIX!F47</f>
        <v/>
      </c>
      <c r="I47" s="1" t="str">
        <f>MODEL_MATRIX!G47</f>
        <v/>
      </c>
      <c r="J47" s="1" t="str">
        <f>MODEL_MATRIX!H47</f>
        <v/>
      </c>
      <c r="K47" s="1" t="str">
        <f>MODEL_MATRIX!I47</f>
        <v/>
      </c>
      <c r="L47" s="1" t="str">
        <f>MODEL_MATRIX!J47</f>
        <v/>
      </c>
      <c r="M47" s="1" t="str">
        <f>MODEL_MATRIX!K47</f>
        <v/>
      </c>
      <c r="N47" s="1" t="str">
        <f>MODEL_MATRIX!L47</f>
        <v/>
      </c>
      <c r="O47" s="1" t="str">
        <f>MODEL_MATRIX!M47</f>
        <v/>
      </c>
      <c r="P47" s="1" t="str">
        <f>MODEL_MATRIX!N47</f>
        <v/>
      </c>
      <c r="Q47" s="1" t="str">
        <f>MODEL_MATRIX!O47</f>
        <v/>
      </c>
      <c r="R47" s="1" t="str">
        <f>MODEL_MATRIX!P47</f>
        <v/>
      </c>
      <c r="S47" s="1" t="str">
        <f>MODEL_MATRIX!Q47</f>
        <v/>
      </c>
      <c r="T47" s="1" t="str">
        <f>MODEL_MATRIX!R47</f>
        <v/>
      </c>
      <c r="U47" s="1" t="str">
        <f>MODEL_MATRIX!S47</f>
        <v/>
      </c>
      <c r="V47" s="1" t="str">
        <f>MODEL_MATRIX!T47</f>
        <v/>
      </c>
      <c r="W47" s="1" t="str">
        <f>MODEL_MATRIX!U47</f>
        <v/>
      </c>
      <c r="X47" s="1" t="str">
        <f>MODEL_MATRIX!V47</f>
        <v/>
      </c>
      <c r="Y47" s="1" t="str">
        <f>MODEL_MATRIX!W47</f>
        <v/>
      </c>
      <c r="Z47" s="1" t="str">
        <f>MODEL_MATRIX!X47</f>
        <v/>
      </c>
      <c r="AA47" s="1" t="str">
        <f>MODEL_MATRIX!Y47</f>
        <v/>
      </c>
      <c r="AB47" s="1" t="str">
        <f>MODEL_MATRIX!Z47</f>
        <v/>
      </c>
      <c r="AC47" s="1" t="str">
        <f>MODEL_MATRIX!AA47</f>
        <v/>
      </c>
      <c r="AE47" s="1" t="str">
        <f ca="1">IF(A47&gt;MODEL_FIT!$H$1+1,"",OFFSET(MODEL_FIT!$A$6,0,MODEL_FIT!$H$1+1-ROW()+ROW($AE$2),1,1))</f>
        <v/>
      </c>
      <c r="AF47" s="1" t="str">
        <f ca="1">IF(A47&gt;MODEL_FIT!$H$1+1,"",OFFSET(MODEL_FIT!$A$5,0,MODEL_FIT!$H$1+1-ROW()+ROW($AE$2),1,1))</f>
        <v/>
      </c>
      <c r="AH47" s="1" t="str">
        <f t="shared" si="1"/>
        <v/>
      </c>
      <c r="AJ47" s="1" t="e">
        <f t="shared" si="2"/>
        <v>#N/A</v>
      </c>
      <c r="AK47" s="1" t="e">
        <f t="shared" si="3"/>
        <v>#N/A</v>
      </c>
      <c r="AL47" s="1" t="e">
        <f t="shared" si="4"/>
        <v>#N/A</v>
      </c>
    </row>
    <row r="48" spans="1:38" x14ac:dyDescent="0.25">
      <c r="A48">
        <v>47</v>
      </c>
      <c r="B48" s="1" t="str">
        <f>MODEL_MATRIX!B48</f>
        <v/>
      </c>
      <c r="C48" s="1"/>
      <c r="D48" s="1" t="str">
        <f t="shared" si="0"/>
        <v/>
      </c>
      <c r="E48" s="1" t="str">
        <f>MODEL_MATRIX!C48</f>
        <v/>
      </c>
      <c r="F48" s="1" t="str">
        <f>MODEL_MATRIX!D48</f>
        <v/>
      </c>
      <c r="G48" s="1" t="str">
        <f>MODEL_MATRIX!E48</f>
        <v/>
      </c>
      <c r="H48" s="1" t="str">
        <f>MODEL_MATRIX!F48</f>
        <v/>
      </c>
      <c r="I48" s="1" t="str">
        <f>MODEL_MATRIX!G48</f>
        <v/>
      </c>
      <c r="J48" s="1" t="str">
        <f>MODEL_MATRIX!H48</f>
        <v/>
      </c>
      <c r="K48" s="1" t="str">
        <f>MODEL_MATRIX!I48</f>
        <v/>
      </c>
      <c r="L48" s="1" t="str">
        <f>MODEL_MATRIX!J48</f>
        <v/>
      </c>
      <c r="M48" s="1" t="str">
        <f>MODEL_MATRIX!K48</f>
        <v/>
      </c>
      <c r="N48" s="1" t="str">
        <f>MODEL_MATRIX!L48</f>
        <v/>
      </c>
      <c r="O48" s="1" t="str">
        <f>MODEL_MATRIX!M48</f>
        <v/>
      </c>
      <c r="P48" s="1" t="str">
        <f>MODEL_MATRIX!N48</f>
        <v/>
      </c>
      <c r="Q48" s="1" t="str">
        <f>MODEL_MATRIX!O48</f>
        <v/>
      </c>
      <c r="R48" s="1" t="str">
        <f>MODEL_MATRIX!P48</f>
        <v/>
      </c>
      <c r="S48" s="1" t="str">
        <f>MODEL_MATRIX!Q48</f>
        <v/>
      </c>
      <c r="T48" s="1" t="str">
        <f>MODEL_MATRIX!R48</f>
        <v/>
      </c>
      <c r="U48" s="1" t="str">
        <f>MODEL_MATRIX!S48</f>
        <v/>
      </c>
      <c r="V48" s="1" t="str">
        <f>MODEL_MATRIX!T48</f>
        <v/>
      </c>
      <c r="W48" s="1" t="str">
        <f>MODEL_MATRIX!U48</f>
        <v/>
      </c>
      <c r="X48" s="1" t="str">
        <f>MODEL_MATRIX!V48</f>
        <v/>
      </c>
      <c r="Y48" s="1" t="str">
        <f>MODEL_MATRIX!W48</f>
        <v/>
      </c>
      <c r="Z48" s="1" t="str">
        <f>MODEL_MATRIX!X48</f>
        <v/>
      </c>
      <c r="AA48" s="1" t="str">
        <f>MODEL_MATRIX!Y48</f>
        <v/>
      </c>
      <c r="AB48" s="1" t="str">
        <f>MODEL_MATRIX!Z48</f>
        <v/>
      </c>
      <c r="AC48" s="1" t="str">
        <f>MODEL_MATRIX!AA48</f>
        <v/>
      </c>
      <c r="AE48" s="1" t="str">
        <f ca="1">IF(A48&gt;MODEL_FIT!$H$1+1,"",OFFSET(MODEL_FIT!$A$6,0,MODEL_FIT!$H$1+1-ROW()+ROW($AE$2),1,1))</f>
        <v/>
      </c>
      <c r="AF48" s="1" t="str">
        <f ca="1">IF(A48&gt;MODEL_FIT!$H$1+1,"",OFFSET(MODEL_FIT!$A$5,0,MODEL_FIT!$H$1+1-ROW()+ROW($AE$2),1,1))</f>
        <v/>
      </c>
      <c r="AH48" s="1" t="str">
        <f t="shared" si="1"/>
        <v/>
      </c>
      <c r="AJ48" s="1" t="e">
        <f t="shared" si="2"/>
        <v>#N/A</v>
      </c>
      <c r="AK48" s="1" t="e">
        <f t="shared" si="3"/>
        <v>#N/A</v>
      </c>
      <c r="AL48" s="1" t="e">
        <f t="shared" si="4"/>
        <v>#N/A</v>
      </c>
    </row>
    <row r="49" spans="1:38" x14ac:dyDescent="0.25">
      <c r="A49">
        <v>48</v>
      </c>
      <c r="B49" s="1" t="str">
        <f>MODEL_MATRIX!B49</f>
        <v/>
      </c>
      <c r="C49" s="1"/>
      <c r="D49" s="1" t="str">
        <f t="shared" si="0"/>
        <v/>
      </c>
      <c r="E49" s="1" t="str">
        <f>MODEL_MATRIX!C49</f>
        <v/>
      </c>
      <c r="F49" s="1" t="str">
        <f>MODEL_MATRIX!D49</f>
        <v/>
      </c>
      <c r="G49" s="1" t="str">
        <f>MODEL_MATRIX!E49</f>
        <v/>
      </c>
      <c r="H49" s="1" t="str">
        <f>MODEL_MATRIX!F49</f>
        <v/>
      </c>
      <c r="I49" s="1" t="str">
        <f>MODEL_MATRIX!G49</f>
        <v/>
      </c>
      <c r="J49" s="1" t="str">
        <f>MODEL_MATRIX!H49</f>
        <v/>
      </c>
      <c r="K49" s="1" t="str">
        <f>MODEL_MATRIX!I49</f>
        <v/>
      </c>
      <c r="L49" s="1" t="str">
        <f>MODEL_MATRIX!J49</f>
        <v/>
      </c>
      <c r="M49" s="1" t="str">
        <f>MODEL_MATRIX!K49</f>
        <v/>
      </c>
      <c r="N49" s="1" t="str">
        <f>MODEL_MATRIX!L49</f>
        <v/>
      </c>
      <c r="O49" s="1" t="str">
        <f>MODEL_MATRIX!M49</f>
        <v/>
      </c>
      <c r="P49" s="1" t="str">
        <f>MODEL_MATRIX!N49</f>
        <v/>
      </c>
      <c r="Q49" s="1" t="str">
        <f>MODEL_MATRIX!O49</f>
        <v/>
      </c>
      <c r="R49" s="1" t="str">
        <f>MODEL_MATRIX!P49</f>
        <v/>
      </c>
      <c r="S49" s="1" t="str">
        <f>MODEL_MATRIX!Q49</f>
        <v/>
      </c>
      <c r="T49" s="1" t="str">
        <f>MODEL_MATRIX!R49</f>
        <v/>
      </c>
      <c r="U49" s="1" t="str">
        <f>MODEL_MATRIX!S49</f>
        <v/>
      </c>
      <c r="V49" s="1" t="str">
        <f>MODEL_MATRIX!T49</f>
        <v/>
      </c>
      <c r="W49" s="1" t="str">
        <f>MODEL_MATRIX!U49</f>
        <v/>
      </c>
      <c r="X49" s="1" t="str">
        <f>MODEL_MATRIX!V49</f>
        <v/>
      </c>
      <c r="Y49" s="1" t="str">
        <f>MODEL_MATRIX!W49</f>
        <v/>
      </c>
      <c r="Z49" s="1" t="str">
        <f>MODEL_MATRIX!X49</f>
        <v/>
      </c>
      <c r="AA49" s="1" t="str">
        <f>MODEL_MATRIX!Y49</f>
        <v/>
      </c>
      <c r="AB49" s="1" t="str">
        <f>MODEL_MATRIX!Z49</f>
        <v/>
      </c>
      <c r="AC49" s="1" t="str">
        <f>MODEL_MATRIX!AA49</f>
        <v/>
      </c>
      <c r="AE49" s="1" t="str">
        <f ca="1">IF(A49&gt;MODEL_FIT!$H$1+1,"",OFFSET(MODEL_FIT!$A$6,0,MODEL_FIT!$H$1+1-ROW()+ROW($AE$2),1,1))</f>
        <v/>
      </c>
      <c r="AF49" s="1" t="str">
        <f ca="1">IF(A49&gt;MODEL_FIT!$H$1+1,"",OFFSET(MODEL_FIT!$A$5,0,MODEL_FIT!$H$1+1-ROW()+ROW($AE$2),1,1))</f>
        <v/>
      </c>
      <c r="AH49" s="1" t="str">
        <f t="shared" si="1"/>
        <v/>
      </c>
      <c r="AJ49" s="1" t="e">
        <f t="shared" si="2"/>
        <v>#N/A</v>
      </c>
      <c r="AK49" s="1" t="e">
        <f t="shared" si="3"/>
        <v>#N/A</v>
      </c>
      <c r="AL49" s="1" t="e">
        <f t="shared" si="4"/>
        <v>#N/A</v>
      </c>
    </row>
    <row r="50" spans="1:38" x14ac:dyDescent="0.25">
      <c r="A50">
        <v>49</v>
      </c>
      <c r="B50" s="1" t="str">
        <f>MODEL_MATRIX!B50</f>
        <v/>
      </c>
      <c r="C50" s="1"/>
      <c r="D50" s="1" t="str">
        <f t="shared" si="0"/>
        <v/>
      </c>
      <c r="E50" s="1" t="str">
        <f>MODEL_MATRIX!C50</f>
        <v/>
      </c>
      <c r="F50" s="1" t="str">
        <f>MODEL_MATRIX!D50</f>
        <v/>
      </c>
      <c r="G50" s="1" t="str">
        <f>MODEL_MATRIX!E50</f>
        <v/>
      </c>
      <c r="H50" s="1" t="str">
        <f>MODEL_MATRIX!F50</f>
        <v/>
      </c>
      <c r="I50" s="1" t="str">
        <f>MODEL_MATRIX!G50</f>
        <v/>
      </c>
      <c r="J50" s="1" t="str">
        <f>MODEL_MATRIX!H50</f>
        <v/>
      </c>
      <c r="K50" s="1" t="str">
        <f>MODEL_MATRIX!I50</f>
        <v/>
      </c>
      <c r="L50" s="1" t="str">
        <f>MODEL_MATRIX!J50</f>
        <v/>
      </c>
      <c r="M50" s="1" t="str">
        <f>MODEL_MATRIX!K50</f>
        <v/>
      </c>
      <c r="N50" s="1" t="str">
        <f>MODEL_MATRIX!L50</f>
        <v/>
      </c>
      <c r="O50" s="1" t="str">
        <f>MODEL_MATRIX!M50</f>
        <v/>
      </c>
      <c r="P50" s="1" t="str">
        <f>MODEL_MATRIX!N50</f>
        <v/>
      </c>
      <c r="Q50" s="1" t="str">
        <f>MODEL_MATRIX!O50</f>
        <v/>
      </c>
      <c r="R50" s="1" t="str">
        <f>MODEL_MATRIX!P50</f>
        <v/>
      </c>
      <c r="S50" s="1" t="str">
        <f>MODEL_MATRIX!Q50</f>
        <v/>
      </c>
      <c r="T50" s="1" t="str">
        <f>MODEL_MATRIX!R50</f>
        <v/>
      </c>
      <c r="U50" s="1" t="str">
        <f>MODEL_MATRIX!S50</f>
        <v/>
      </c>
      <c r="V50" s="1" t="str">
        <f>MODEL_MATRIX!T50</f>
        <v/>
      </c>
      <c r="W50" s="1" t="str">
        <f>MODEL_MATRIX!U50</f>
        <v/>
      </c>
      <c r="X50" s="1" t="str">
        <f>MODEL_MATRIX!V50</f>
        <v/>
      </c>
      <c r="Y50" s="1" t="str">
        <f>MODEL_MATRIX!W50</f>
        <v/>
      </c>
      <c r="Z50" s="1" t="str">
        <f>MODEL_MATRIX!X50</f>
        <v/>
      </c>
      <c r="AA50" s="1" t="str">
        <f>MODEL_MATRIX!Y50</f>
        <v/>
      </c>
      <c r="AB50" s="1" t="str">
        <f>MODEL_MATRIX!Z50</f>
        <v/>
      </c>
      <c r="AC50" s="1" t="str">
        <f>MODEL_MATRIX!AA50</f>
        <v/>
      </c>
      <c r="AE50" s="1" t="str">
        <f ca="1">IF(A50&gt;MODEL_FIT!$H$1+1,"",OFFSET(MODEL_FIT!$A$6,0,MODEL_FIT!$H$1+1-ROW()+ROW($AE$2),1,1))</f>
        <v/>
      </c>
      <c r="AF50" s="1" t="str">
        <f ca="1">IF(A50&gt;MODEL_FIT!$H$1+1,"",OFFSET(MODEL_FIT!$A$5,0,MODEL_FIT!$H$1+1-ROW()+ROW($AE$2),1,1))</f>
        <v/>
      </c>
      <c r="AH50" s="1" t="str">
        <f t="shared" si="1"/>
        <v/>
      </c>
      <c r="AJ50" s="1" t="e">
        <f t="shared" si="2"/>
        <v>#N/A</v>
      </c>
      <c r="AK50" s="1" t="e">
        <f t="shared" si="3"/>
        <v>#N/A</v>
      </c>
      <c r="AL50" s="1" t="e">
        <f t="shared" si="4"/>
        <v>#N/A</v>
      </c>
    </row>
    <row r="51" spans="1:38" x14ac:dyDescent="0.25">
      <c r="A51">
        <v>50</v>
      </c>
      <c r="B51" s="1" t="str">
        <f>MODEL_MATRIX!B51</f>
        <v/>
      </c>
      <c r="C51" s="1"/>
      <c r="D51" s="1" t="str">
        <f t="shared" si="0"/>
        <v/>
      </c>
      <c r="E51" s="1" t="str">
        <f>MODEL_MATRIX!C51</f>
        <v/>
      </c>
      <c r="F51" s="1" t="str">
        <f>MODEL_MATRIX!D51</f>
        <v/>
      </c>
      <c r="G51" s="1" t="str">
        <f>MODEL_MATRIX!E51</f>
        <v/>
      </c>
      <c r="H51" s="1" t="str">
        <f>MODEL_MATRIX!F51</f>
        <v/>
      </c>
      <c r="I51" s="1" t="str">
        <f>MODEL_MATRIX!G51</f>
        <v/>
      </c>
      <c r="J51" s="1" t="str">
        <f>MODEL_MATRIX!H51</f>
        <v/>
      </c>
      <c r="K51" s="1" t="str">
        <f>MODEL_MATRIX!I51</f>
        <v/>
      </c>
      <c r="L51" s="1" t="str">
        <f>MODEL_MATRIX!J51</f>
        <v/>
      </c>
      <c r="M51" s="1" t="str">
        <f>MODEL_MATRIX!K51</f>
        <v/>
      </c>
      <c r="N51" s="1" t="str">
        <f>MODEL_MATRIX!L51</f>
        <v/>
      </c>
      <c r="O51" s="1" t="str">
        <f>MODEL_MATRIX!M51</f>
        <v/>
      </c>
      <c r="P51" s="1" t="str">
        <f>MODEL_MATRIX!N51</f>
        <v/>
      </c>
      <c r="Q51" s="1" t="str">
        <f>MODEL_MATRIX!O51</f>
        <v/>
      </c>
      <c r="R51" s="1" t="str">
        <f>MODEL_MATRIX!P51</f>
        <v/>
      </c>
      <c r="S51" s="1" t="str">
        <f>MODEL_MATRIX!Q51</f>
        <v/>
      </c>
      <c r="T51" s="1" t="str">
        <f>MODEL_MATRIX!R51</f>
        <v/>
      </c>
      <c r="U51" s="1" t="str">
        <f>MODEL_MATRIX!S51</f>
        <v/>
      </c>
      <c r="V51" s="1" t="str">
        <f>MODEL_MATRIX!T51</f>
        <v/>
      </c>
      <c r="W51" s="1" t="str">
        <f>MODEL_MATRIX!U51</f>
        <v/>
      </c>
      <c r="X51" s="1" t="str">
        <f>MODEL_MATRIX!V51</f>
        <v/>
      </c>
      <c r="Y51" s="1" t="str">
        <f>MODEL_MATRIX!W51</f>
        <v/>
      </c>
      <c r="Z51" s="1" t="str">
        <f>MODEL_MATRIX!X51</f>
        <v/>
      </c>
      <c r="AA51" s="1" t="str">
        <f>MODEL_MATRIX!Y51</f>
        <v/>
      </c>
      <c r="AB51" s="1" t="str">
        <f>MODEL_MATRIX!Z51</f>
        <v/>
      </c>
      <c r="AC51" s="1" t="str">
        <f>MODEL_MATRIX!AA51</f>
        <v/>
      </c>
      <c r="AE51" s="1" t="str">
        <f ca="1">IF(A51&gt;MODEL_FIT!$H$1+1,"",OFFSET(MODEL_FIT!$A$6,0,MODEL_FIT!$H$1+1-ROW()+ROW($AE$2),1,1))</f>
        <v/>
      </c>
      <c r="AF51" s="1" t="str">
        <f ca="1">IF(A51&gt;MODEL_FIT!$H$1+1,"",OFFSET(MODEL_FIT!$A$5,0,MODEL_FIT!$H$1+1-ROW()+ROW($AE$2),1,1))</f>
        <v/>
      </c>
      <c r="AH51" s="1" t="str">
        <f t="shared" si="1"/>
        <v/>
      </c>
      <c r="AJ51" s="1" t="e">
        <f t="shared" si="2"/>
        <v>#N/A</v>
      </c>
      <c r="AK51" s="1" t="e">
        <f t="shared" si="3"/>
        <v>#N/A</v>
      </c>
      <c r="AL51" s="1" t="e">
        <f t="shared" si="4"/>
        <v>#N/A</v>
      </c>
    </row>
    <row r="52" spans="1:38" x14ac:dyDescent="0.25">
      <c r="A52">
        <v>51</v>
      </c>
      <c r="B52" s="1" t="str">
        <f>MODEL_MATRIX!B52</f>
        <v/>
      </c>
      <c r="C52" s="1"/>
      <c r="D52" s="1" t="str">
        <f t="shared" si="0"/>
        <v/>
      </c>
      <c r="E52" s="1" t="str">
        <f>MODEL_MATRIX!C52</f>
        <v/>
      </c>
      <c r="F52" s="1" t="str">
        <f>MODEL_MATRIX!D52</f>
        <v/>
      </c>
      <c r="G52" s="1" t="str">
        <f>MODEL_MATRIX!E52</f>
        <v/>
      </c>
      <c r="H52" s="1" t="str">
        <f>MODEL_MATRIX!F52</f>
        <v/>
      </c>
      <c r="I52" s="1" t="str">
        <f>MODEL_MATRIX!G52</f>
        <v/>
      </c>
      <c r="J52" s="1" t="str">
        <f>MODEL_MATRIX!H52</f>
        <v/>
      </c>
      <c r="K52" s="1" t="str">
        <f>MODEL_MATRIX!I52</f>
        <v/>
      </c>
      <c r="L52" s="1" t="str">
        <f>MODEL_MATRIX!J52</f>
        <v/>
      </c>
      <c r="M52" s="1" t="str">
        <f>MODEL_MATRIX!K52</f>
        <v/>
      </c>
      <c r="N52" s="1" t="str">
        <f>MODEL_MATRIX!L52</f>
        <v/>
      </c>
      <c r="O52" s="1" t="str">
        <f>MODEL_MATRIX!M52</f>
        <v/>
      </c>
      <c r="P52" s="1" t="str">
        <f>MODEL_MATRIX!N52</f>
        <v/>
      </c>
      <c r="Q52" s="1" t="str">
        <f>MODEL_MATRIX!O52</f>
        <v/>
      </c>
      <c r="R52" s="1" t="str">
        <f>MODEL_MATRIX!P52</f>
        <v/>
      </c>
      <c r="S52" s="1" t="str">
        <f>MODEL_MATRIX!Q52</f>
        <v/>
      </c>
      <c r="T52" s="1" t="str">
        <f>MODEL_MATRIX!R52</f>
        <v/>
      </c>
      <c r="U52" s="1" t="str">
        <f>MODEL_MATRIX!S52</f>
        <v/>
      </c>
      <c r="V52" s="1" t="str">
        <f>MODEL_MATRIX!T52</f>
        <v/>
      </c>
      <c r="W52" s="1" t="str">
        <f>MODEL_MATRIX!U52</f>
        <v/>
      </c>
      <c r="X52" s="1" t="str">
        <f>MODEL_MATRIX!V52</f>
        <v/>
      </c>
      <c r="Y52" s="1" t="str">
        <f>MODEL_MATRIX!W52</f>
        <v/>
      </c>
      <c r="Z52" s="1" t="str">
        <f>MODEL_MATRIX!X52</f>
        <v/>
      </c>
      <c r="AA52" s="1" t="str">
        <f>MODEL_MATRIX!Y52</f>
        <v/>
      </c>
      <c r="AB52" s="1" t="str">
        <f>MODEL_MATRIX!Z52</f>
        <v/>
      </c>
      <c r="AC52" s="1" t="str">
        <f>MODEL_MATRIX!AA52</f>
        <v/>
      </c>
      <c r="AE52" s="1" t="str">
        <f ca="1">IF(A52&gt;MODEL_FIT!$H$1+1,"",OFFSET(MODEL_FIT!$A$6,0,MODEL_FIT!$H$1+1-ROW()+ROW($AE$2),1,1))</f>
        <v/>
      </c>
      <c r="AF52" s="1" t="str">
        <f ca="1">IF(A52&gt;MODEL_FIT!$H$1+1,"",OFFSET(MODEL_FIT!$A$5,0,MODEL_FIT!$H$1+1-ROW()+ROW($AE$2),1,1))</f>
        <v/>
      </c>
      <c r="AH52" s="1" t="str">
        <f t="shared" si="1"/>
        <v/>
      </c>
      <c r="AJ52" s="1" t="e">
        <f t="shared" si="2"/>
        <v>#N/A</v>
      </c>
      <c r="AK52" s="1" t="e">
        <f t="shared" si="3"/>
        <v>#N/A</v>
      </c>
      <c r="AL52" s="1" t="e">
        <f t="shared" si="4"/>
        <v>#N/A</v>
      </c>
    </row>
    <row r="53" spans="1:38" x14ac:dyDescent="0.25">
      <c r="A53">
        <v>52</v>
      </c>
      <c r="B53" s="1" t="str">
        <f>MODEL_MATRIX!B53</f>
        <v/>
      </c>
      <c r="C53" s="1"/>
      <c r="D53" s="1" t="str">
        <f t="shared" si="0"/>
        <v/>
      </c>
      <c r="E53" s="1" t="str">
        <f>MODEL_MATRIX!C53</f>
        <v/>
      </c>
      <c r="F53" s="1" t="str">
        <f>MODEL_MATRIX!D53</f>
        <v/>
      </c>
      <c r="G53" s="1" t="str">
        <f>MODEL_MATRIX!E53</f>
        <v/>
      </c>
      <c r="H53" s="1" t="str">
        <f>MODEL_MATRIX!F53</f>
        <v/>
      </c>
      <c r="I53" s="1" t="str">
        <f>MODEL_MATRIX!G53</f>
        <v/>
      </c>
      <c r="J53" s="1" t="str">
        <f>MODEL_MATRIX!H53</f>
        <v/>
      </c>
      <c r="K53" s="1" t="str">
        <f>MODEL_MATRIX!I53</f>
        <v/>
      </c>
      <c r="L53" s="1" t="str">
        <f>MODEL_MATRIX!J53</f>
        <v/>
      </c>
      <c r="M53" s="1" t="str">
        <f>MODEL_MATRIX!K53</f>
        <v/>
      </c>
      <c r="N53" s="1" t="str">
        <f>MODEL_MATRIX!L53</f>
        <v/>
      </c>
      <c r="O53" s="1" t="str">
        <f>MODEL_MATRIX!M53</f>
        <v/>
      </c>
      <c r="P53" s="1" t="str">
        <f>MODEL_MATRIX!N53</f>
        <v/>
      </c>
      <c r="Q53" s="1" t="str">
        <f>MODEL_MATRIX!O53</f>
        <v/>
      </c>
      <c r="R53" s="1" t="str">
        <f>MODEL_MATRIX!P53</f>
        <v/>
      </c>
      <c r="S53" s="1" t="str">
        <f>MODEL_MATRIX!Q53</f>
        <v/>
      </c>
      <c r="T53" s="1" t="str">
        <f>MODEL_MATRIX!R53</f>
        <v/>
      </c>
      <c r="U53" s="1" t="str">
        <f>MODEL_MATRIX!S53</f>
        <v/>
      </c>
      <c r="V53" s="1" t="str">
        <f>MODEL_MATRIX!T53</f>
        <v/>
      </c>
      <c r="W53" s="1" t="str">
        <f>MODEL_MATRIX!U53</f>
        <v/>
      </c>
      <c r="X53" s="1" t="str">
        <f>MODEL_MATRIX!V53</f>
        <v/>
      </c>
      <c r="Y53" s="1" t="str">
        <f>MODEL_MATRIX!W53</f>
        <v/>
      </c>
      <c r="Z53" s="1" t="str">
        <f>MODEL_MATRIX!X53</f>
        <v/>
      </c>
      <c r="AA53" s="1" t="str">
        <f>MODEL_MATRIX!Y53</f>
        <v/>
      </c>
      <c r="AB53" s="1" t="str">
        <f>MODEL_MATRIX!Z53</f>
        <v/>
      </c>
      <c r="AC53" s="1" t="str">
        <f>MODEL_MATRIX!AA53</f>
        <v/>
      </c>
      <c r="AE53" s="1" t="str">
        <f ca="1">IF(A53&gt;MODEL_FIT!$H$1+1,"",OFFSET(MODEL_FIT!$A$6,0,MODEL_FIT!$H$1+1-ROW()+ROW($AE$2),1,1))</f>
        <v/>
      </c>
      <c r="AF53" s="1" t="str">
        <f ca="1">IF(A53&gt;MODEL_FIT!$H$1+1,"",OFFSET(MODEL_FIT!$A$5,0,MODEL_FIT!$H$1+1-ROW()+ROW($AE$2),1,1))</f>
        <v/>
      </c>
      <c r="AH53" s="1" t="str">
        <f t="shared" si="1"/>
        <v/>
      </c>
      <c r="AJ53" s="1" t="e">
        <f t="shared" si="2"/>
        <v>#N/A</v>
      </c>
      <c r="AK53" s="1" t="e">
        <f t="shared" si="3"/>
        <v>#N/A</v>
      </c>
      <c r="AL53" s="1" t="e">
        <f t="shared" si="4"/>
        <v>#N/A</v>
      </c>
    </row>
    <row r="54" spans="1:38" x14ac:dyDescent="0.25">
      <c r="A54">
        <v>53</v>
      </c>
      <c r="B54" s="1" t="str">
        <f>MODEL_MATRIX!B54</f>
        <v/>
      </c>
      <c r="C54" s="1"/>
      <c r="D54" s="1" t="str">
        <f t="shared" si="0"/>
        <v/>
      </c>
      <c r="E54" s="1" t="str">
        <f>MODEL_MATRIX!C54</f>
        <v/>
      </c>
      <c r="F54" s="1" t="str">
        <f>MODEL_MATRIX!D54</f>
        <v/>
      </c>
      <c r="G54" s="1" t="str">
        <f>MODEL_MATRIX!E54</f>
        <v/>
      </c>
      <c r="H54" s="1" t="str">
        <f>MODEL_MATRIX!F54</f>
        <v/>
      </c>
      <c r="I54" s="1" t="str">
        <f>MODEL_MATRIX!G54</f>
        <v/>
      </c>
      <c r="J54" s="1" t="str">
        <f>MODEL_MATRIX!H54</f>
        <v/>
      </c>
      <c r="K54" s="1" t="str">
        <f>MODEL_MATRIX!I54</f>
        <v/>
      </c>
      <c r="L54" s="1" t="str">
        <f>MODEL_MATRIX!J54</f>
        <v/>
      </c>
      <c r="M54" s="1" t="str">
        <f>MODEL_MATRIX!K54</f>
        <v/>
      </c>
      <c r="N54" s="1" t="str">
        <f>MODEL_MATRIX!L54</f>
        <v/>
      </c>
      <c r="O54" s="1" t="str">
        <f>MODEL_MATRIX!M54</f>
        <v/>
      </c>
      <c r="P54" s="1" t="str">
        <f>MODEL_MATRIX!N54</f>
        <v/>
      </c>
      <c r="Q54" s="1" t="str">
        <f>MODEL_MATRIX!O54</f>
        <v/>
      </c>
      <c r="R54" s="1" t="str">
        <f>MODEL_MATRIX!P54</f>
        <v/>
      </c>
      <c r="S54" s="1" t="str">
        <f>MODEL_MATRIX!Q54</f>
        <v/>
      </c>
      <c r="T54" s="1" t="str">
        <f>MODEL_MATRIX!R54</f>
        <v/>
      </c>
      <c r="U54" s="1" t="str">
        <f>MODEL_MATRIX!S54</f>
        <v/>
      </c>
      <c r="V54" s="1" t="str">
        <f>MODEL_MATRIX!T54</f>
        <v/>
      </c>
      <c r="W54" s="1" t="str">
        <f>MODEL_MATRIX!U54</f>
        <v/>
      </c>
      <c r="X54" s="1" t="str">
        <f>MODEL_MATRIX!V54</f>
        <v/>
      </c>
      <c r="Y54" s="1" t="str">
        <f>MODEL_MATRIX!W54</f>
        <v/>
      </c>
      <c r="Z54" s="1" t="str">
        <f>MODEL_MATRIX!X54</f>
        <v/>
      </c>
      <c r="AA54" s="1" t="str">
        <f>MODEL_MATRIX!Y54</f>
        <v/>
      </c>
      <c r="AB54" s="1" t="str">
        <f>MODEL_MATRIX!Z54</f>
        <v/>
      </c>
      <c r="AC54" s="1" t="str">
        <f>MODEL_MATRIX!AA54</f>
        <v/>
      </c>
      <c r="AE54" s="1" t="str">
        <f ca="1">IF(A54&gt;MODEL_FIT!$H$1+1,"",OFFSET(MODEL_FIT!$A$6,0,MODEL_FIT!$H$1+1-ROW()+ROW($AE$2),1,1))</f>
        <v/>
      </c>
      <c r="AF54" s="1" t="str">
        <f ca="1">IF(A54&gt;MODEL_FIT!$H$1+1,"",OFFSET(MODEL_FIT!$A$5,0,MODEL_FIT!$H$1+1-ROW()+ROW($AE$2),1,1))</f>
        <v/>
      </c>
      <c r="AH54" s="1" t="str">
        <f t="shared" si="1"/>
        <v/>
      </c>
      <c r="AJ54" s="1" t="e">
        <f t="shared" si="2"/>
        <v>#N/A</v>
      </c>
      <c r="AK54" s="1" t="e">
        <f t="shared" si="3"/>
        <v>#N/A</v>
      </c>
      <c r="AL54" s="1" t="e">
        <f t="shared" si="4"/>
        <v>#N/A</v>
      </c>
    </row>
    <row r="55" spans="1:38" x14ac:dyDescent="0.25">
      <c r="A55">
        <v>54</v>
      </c>
      <c r="B55" s="1" t="str">
        <f>MODEL_MATRIX!B55</f>
        <v/>
      </c>
      <c r="C55" s="1"/>
      <c r="D55" s="1" t="str">
        <f t="shared" si="0"/>
        <v/>
      </c>
      <c r="E55" s="1" t="str">
        <f>MODEL_MATRIX!C55</f>
        <v/>
      </c>
      <c r="F55" s="1" t="str">
        <f>MODEL_MATRIX!D55</f>
        <v/>
      </c>
      <c r="G55" s="1" t="str">
        <f>MODEL_MATRIX!E55</f>
        <v/>
      </c>
      <c r="H55" s="1" t="str">
        <f>MODEL_MATRIX!F55</f>
        <v/>
      </c>
      <c r="I55" s="1" t="str">
        <f>MODEL_MATRIX!G55</f>
        <v/>
      </c>
      <c r="J55" s="1" t="str">
        <f>MODEL_MATRIX!H55</f>
        <v/>
      </c>
      <c r="K55" s="1" t="str">
        <f>MODEL_MATRIX!I55</f>
        <v/>
      </c>
      <c r="L55" s="1" t="str">
        <f>MODEL_MATRIX!J55</f>
        <v/>
      </c>
      <c r="M55" s="1" t="str">
        <f>MODEL_MATRIX!K55</f>
        <v/>
      </c>
      <c r="N55" s="1" t="str">
        <f>MODEL_MATRIX!L55</f>
        <v/>
      </c>
      <c r="O55" s="1" t="str">
        <f>MODEL_MATRIX!M55</f>
        <v/>
      </c>
      <c r="P55" s="1" t="str">
        <f>MODEL_MATRIX!N55</f>
        <v/>
      </c>
      <c r="Q55" s="1" t="str">
        <f>MODEL_MATRIX!O55</f>
        <v/>
      </c>
      <c r="R55" s="1" t="str">
        <f>MODEL_MATRIX!P55</f>
        <v/>
      </c>
      <c r="S55" s="1" t="str">
        <f>MODEL_MATRIX!Q55</f>
        <v/>
      </c>
      <c r="T55" s="1" t="str">
        <f>MODEL_MATRIX!R55</f>
        <v/>
      </c>
      <c r="U55" s="1" t="str">
        <f>MODEL_MATRIX!S55</f>
        <v/>
      </c>
      <c r="V55" s="1" t="str">
        <f>MODEL_MATRIX!T55</f>
        <v/>
      </c>
      <c r="W55" s="1" t="str">
        <f>MODEL_MATRIX!U55</f>
        <v/>
      </c>
      <c r="X55" s="1" t="str">
        <f>MODEL_MATRIX!V55</f>
        <v/>
      </c>
      <c r="Y55" s="1" t="str">
        <f>MODEL_MATRIX!W55</f>
        <v/>
      </c>
      <c r="Z55" s="1" t="str">
        <f>MODEL_MATRIX!X55</f>
        <v/>
      </c>
      <c r="AA55" s="1" t="str">
        <f>MODEL_MATRIX!Y55</f>
        <v/>
      </c>
      <c r="AB55" s="1" t="str">
        <f>MODEL_MATRIX!Z55</f>
        <v/>
      </c>
      <c r="AC55" s="1" t="str">
        <f>MODEL_MATRIX!AA55</f>
        <v/>
      </c>
      <c r="AE55" s="1" t="str">
        <f ca="1">IF(A55&gt;MODEL_FIT!$H$1+1,"",OFFSET(MODEL_FIT!$A$6,0,MODEL_FIT!$H$1+1-ROW()+ROW($AE$2),1,1))</f>
        <v/>
      </c>
      <c r="AF55" s="1" t="str">
        <f ca="1">IF(A55&gt;MODEL_FIT!$H$1+1,"",OFFSET(MODEL_FIT!$A$5,0,MODEL_FIT!$H$1+1-ROW()+ROW($AE$2),1,1))</f>
        <v/>
      </c>
      <c r="AH55" s="1" t="str">
        <f t="shared" si="1"/>
        <v/>
      </c>
      <c r="AJ55" s="1" t="e">
        <f t="shared" si="2"/>
        <v>#N/A</v>
      </c>
      <c r="AK55" s="1" t="e">
        <f t="shared" si="3"/>
        <v>#N/A</v>
      </c>
      <c r="AL55" s="1" t="e">
        <f t="shared" si="4"/>
        <v>#N/A</v>
      </c>
    </row>
    <row r="56" spans="1:38" x14ac:dyDescent="0.25">
      <c r="A56">
        <v>55</v>
      </c>
      <c r="B56" s="1" t="str">
        <f>MODEL_MATRIX!B56</f>
        <v/>
      </c>
      <c r="C56" s="1"/>
      <c r="D56" s="1" t="str">
        <f t="shared" si="0"/>
        <v/>
      </c>
      <c r="E56" s="1" t="str">
        <f>MODEL_MATRIX!C56</f>
        <v/>
      </c>
      <c r="F56" s="1" t="str">
        <f>MODEL_MATRIX!D56</f>
        <v/>
      </c>
      <c r="G56" s="1" t="str">
        <f>MODEL_MATRIX!E56</f>
        <v/>
      </c>
      <c r="H56" s="1" t="str">
        <f>MODEL_MATRIX!F56</f>
        <v/>
      </c>
      <c r="I56" s="1" t="str">
        <f>MODEL_MATRIX!G56</f>
        <v/>
      </c>
      <c r="J56" s="1" t="str">
        <f>MODEL_MATRIX!H56</f>
        <v/>
      </c>
      <c r="K56" s="1" t="str">
        <f>MODEL_MATRIX!I56</f>
        <v/>
      </c>
      <c r="L56" s="1" t="str">
        <f>MODEL_MATRIX!J56</f>
        <v/>
      </c>
      <c r="M56" s="1" t="str">
        <f>MODEL_MATRIX!K56</f>
        <v/>
      </c>
      <c r="N56" s="1" t="str">
        <f>MODEL_MATRIX!L56</f>
        <v/>
      </c>
      <c r="O56" s="1" t="str">
        <f>MODEL_MATRIX!M56</f>
        <v/>
      </c>
      <c r="P56" s="1" t="str">
        <f>MODEL_MATRIX!N56</f>
        <v/>
      </c>
      <c r="Q56" s="1" t="str">
        <f>MODEL_MATRIX!O56</f>
        <v/>
      </c>
      <c r="R56" s="1" t="str">
        <f>MODEL_MATRIX!P56</f>
        <v/>
      </c>
      <c r="S56" s="1" t="str">
        <f>MODEL_MATRIX!Q56</f>
        <v/>
      </c>
      <c r="T56" s="1" t="str">
        <f>MODEL_MATRIX!R56</f>
        <v/>
      </c>
      <c r="U56" s="1" t="str">
        <f>MODEL_MATRIX!S56</f>
        <v/>
      </c>
      <c r="V56" s="1" t="str">
        <f>MODEL_MATRIX!T56</f>
        <v/>
      </c>
      <c r="W56" s="1" t="str">
        <f>MODEL_MATRIX!U56</f>
        <v/>
      </c>
      <c r="X56" s="1" t="str">
        <f>MODEL_MATRIX!V56</f>
        <v/>
      </c>
      <c r="Y56" s="1" t="str">
        <f>MODEL_MATRIX!W56</f>
        <v/>
      </c>
      <c r="Z56" s="1" t="str">
        <f>MODEL_MATRIX!X56</f>
        <v/>
      </c>
      <c r="AA56" s="1" t="str">
        <f>MODEL_MATRIX!Y56</f>
        <v/>
      </c>
      <c r="AB56" s="1" t="str">
        <f>MODEL_MATRIX!Z56</f>
        <v/>
      </c>
      <c r="AC56" s="1" t="str">
        <f>MODEL_MATRIX!AA56</f>
        <v/>
      </c>
      <c r="AE56" s="1" t="str">
        <f ca="1">IF(A56&gt;MODEL_FIT!$H$1+1,"",OFFSET(MODEL_FIT!$A$6,0,MODEL_FIT!$H$1+1-ROW()+ROW($AE$2),1,1))</f>
        <v/>
      </c>
      <c r="AF56" s="1" t="str">
        <f ca="1">IF(A56&gt;MODEL_FIT!$H$1+1,"",OFFSET(MODEL_FIT!$A$5,0,MODEL_FIT!$H$1+1-ROW()+ROW($AE$2),1,1))</f>
        <v/>
      </c>
      <c r="AH56" s="1" t="str">
        <f t="shared" si="1"/>
        <v/>
      </c>
      <c r="AJ56" s="1" t="e">
        <f t="shared" si="2"/>
        <v>#N/A</v>
      </c>
      <c r="AK56" s="1" t="e">
        <f t="shared" si="3"/>
        <v>#N/A</v>
      </c>
      <c r="AL56" s="1" t="e">
        <f t="shared" si="4"/>
        <v>#N/A</v>
      </c>
    </row>
    <row r="57" spans="1:38" x14ac:dyDescent="0.25">
      <c r="A57">
        <v>56</v>
      </c>
      <c r="B57" s="1" t="str">
        <f>MODEL_MATRIX!B57</f>
        <v/>
      </c>
      <c r="C57" s="1"/>
      <c r="D57" s="1" t="str">
        <f t="shared" si="0"/>
        <v/>
      </c>
      <c r="E57" s="1" t="str">
        <f>MODEL_MATRIX!C57</f>
        <v/>
      </c>
      <c r="F57" s="1" t="str">
        <f>MODEL_MATRIX!D57</f>
        <v/>
      </c>
      <c r="G57" s="1" t="str">
        <f>MODEL_MATRIX!E57</f>
        <v/>
      </c>
      <c r="H57" s="1" t="str">
        <f>MODEL_MATRIX!F57</f>
        <v/>
      </c>
      <c r="I57" s="1" t="str">
        <f>MODEL_MATRIX!G57</f>
        <v/>
      </c>
      <c r="J57" s="1" t="str">
        <f>MODEL_MATRIX!H57</f>
        <v/>
      </c>
      <c r="K57" s="1" t="str">
        <f>MODEL_MATRIX!I57</f>
        <v/>
      </c>
      <c r="L57" s="1" t="str">
        <f>MODEL_MATRIX!J57</f>
        <v/>
      </c>
      <c r="M57" s="1" t="str">
        <f>MODEL_MATRIX!K57</f>
        <v/>
      </c>
      <c r="N57" s="1" t="str">
        <f>MODEL_MATRIX!L57</f>
        <v/>
      </c>
      <c r="O57" s="1" t="str">
        <f>MODEL_MATRIX!M57</f>
        <v/>
      </c>
      <c r="P57" s="1" t="str">
        <f>MODEL_MATRIX!N57</f>
        <v/>
      </c>
      <c r="Q57" s="1" t="str">
        <f>MODEL_MATRIX!O57</f>
        <v/>
      </c>
      <c r="R57" s="1" t="str">
        <f>MODEL_MATRIX!P57</f>
        <v/>
      </c>
      <c r="S57" s="1" t="str">
        <f>MODEL_MATRIX!Q57</f>
        <v/>
      </c>
      <c r="T57" s="1" t="str">
        <f>MODEL_MATRIX!R57</f>
        <v/>
      </c>
      <c r="U57" s="1" t="str">
        <f>MODEL_MATRIX!S57</f>
        <v/>
      </c>
      <c r="V57" s="1" t="str">
        <f>MODEL_MATRIX!T57</f>
        <v/>
      </c>
      <c r="W57" s="1" t="str">
        <f>MODEL_MATRIX!U57</f>
        <v/>
      </c>
      <c r="X57" s="1" t="str">
        <f>MODEL_MATRIX!V57</f>
        <v/>
      </c>
      <c r="Y57" s="1" t="str">
        <f>MODEL_MATRIX!W57</f>
        <v/>
      </c>
      <c r="Z57" s="1" t="str">
        <f>MODEL_MATRIX!X57</f>
        <v/>
      </c>
      <c r="AA57" s="1" t="str">
        <f>MODEL_MATRIX!Y57</f>
        <v/>
      </c>
      <c r="AB57" s="1" t="str">
        <f>MODEL_MATRIX!Z57</f>
        <v/>
      </c>
      <c r="AC57" s="1" t="str">
        <f>MODEL_MATRIX!AA57</f>
        <v/>
      </c>
      <c r="AE57" s="1" t="str">
        <f ca="1">IF(A57&gt;MODEL_FIT!$H$1+1,"",OFFSET(MODEL_FIT!$A$6,0,MODEL_FIT!$H$1+1-ROW()+ROW($AE$2),1,1))</f>
        <v/>
      </c>
      <c r="AF57" s="1" t="str">
        <f ca="1">IF(A57&gt;MODEL_FIT!$H$1+1,"",OFFSET(MODEL_FIT!$A$5,0,MODEL_FIT!$H$1+1-ROW()+ROW($AE$2),1,1))</f>
        <v/>
      </c>
      <c r="AH57" s="1" t="str">
        <f t="shared" si="1"/>
        <v/>
      </c>
      <c r="AJ57" s="1" t="e">
        <f t="shared" si="2"/>
        <v>#N/A</v>
      </c>
      <c r="AK57" s="1" t="e">
        <f t="shared" si="3"/>
        <v>#N/A</v>
      </c>
      <c r="AL57" s="1" t="e">
        <f t="shared" si="4"/>
        <v>#N/A</v>
      </c>
    </row>
    <row r="58" spans="1:38" x14ac:dyDescent="0.25">
      <c r="A58">
        <v>57</v>
      </c>
      <c r="B58" s="1" t="str">
        <f>MODEL_MATRIX!B58</f>
        <v/>
      </c>
      <c r="C58" s="1"/>
      <c r="D58" s="1" t="str">
        <f t="shared" si="0"/>
        <v/>
      </c>
      <c r="E58" s="1" t="str">
        <f>MODEL_MATRIX!C58</f>
        <v/>
      </c>
      <c r="F58" s="1" t="str">
        <f>MODEL_MATRIX!D58</f>
        <v/>
      </c>
      <c r="G58" s="1" t="str">
        <f>MODEL_MATRIX!E58</f>
        <v/>
      </c>
      <c r="H58" s="1" t="str">
        <f>MODEL_MATRIX!F58</f>
        <v/>
      </c>
      <c r="I58" s="1" t="str">
        <f>MODEL_MATRIX!G58</f>
        <v/>
      </c>
      <c r="J58" s="1" t="str">
        <f>MODEL_MATRIX!H58</f>
        <v/>
      </c>
      <c r="K58" s="1" t="str">
        <f>MODEL_MATRIX!I58</f>
        <v/>
      </c>
      <c r="L58" s="1" t="str">
        <f>MODEL_MATRIX!J58</f>
        <v/>
      </c>
      <c r="M58" s="1" t="str">
        <f>MODEL_MATRIX!K58</f>
        <v/>
      </c>
      <c r="N58" s="1" t="str">
        <f>MODEL_MATRIX!L58</f>
        <v/>
      </c>
      <c r="O58" s="1" t="str">
        <f>MODEL_MATRIX!M58</f>
        <v/>
      </c>
      <c r="P58" s="1" t="str">
        <f>MODEL_MATRIX!N58</f>
        <v/>
      </c>
      <c r="Q58" s="1" t="str">
        <f>MODEL_MATRIX!O58</f>
        <v/>
      </c>
      <c r="R58" s="1" t="str">
        <f>MODEL_MATRIX!P58</f>
        <v/>
      </c>
      <c r="S58" s="1" t="str">
        <f>MODEL_MATRIX!Q58</f>
        <v/>
      </c>
      <c r="T58" s="1" t="str">
        <f>MODEL_MATRIX!R58</f>
        <v/>
      </c>
      <c r="U58" s="1" t="str">
        <f>MODEL_MATRIX!S58</f>
        <v/>
      </c>
      <c r="V58" s="1" t="str">
        <f>MODEL_MATRIX!T58</f>
        <v/>
      </c>
      <c r="W58" s="1" t="str">
        <f>MODEL_MATRIX!U58</f>
        <v/>
      </c>
      <c r="X58" s="1" t="str">
        <f>MODEL_MATRIX!V58</f>
        <v/>
      </c>
      <c r="Y58" s="1" t="str">
        <f>MODEL_MATRIX!W58</f>
        <v/>
      </c>
      <c r="Z58" s="1" t="str">
        <f>MODEL_MATRIX!X58</f>
        <v/>
      </c>
      <c r="AA58" s="1" t="str">
        <f>MODEL_MATRIX!Y58</f>
        <v/>
      </c>
      <c r="AB58" s="1" t="str">
        <f>MODEL_MATRIX!Z58</f>
        <v/>
      </c>
      <c r="AC58" s="1" t="str">
        <f>MODEL_MATRIX!AA58</f>
        <v/>
      </c>
      <c r="AE58" s="1" t="str">
        <f ca="1">IF(A58&gt;MODEL_FIT!$H$1+1,"",OFFSET(MODEL_FIT!$A$6,0,MODEL_FIT!$H$1+1-ROW()+ROW($AE$2),1,1))</f>
        <v/>
      </c>
      <c r="AF58" s="1" t="str">
        <f ca="1">IF(A58&gt;MODEL_FIT!$H$1+1,"",OFFSET(MODEL_FIT!$A$5,0,MODEL_FIT!$H$1+1-ROW()+ROW($AE$2),1,1))</f>
        <v/>
      </c>
      <c r="AH58" s="1" t="str">
        <f t="shared" si="1"/>
        <v/>
      </c>
      <c r="AJ58" s="1" t="e">
        <f t="shared" si="2"/>
        <v>#N/A</v>
      </c>
      <c r="AK58" s="1" t="e">
        <f t="shared" si="3"/>
        <v>#N/A</v>
      </c>
      <c r="AL58" s="1" t="e">
        <f t="shared" si="4"/>
        <v>#N/A</v>
      </c>
    </row>
    <row r="59" spans="1:38" x14ac:dyDescent="0.25">
      <c r="A59">
        <v>58</v>
      </c>
      <c r="B59" s="1" t="str">
        <f>MODEL_MATRIX!B59</f>
        <v/>
      </c>
      <c r="C59" s="1"/>
      <c r="D59" s="1" t="str">
        <f t="shared" si="0"/>
        <v/>
      </c>
      <c r="E59" s="1" t="str">
        <f>MODEL_MATRIX!C59</f>
        <v/>
      </c>
      <c r="F59" s="1" t="str">
        <f>MODEL_MATRIX!D59</f>
        <v/>
      </c>
      <c r="G59" s="1" t="str">
        <f>MODEL_MATRIX!E59</f>
        <v/>
      </c>
      <c r="H59" s="1" t="str">
        <f>MODEL_MATRIX!F59</f>
        <v/>
      </c>
      <c r="I59" s="1" t="str">
        <f>MODEL_MATRIX!G59</f>
        <v/>
      </c>
      <c r="J59" s="1" t="str">
        <f>MODEL_MATRIX!H59</f>
        <v/>
      </c>
      <c r="K59" s="1" t="str">
        <f>MODEL_MATRIX!I59</f>
        <v/>
      </c>
      <c r="L59" s="1" t="str">
        <f>MODEL_MATRIX!J59</f>
        <v/>
      </c>
      <c r="M59" s="1" t="str">
        <f>MODEL_MATRIX!K59</f>
        <v/>
      </c>
      <c r="N59" s="1" t="str">
        <f>MODEL_MATRIX!L59</f>
        <v/>
      </c>
      <c r="O59" s="1" t="str">
        <f>MODEL_MATRIX!M59</f>
        <v/>
      </c>
      <c r="P59" s="1" t="str">
        <f>MODEL_MATRIX!N59</f>
        <v/>
      </c>
      <c r="Q59" s="1" t="str">
        <f>MODEL_MATRIX!O59</f>
        <v/>
      </c>
      <c r="R59" s="1" t="str">
        <f>MODEL_MATRIX!P59</f>
        <v/>
      </c>
      <c r="S59" s="1" t="str">
        <f>MODEL_MATRIX!Q59</f>
        <v/>
      </c>
      <c r="T59" s="1" t="str">
        <f>MODEL_MATRIX!R59</f>
        <v/>
      </c>
      <c r="U59" s="1" t="str">
        <f>MODEL_MATRIX!S59</f>
        <v/>
      </c>
      <c r="V59" s="1" t="str">
        <f>MODEL_MATRIX!T59</f>
        <v/>
      </c>
      <c r="W59" s="1" t="str">
        <f>MODEL_MATRIX!U59</f>
        <v/>
      </c>
      <c r="X59" s="1" t="str">
        <f>MODEL_MATRIX!V59</f>
        <v/>
      </c>
      <c r="Y59" s="1" t="str">
        <f>MODEL_MATRIX!W59</f>
        <v/>
      </c>
      <c r="Z59" s="1" t="str">
        <f>MODEL_MATRIX!X59</f>
        <v/>
      </c>
      <c r="AA59" s="1" t="str">
        <f>MODEL_MATRIX!Y59</f>
        <v/>
      </c>
      <c r="AB59" s="1" t="str">
        <f>MODEL_MATRIX!Z59</f>
        <v/>
      </c>
      <c r="AC59" s="1" t="str">
        <f>MODEL_MATRIX!AA59</f>
        <v/>
      </c>
      <c r="AE59" s="1" t="str">
        <f ca="1">IF(A59&gt;MODEL_FIT!$H$1+1,"",OFFSET(MODEL_FIT!$A$6,0,MODEL_FIT!$H$1+1-ROW()+ROW($AE$2),1,1))</f>
        <v/>
      </c>
      <c r="AF59" s="1" t="str">
        <f ca="1">IF(A59&gt;MODEL_FIT!$H$1+1,"",OFFSET(MODEL_FIT!$A$5,0,MODEL_FIT!$H$1+1-ROW()+ROW($AE$2),1,1))</f>
        <v/>
      </c>
      <c r="AH59" s="1" t="str">
        <f t="shared" si="1"/>
        <v/>
      </c>
      <c r="AJ59" s="1" t="e">
        <f t="shared" si="2"/>
        <v>#N/A</v>
      </c>
      <c r="AK59" s="1" t="e">
        <f t="shared" si="3"/>
        <v>#N/A</v>
      </c>
      <c r="AL59" s="1" t="e">
        <f t="shared" si="4"/>
        <v>#N/A</v>
      </c>
    </row>
    <row r="60" spans="1:38" x14ac:dyDescent="0.25">
      <c r="A60">
        <v>59</v>
      </c>
      <c r="B60" s="1" t="str">
        <f>MODEL_MATRIX!B60</f>
        <v/>
      </c>
      <c r="C60" s="1"/>
      <c r="D60" s="1" t="str">
        <f t="shared" si="0"/>
        <v/>
      </c>
      <c r="E60" s="1" t="str">
        <f>MODEL_MATRIX!C60</f>
        <v/>
      </c>
      <c r="F60" s="1" t="str">
        <f>MODEL_MATRIX!D60</f>
        <v/>
      </c>
      <c r="G60" s="1" t="str">
        <f>MODEL_MATRIX!E60</f>
        <v/>
      </c>
      <c r="H60" s="1" t="str">
        <f>MODEL_MATRIX!F60</f>
        <v/>
      </c>
      <c r="I60" s="1" t="str">
        <f>MODEL_MATRIX!G60</f>
        <v/>
      </c>
      <c r="J60" s="1" t="str">
        <f>MODEL_MATRIX!H60</f>
        <v/>
      </c>
      <c r="K60" s="1" t="str">
        <f>MODEL_MATRIX!I60</f>
        <v/>
      </c>
      <c r="L60" s="1" t="str">
        <f>MODEL_MATRIX!J60</f>
        <v/>
      </c>
      <c r="M60" s="1" t="str">
        <f>MODEL_MATRIX!K60</f>
        <v/>
      </c>
      <c r="N60" s="1" t="str">
        <f>MODEL_MATRIX!L60</f>
        <v/>
      </c>
      <c r="O60" s="1" t="str">
        <f>MODEL_MATRIX!M60</f>
        <v/>
      </c>
      <c r="P60" s="1" t="str">
        <f>MODEL_MATRIX!N60</f>
        <v/>
      </c>
      <c r="Q60" s="1" t="str">
        <f>MODEL_MATRIX!O60</f>
        <v/>
      </c>
      <c r="R60" s="1" t="str">
        <f>MODEL_MATRIX!P60</f>
        <v/>
      </c>
      <c r="S60" s="1" t="str">
        <f>MODEL_MATRIX!Q60</f>
        <v/>
      </c>
      <c r="T60" s="1" t="str">
        <f>MODEL_MATRIX!R60</f>
        <v/>
      </c>
      <c r="U60" s="1" t="str">
        <f>MODEL_MATRIX!S60</f>
        <v/>
      </c>
      <c r="V60" s="1" t="str">
        <f>MODEL_MATRIX!T60</f>
        <v/>
      </c>
      <c r="W60" s="1" t="str">
        <f>MODEL_MATRIX!U60</f>
        <v/>
      </c>
      <c r="X60" s="1" t="str">
        <f>MODEL_MATRIX!V60</f>
        <v/>
      </c>
      <c r="Y60" s="1" t="str">
        <f>MODEL_MATRIX!W60</f>
        <v/>
      </c>
      <c r="Z60" s="1" t="str">
        <f>MODEL_MATRIX!X60</f>
        <v/>
      </c>
      <c r="AA60" s="1" t="str">
        <f>MODEL_MATRIX!Y60</f>
        <v/>
      </c>
      <c r="AB60" s="1" t="str">
        <f>MODEL_MATRIX!Z60</f>
        <v/>
      </c>
      <c r="AC60" s="1" t="str">
        <f>MODEL_MATRIX!AA60</f>
        <v/>
      </c>
      <c r="AE60" s="1" t="str">
        <f ca="1">IF(A60&gt;MODEL_FIT!$H$1+1,"",OFFSET(MODEL_FIT!$A$6,0,MODEL_FIT!$H$1+1-ROW()+ROW($AE$2),1,1))</f>
        <v/>
      </c>
      <c r="AF60" s="1" t="str">
        <f ca="1">IF(A60&gt;MODEL_FIT!$H$1+1,"",OFFSET(MODEL_FIT!$A$5,0,MODEL_FIT!$H$1+1-ROW()+ROW($AE$2),1,1))</f>
        <v/>
      </c>
      <c r="AH60" s="1" t="str">
        <f t="shared" si="1"/>
        <v/>
      </c>
      <c r="AJ60" s="1" t="e">
        <f t="shared" si="2"/>
        <v>#N/A</v>
      </c>
      <c r="AK60" s="1" t="e">
        <f t="shared" si="3"/>
        <v>#N/A</v>
      </c>
      <c r="AL60" s="1" t="e">
        <f t="shared" si="4"/>
        <v>#N/A</v>
      </c>
    </row>
    <row r="61" spans="1:38" x14ac:dyDescent="0.25">
      <c r="A61">
        <v>60</v>
      </c>
      <c r="B61" s="1" t="str">
        <f>MODEL_MATRIX!B61</f>
        <v/>
      </c>
      <c r="C61" s="1"/>
      <c r="D61" s="1" t="str">
        <f t="shared" si="0"/>
        <v/>
      </c>
      <c r="E61" s="1" t="str">
        <f>MODEL_MATRIX!C61</f>
        <v/>
      </c>
      <c r="F61" s="1" t="str">
        <f>MODEL_MATRIX!D61</f>
        <v/>
      </c>
      <c r="G61" s="1" t="str">
        <f>MODEL_MATRIX!E61</f>
        <v/>
      </c>
      <c r="H61" s="1" t="str">
        <f>MODEL_MATRIX!F61</f>
        <v/>
      </c>
      <c r="I61" s="1" t="str">
        <f>MODEL_MATRIX!G61</f>
        <v/>
      </c>
      <c r="J61" s="1" t="str">
        <f>MODEL_MATRIX!H61</f>
        <v/>
      </c>
      <c r="K61" s="1" t="str">
        <f>MODEL_MATRIX!I61</f>
        <v/>
      </c>
      <c r="L61" s="1" t="str">
        <f>MODEL_MATRIX!J61</f>
        <v/>
      </c>
      <c r="M61" s="1" t="str">
        <f>MODEL_MATRIX!K61</f>
        <v/>
      </c>
      <c r="N61" s="1" t="str">
        <f>MODEL_MATRIX!L61</f>
        <v/>
      </c>
      <c r="O61" s="1" t="str">
        <f>MODEL_MATRIX!M61</f>
        <v/>
      </c>
      <c r="P61" s="1" t="str">
        <f>MODEL_MATRIX!N61</f>
        <v/>
      </c>
      <c r="Q61" s="1" t="str">
        <f>MODEL_MATRIX!O61</f>
        <v/>
      </c>
      <c r="R61" s="1" t="str">
        <f>MODEL_MATRIX!P61</f>
        <v/>
      </c>
      <c r="S61" s="1" t="str">
        <f>MODEL_MATRIX!Q61</f>
        <v/>
      </c>
      <c r="T61" s="1" t="str">
        <f>MODEL_MATRIX!R61</f>
        <v/>
      </c>
      <c r="U61" s="1" t="str">
        <f>MODEL_MATRIX!S61</f>
        <v/>
      </c>
      <c r="V61" s="1" t="str">
        <f>MODEL_MATRIX!T61</f>
        <v/>
      </c>
      <c r="W61" s="1" t="str">
        <f>MODEL_MATRIX!U61</f>
        <v/>
      </c>
      <c r="X61" s="1" t="str">
        <f>MODEL_MATRIX!V61</f>
        <v/>
      </c>
      <c r="Y61" s="1" t="str">
        <f>MODEL_MATRIX!W61</f>
        <v/>
      </c>
      <c r="Z61" s="1" t="str">
        <f>MODEL_MATRIX!X61</f>
        <v/>
      </c>
      <c r="AA61" s="1" t="str">
        <f>MODEL_MATRIX!Y61</f>
        <v/>
      </c>
      <c r="AB61" s="1" t="str">
        <f>MODEL_MATRIX!Z61</f>
        <v/>
      </c>
      <c r="AC61" s="1" t="str">
        <f>MODEL_MATRIX!AA61</f>
        <v/>
      </c>
      <c r="AE61" s="1" t="str">
        <f ca="1">IF(A61&gt;MODEL_FIT!$H$1+1,"",OFFSET(MODEL_FIT!$A$6,0,MODEL_FIT!$H$1+1-ROW()+ROW($AE$2),1,1))</f>
        <v/>
      </c>
      <c r="AF61" s="1" t="str">
        <f ca="1">IF(A61&gt;MODEL_FIT!$H$1+1,"",OFFSET(MODEL_FIT!$A$5,0,MODEL_FIT!$H$1+1-ROW()+ROW($AE$2),1,1))</f>
        <v/>
      </c>
      <c r="AH61" s="1" t="str">
        <f t="shared" si="1"/>
        <v/>
      </c>
      <c r="AJ61" s="1" t="e">
        <f t="shared" si="2"/>
        <v>#N/A</v>
      </c>
      <c r="AK61" s="1" t="e">
        <f t="shared" si="3"/>
        <v>#N/A</v>
      </c>
      <c r="AL61" s="1" t="e">
        <f t="shared" si="4"/>
        <v>#N/A</v>
      </c>
    </row>
    <row r="62" spans="1:38" x14ac:dyDescent="0.25">
      <c r="A62">
        <v>61</v>
      </c>
      <c r="B62" s="1" t="str">
        <f>MODEL_MATRIX!B62</f>
        <v/>
      </c>
      <c r="C62" s="1"/>
      <c r="D62" s="1" t="str">
        <f t="shared" si="0"/>
        <v/>
      </c>
      <c r="E62" s="1" t="str">
        <f>MODEL_MATRIX!C62</f>
        <v/>
      </c>
      <c r="F62" s="1" t="str">
        <f>MODEL_MATRIX!D62</f>
        <v/>
      </c>
      <c r="G62" s="1" t="str">
        <f>MODEL_MATRIX!E62</f>
        <v/>
      </c>
      <c r="H62" s="1" t="str">
        <f>MODEL_MATRIX!F62</f>
        <v/>
      </c>
      <c r="I62" s="1" t="str">
        <f>MODEL_MATRIX!G62</f>
        <v/>
      </c>
      <c r="J62" s="1" t="str">
        <f>MODEL_MATRIX!H62</f>
        <v/>
      </c>
      <c r="K62" s="1" t="str">
        <f>MODEL_MATRIX!I62</f>
        <v/>
      </c>
      <c r="L62" s="1" t="str">
        <f>MODEL_MATRIX!J62</f>
        <v/>
      </c>
      <c r="M62" s="1" t="str">
        <f>MODEL_MATRIX!K62</f>
        <v/>
      </c>
      <c r="N62" s="1" t="str">
        <f>MODEL_MATRIX!L62</f>
        <v/>
      </c>
      <c r="O62" s="1" t="str">
        <f>MODEL_MATRIX!M62</f>
        <v/>
      </c>
      <c r="P62" s="1" t="str">
        <f>MODEL_MATRIX!N62</f>
        <v/>
      </c>
      <c r="Q62" s="1" t="str">
        <f>MODEL_MATRIX!O62</f>
        <v/>
      </c>
      <c r="R62" s="1" t="str">
        <f>MODEL_MATRIX!P62</f>
        <v/>
      </c>
      <c r="S62" s="1" t="str">
        <f>MODEL_MATRIX!Q62</f>
        <v/>
      </c>
      <c r="T62" s="1" t="str">
        <f>MODEL_MATRIX!R62</f>
        <v/>
      </c>
      <c r="U62" s="1" t="str">
        <f>MODEL_MATRIX!S62</f>
        <v/>
      </c>
      <c r="V62" s="1" t="str">
        <f>MODEL_MATRIX!T62</f>
        <v/>
      </c>
      <c r="W62" s="1" t="str">
        <f>MODEL_MATRIX!U62</f>
        <v/>
      </c>
      <c r="X62" s="1" t="str">
        <f>MODEL_MATRIX!V62</f>
        <v/>
      </c>
      <c r="Y62" s="1" t="str">
        <f>MODEL_MATRIX!W62</f>
        <v/>
      </c>
      <c r="Z62" s="1" t="str">
        <f>MODEL_MATRIX!X62</f>
        <v/>
      </c>
      <c r="AA62" s="1" t="str">
        <f>MODEL_MATRIX!Y62</f>
        <v/>
      </c>
      <c r="AB62" s="1" t="str">
        <f>MODEL_MATRIX!Z62</f>
        <v/>
      </c>
      <c r="AC62" s="1" t="str">
        <f>MODEL_MATRIX!AA62</f>
        <v/>
      </c>
      <c r="AE62" s="1" t="str">
        <f ca="1">IF(A62&gt;MODEL_FIT!$H$1+1,"",OFFSET(MODEL_FIT!$A$6,0,MODEL_FIT!$H$1+1-ROW()+ROW($AE$2),1,1))</f>
        <v/>
      </c>
      <c r="AF62" s="1" t="str">
        <f ca="1">IF(A62&gt;MODEL_FIT!$H$1+1,"",OFFSET(MODEL_FIT!$A$5,0,MODEL_FIT!$H$1+1-ROW()+ROW($AE$2),1,1))</f>
        <v/>
      </c>
      <c r="AH62" s="1" t="str">
        <f t="shared" si="1"/>
        <v/>
      </c>
      <c r="AJ62" s="1" t="e">
        <f t="shared" si="2"/>
        <v>#N/A</v>
      </c>
      <c r="AK62" s="1" t="e">
        <f t="shared" si="3"/>
        <v>#N/A</v>
      </c>
      <c r="AL62" s="1" t="e">
        <f t="shared" si="4"/>
        <v>#N/A</v>
      </c>
    </row>
    <row r="63" spans="1:38" x14ac:dyDescent="0.25">
      <c r="A63">
        <v>62</v>
      </c>
      <c r="B63" s="1" t="str">
        <f>MODEL_MATRIX!B63</f>
        <v/>
      </c>
      <c r="C63" s="1"/>
      <c r="D63" s="1" t="str">
        <f t="shared" si="0"/>
        <v/>
      </c>
      <c r="E63" s="1" t="str">
        <f>MODEL_MATRIX!C63</f>
        <v/>
      </c>
      <c r="F63" s="1" t="str">
        <f>MODEL_MATRIX!D63</f>
        <v/>
      </c>
      <c r="G63" s="1" t="str">
        <f>MODEL_MATRIX!E63</f>
        <v/>
      </c>
      <c r="H63" s="1" t="str">
        <f>MODEL_MATRIX!F63</f>
        <v/>
      </c>
      <c r="I63" s="1" t="str">
        <f>MODEL_MATRIX!G63</f>
        <v/>
      </c>
      <c r="J63" s="1" t="str">
        <f>MODEL_MATRIX!H63</f>
        <v/>
      </c>
      <c r="K63" s="1" t="str">
        <f>MODEL_MATRIX!I63</f>
        <v/>
      </c>
      <c r="L63" s="1" t="str">
        <f>MODEL_MATRIX!J63</f>
        <v/>
      </c>
      <c r="M63" s="1" t="str">
        <f>MODEL_MATRIX!K63</f>
        <v/>
      </c>
      <c r="N63" s="1" t="str">
        <f>MODEL_MATRIX!L63</f>
        <v/>
      </c>
      <c r="O63" s="1" t="str">
        <f>MODEL_MATRIX!M63</f>
        <v/>
      </c>
      <c r="P63" s="1" t="str">
        <f>MODEL_MATRIX!N63</f>
        <v/>
      </c>
      <c r="Q63" s="1" t="str">
        <f>MODEL_MATRIX!O63</f>
        <v/>
      </c>
      <c r="R63" s="1" t="str">
        <f>MODEL_MATRIX!P63</f>
        <v/>
      </c>
      <c r="S63" s="1" t="str">
        <f>MODEL_MATRIX!Q63</f>
        <v/>
      </c>
      <c r="T63" s="1" t="str">
        <f>MODEL_MATRIX!R63</f>
        <v/>
      </c>
      <c r="U63" s="1" t="str">
        <f>MODEL_MATRIX!S63</f>
        <v/>
      </c>
      <c r="V63" s="1" t="str">
        <f>MODEL_MATRIX!T63</f>
        <v/>
      </c>
      <c r="W63" s="1" t="str">
        <f>MODEL_MATRIX!U63</f>
        <v/>
      </c>
      <c r="X63" s="1" t="str">
        <f>MODEL_MATRIX!V63</f>
        <v/>
      </c>
      <c r="Y63" s="1" t="str">
        <f>MODEL_MATRIX!W63</f>
        <v/>
      </c>
      <c r="Z63" s="1" t="str">
        <f>MODEL_MATRIX!X63</f>
        <v/>
      </c>
      <c r="AA63" s="1" t="str">
        <f>MODEL_MATRIX!Y63</f>
        <v/>
      </c>
      <c r="AB63" s="1" t="str">
        <f>MODEL_MATRIX!Z63</f>
        <v/>
      </c>
      <c r="AC63" s="1" t="str">
        <f>MODEL_MATRIX!AA63</f>
        <v/>
      </c>
      <c r="AE63" s="1" t="str">
        <f ca="1">IF(A63&gt;MODEL_FIT!$H$1+1,"",OFFSET(MODEL_FIT!$A$6,0,MODEL_FIT!$H$1+1-ROW()+ROW($AE$2),1,1))</f>
        <v/>
      </c>
      <c r="AF63" s="1" t="str">
        <f ca="1">IF(A63&gt;MODEL_FIT!$H$1+1,"",OFFSET(MODEL_FIT!$A$5,0,MODEL_FIT!$H$1+1-ROW()+ROW($AE$2),1,1))</f>
        <v/>
      </c>
      <c r="AH63" s="1" t="str">
        <f t="shared" si="1"/>
        <v/>
      </c>
      <c r="AJ63" s="1" t="e">
        <f t="shared" si="2"/>
        <v>#N/A</v>
      </c>
      <c r="AK63" s="1" t="e">
        <f t="shared" si="3"/>
        <v>#N/A</v>
      </c>
      <c r="AL63" s="1" t="e">
        <f t="shared" si="4"/>
        <v>#N/A</v>
      </c>
    </row>
    <row r="64" spans="1:38" x14ac:dyDescent="0.25">
      <c r="A64">
        <v>63</v>
      </c>
      <c r="B64" s="1" t="str">
        <f>MODEL_MATRIX!B64</f>
        <v/>
      </c>
      <c r="C64" s="1"/>
      <c r="D64" s="1" t="str">
        <f t="shared" si="0"/>
        <v/>
      </c>
      <c r="E64" s="1" t="str">
        <f>MODEL_MATRIX!C64</f>
        <v/>
      </c>
      <c r="F64" s="1" t="str">
        <f>MODEL_MATRIX!D64</f>
        <v/>
      </c>
      <c r="G64" s="1" t="str">
        <f>MODEL_MATRIX!E64</f>
        <v/>
      </c>
      <c r="H64" s="1" t="str">
        <f>MODEL_MATRIX!F64</f>
        <v/>
      </c>
      <c r="I64" s="1" t="str">
        <f>MODEL_MATRIX!G64</f>
        <v/>
      </c>
      <c r="J64" s="1" t="str">
        <f>MODEL_MATRIX!H64</f>
        <v/>
      </c>
      <c r="K64" s="1" t="str">
        <f>MODEL_MATRIX!I64</f>
        <v/>
      </c>
      <c r="L64" s="1" t="str">
        <f>MODEL_MATRIX!J64</f>
        <v/>
      </c>
      <c r="M64" s="1" t="str">
        <f>MODEL_MATRIX!K64</f>
        <v/>
      </c>
      <c r="N64" s="1" t="str">
        <f>MODEL_MATRIX!L64</f>
        <v/>
      </c>
      <c r="O64" s="1" t="str">
        <f>MODEL_MATRIX!M64</f>
        <v/>
      </c>
      <c r="P64" s="1" t="str">
        <f>MODEL_MATRIX!N64</f>
        <v/>
      </c>
      <c r="Q64" s="1" t="str">
        <f>MODEL_MATRIX!O64</f>
        <v/>
      </c>
      <c r="R64" s="1" t="str">
        <f>MODEL_MATRIX!P64</f>
        <v/>
      </c>
      <c r="S64" s="1" t="str">
        <f>MODEL_MATRIX!Q64</f>
        <v/>
      </c>
      <c r="T64" s="1" t="str">
        <f>MODEL_MATRIX!R64</f>
        <v/>
      </c>
      <c r="U64" s="1" t="str">
        <f>MODEL_MATRIX!S64</f>
        <v/>
      </c>
      <c r="V64" s="1" t="str">
        <f>MODEL_MATRIX!T64</f>
        <v/>
      </c>
      <c r="W64" s="1" t="str">
        <f>MODEL_MATRIX!U64</f>
        <v/>
      </c>
      <c r="X64" s="1" t="str">
        <f>MODEL_MATRIX!V64</f>
        <v/>
      </c>
      <c r="Y64" s="1" t="str">
        <f>MODEL_MATRIX!W64</f>
        <v/>
      </c>
      <c r="Z64" s="1" t="str">
        <f>MODEL_MATRIX!X64</f>
        <v/>
      </c>
      <c r="AA64" s="1" t="str">
        <f>MODEL_MATRIX!Y64</f>
        <v/>
      </c>
      <c r="AB64" s="1" t="str">
        <f>MODEL_MATRIX!Z64</f>
        <v/>
      </c>
      <c r="AC64" s="1" t="str">
        <f>MODEL_MATRIX!AA64</f>
        <v/>
      </c>
      <c r="AE64" s="1" t="str">
        <f ca="1">IF(A64&gt;MODEL_FIT!$H$1+1,"",OFFSET(MODEL_FIT!$A$6,0,MODEL_FIT!$H$1+1-ROW()+ROW($AE$2),1,1))</f>
        <v/>
      </c>
      <c r="AF64" s="1" t="str">
        <f ca="1">IF(A64&gt;MODEL_FIT!$H$1+1,"",OFFSET(MODEL_FIT!$A$5,0,MODEL_FIT!$H$1+1-ROW()+ROW($AE$2),1,1))</f>
        <v/>
      </c>
      <c r="AH64" s="1" t="str">
        <f t="shared" si="1"/>
        <v/>
      </c>
      <c r="AJ64" s="1" t="e">
        <f t="shared" si="2"/>
        <v>#N/A</v>
      </c>
      <c r="AK64" s="1" t="e">
        <f t="shared" si="3"/>
        <v>#N/A</v>
      </c>
      <c r="AL64" s="1" t="e">
        <f t="shared" si="4"/>
        <v>#N/A</v>
      </c>
    </row>
    <row r="65" spans="1:38" x14ac:dyDescent="0.25">
      <c r="A65">
        <v>64</v>
      </c>
      <c r="B65" s="1" t="str">
        <f>MODEL_MATRIX!B65</f>
        <v/>
      </c>
      <c r="C65" s="1"/>
      <c r="D65" s="1" t="str">
        <f t="shared" si="0"/>
        <v/>
      </c>
      <c r="E65" s="1" t="str">
        <f>MODEL_MATRIX!C65</f>
        <v/>
      </c>
      <c r="F65" s="1" t="str">
        <f>MODEL_MATRIX!D65</f>
        <v/>
      </c>
      <c r="G65" s="1" t="str">
        <f>MODEL_MATRIX!E65</f>
        <v/>
      </c>
      <c r="H65" s="1" t="str">
        <f>MODEL_MATRIX!F65</f>
        <v/>
      </c>
      <c r="I65" s="1" t="str">
        <f>MODEL_MATRIX!G65</f>
        <v/>
      </c>
      <c r="J65" s="1" t="str">
        <f>MODEL_MATRIX!H65</f>
        <v/>
      </c>
      <c r="K65" s="1" t="str">
        <f>MODEL_MATRIX!I65</f>
        <v/>
      </c>
      <c r="L65" s="1" t="str">
        <f>MODEL_MATRIX!J65</f>
        <v/>
      </c>
      <c r="M65" s="1" t="str">
        <f>MODEL_MATRIX!K65</f>
        <v/>
      </c>
      <c r="N65" s="1" t="str">
        <f>MODEL_MATRIX!L65</f>
        <v/>
      </c>
      <c r="O65" s="1" t="str">
        <f>MODEL_MATRIX!M65</f>
        <v/>
      </c>
      <c r="P65" s="1" t="str">
        <f>MODEL_MATRIX!N65</f>
        <v/>
      </c>
      <c r="Q65" s="1" t="str">
        <f>MODEL_MATRIX!O65</f>
        <v/>
      </c>
      <c r="R65" s="1" t="str">
        <f>MODEL_MATRIX!P65</f>
        <v/>
      </c>
      <c r="S65" s="1" t="str">
        <f>MODEL_MATRIX!Q65</f>
        <v/>
      </c>
      <c r="T65" s="1" t="str">
        <f>MODEL_MATRIX!R65</f>
        <v/>
      </c>
      <c r="U65" s="1" t="str">
        <f>MODEL_MATRIX!S65</f>
        <v/>
      </c>
      <c r="V65" s="1" t="str">
        <f>MODEL_MATRIX!T65</f>
        <v/>
      </c>
      <c r="W65" s="1" t="str">
        <f>MODEL_MATRIX!U65</f>
        <v/>
      </c>
      <c r="X65" s="1" t="str">
        <f>MODEL_MATRIX!V65</f>
        <v/>
      </c>
      <c r="Y65" s="1" t="str">
        <f>MODEL_MATRIX!W65</f>
        <v/>
      </c>
      <c r="Z65" s="1" t="str">
        <f>MODEL_MATRIX!X65</f>
        <v/>
      </c>
      <c r="AA65" s="1" t="str">
        <f>MODEL_MATRIX!Y65</f>
        <v/>
      </c>
      <c r="AB65" s="1" t="str">
        <f>MODEL_MATRIX!Z65</f>
        <v/>
      </c>
      <c r="AC65" s="1" t="str">
        <f>MODEL_MATRIX!AA65</f>
        <v/>
      </c>
      <c r="AE65" s="1" t="str">
        <f ca="1">IF(A65&gt;MODEL_FIT!$H$1+1,"",OFFSET(MODEL_FIT!$A$6,0,MODEL_FIT!$H$1+1-ROW()+ROW($AE$2),1,1))</f>
        <v/>
      </c>
      <c r="AF65" s="1" t="str">
        <f ca="1">IF(A65&gt;MODEL_FIT!$H$1+1,"",OFFSET(MODEL_FIT!$A$5,0,MODEL_FIT!$H$1+1-ROW()+ROW($AE$2),1,1))</f>
        <v/>
      </c>
      <c r="AH65" s="1" t="str">
        <f t="shared" si="1"/>
        <v/>
      </c>
      <c r="AJ65" s="1" t="e">
        <f t="shared" si="2"/>
        <v>#N/A</v>
      </c>
      <c r="AK65" s="1" t="e">
        <f t="shared" si="3"/>
        <v>#N/A</v>
      </c>
      <c r="AL65" s="1" t="e">
        <f t="shared" si="4"/>
        <v>#N/A</v>
      </c>
    </row>
    <row r="66" spans="1:38" x14ac:dyDescent="0.25">
      <c r="A66">
        <v>65</v>
      </c>
      <c r="B66" s="1" t="str">
        <f>MODEL_MATRIX!B66</f>
        <v/>
      </c>
      <c r="C66" s="1"/>
      <c r="D66" s="1" t="str">
        <f t="shared" si="0"/>
        <v/>
      </c>
      <c r="E66" s="1" t="str">
        <f>MODEL_MATRIX!C66</f>
        <v/>
      </c>
      <c r="F66" s="1" t="str">
        <f>MODEL_MATRIX!D66</f>
        <v/>
      </c>
      <c r="G66" s="1" t="str">
        <f>MODEL_MATRIX!E66</f>
        <v/>
      </c>
      <c r="H66" s="1" t="str">
        <f>MODEL_MATRIX!F66</f>
        <v/>
      </c>
      <c r="I66" s="1" t="str">
        <f>MODEL_MATRIX!G66</f>
        <v/>
      </c>
      <c r="J66" s="1" t="str">
        <f>MODEL_MATRIX!H66</f>
        <v/>
      </c>
      <c r="K66" s="1" t="str">
        <f>MODEL_MATRIX!I66</f>
        <v/>
      </c>
      <c r="L66" s="1" t="str">
        <f>MODEL_MATRIX!J66</f>
        <v/>
      </c>
      <c r="M66" s="1" t="str">
        <f>MODEL_MATRIX!K66</f>
        <v/>
      </c>
      <c r="N66" s="1" t="str">
        <f>MODEL_MATRIX!L66</f>
        <v/>
      </c>
      <c r="O66" s="1" t="str">
        <f>MODEL_MATRIX!M66</f>
        <v/>
      </c>
      <c r="P66" s="1" t="str">
        <f>MODEL_MATRIX!N66</f>
        <v/>
      </c>
      <c r="Q66" s="1" t="str">
        <f>MODEL_MATRIX!O66</f>
        <v/>
      </c>
      <c r="R66" s="1" t="str">
        <f>MODEL_MATRIX!P66</f>
        <v/>
      </c>
      <c r="S66" s="1" t="str">
        <f>MODEL_MATRIX!Q66</f>
        <v/>
      </c>
      <c r="T66" s="1" t="str">
        <f>MODEL_MATRIX!R66</f>
        <v/>
      </c>
      <c r="U66" s="1" t="str">
        <f>MODEL_MATRIX!S66</f>
        <v/>
      </c>
      <c r="V66" s="1" t="str">
        <f>MODEL_MATRIX!T66</f>
        <v/>
      </c>
      <c r="W66" s="1" t="str">
        <f>MODEL_MATRIX!U66</f>
        <v/>
      </c>
      <c r="X66" s="1" t="str">
        <f>MODEL_MATRIX!V66</f>
        <v/>
      </c>
      <c r="Y66" s="1" t="str">
        <f>MODEL_MATRIX!W66</f>
        <v/>
      </c>
      <c r="Z66" s="1" t="str">
        <f>MODEL_MATRIX!X66</f>
        <v/>
      </c>
      <c r="AA66" s="1" t="str">
        <f>MODEL_MATRIX!Y66</f>
        <v/>
      </c>
      <c r="AB66" s="1" t="str">
        <f>MODEL_MATRIX!Z66</f>
        <v/>
      </c>
      <c r="AC66" s="1" t="str">
        <f>MODEL_MATRIX!AA66</f>
        <v/>
      </c>
      <c r="AE66" s="1" t="str">
        <f ca="1">IF(A66&gt;MODEL_FIT!$H$1+1,"",OFFSET(MODEL_FIT!$A$6,0,MODEL_FIT!$H$1+1-ROW()+ROW($AE$2),1,1))</f>
        <v/>
      </c>
      <c r="AF66" s="1" t="str">
        <f ca="1">IF(A66&gt;MODEL_FIT!$H$1+1,"",OFFSET(MODEL_FIT!$A$5,0,MODEL_FIT!$H$1+1-ROW()+ROW($AE$2),1,1))</f>
        <v/>
      </c>
      <c r="AH66" s="1" t="str">
        <f t="shared" si="1"/>
        <v/>
      </c>
      <c r="AJ66" s="1" t="e">
        <f t="shared" si="2"/>
        <v>#N/A</v>
      </c>
      <c r="AK66" s="1" t="e">
        <f t="shared" si="3"/>
        <v>#N/A</v>
      </c>
      <c r="AL66" s="1" t="e">
        <f t="shared" si="4"/>
        <v>#N/A</v>
      </c>
    </row>
    <row r="67" spans="1:38" x14ac:dyDescent="0.25">
      <c r="A67">
        <v>66</v>
      </c>
      <c r="B67" s="1" t="str">
        <f>MODEL_MATRIX!B67</f>
        <v/>
      </c>
      <c r="C67" s="1"/>
      <c r="D67" s="1" t="str">
        <f t="shared" ref="D67:D71" si="5">IF(B67="","",1)</f>
        <v/>
      </c>
      <c r="E67" s="1" t="str">
        <f>MODEL_MATRIX!C67</f>
        <v/>
      </c>
      <c r="F67" s="1" t="str">
        <f>MODEL_MATRIX!D67</f>
        <v/>
      </c>
      <c r="G67" s="1" t="str">
        <f>MODEL_MATRIX!E67</f>
        <v/>
      </c>
      <c r="H67" s="1" t="str">
        <f>MODEL_MATRIX!F67</f>
        <v/>
      </c>
      <c r="I67" s="1" t="str">
        <f>MODEL_MATRIX!G67</f>
        <v/>
      </c>
      <c r="J67" s="1" t="str">
        <f>MODEL_MATRIX!H67</f>
        <v/>
      </c>
      <c r="K67" s="1" t="str">
        <f>MODEL_MATRIX!I67</f>
        <v/>
      </c>
      <c r="L67" s="1" t="str">
        <f>MODEL_MATRIX!J67</f>
        <v/>
      </c>
      <c r="M67" s="1" t="str">
        <f>MODEL_MATRIX!K67</f>
        <v/>
      </c>
      <c r="N67" s="1" t="str">
        <f>MODEL_MATRIX!L67</f>
        <v/>
      </c>
      <c r="O67" s="1" t="str">
        <f>MODEL_MATRIX!M67</f>
        <v/>
      </c>
      <c r="P67" s="1" t="str">
        <f>MODEL_MATRIX!N67</f>
        <v/>
      </c>
      <c r="Q67" s="1" t="str">
        <f>MODEL_MATRIX!O67</f>
        <v/>
      </c>
      <c r="R67" s="1" t="str">
        <f>MODEL_MATRIX!P67</f>
        <v/>
      </c>
      <c r="S67" s="1" t="str">
        <f>MODEL_MATRIX!Q67</f>
        <v/>
      </c>
      <c r="T67" s="1" t="str">
        <f>MODEL_MATRIX!R67</f>
        <v/>
      </c>
      <c r="U67" s="1" t="str">
        <f>MODEL_MATRIX!S67</f>
        <v/>
      </c>
      <c r="V67" s="1" t="str">
        <f>MODEL_MATRIX!T67</f>
        <v/>
      </c>
      <c r="W67" s="1" t="str">
        <f>MODEL_MATRIX!U67</f>
        <v/>
      </c>
      <c r="X67" s="1" t="str">
        <f>MODEL_MATRIX!V67</f>
        <v/>
      </c>
      <c r="Y67" s="1" t="str">
        <f>MODEL_MATRIX!W67</f>
        <v/>
      </c>
      <c r="Z67" s="1" t="str">
        <f>MODEL_MATRIX!X67</f>
        <v/>
      </c>
      <c r="AA67" s="1" t="str">
        <f>MODEL_MATRIX!Y67</f>
        <v/>
      </c>
      <c r="AB67" s="1" t="str">
        <f>MODEL_MATRIX!Z67</f>
        <v/>
      </c>
      <c r="AC67" s="1" t="str">
        <f>MODEL_MATRIX!AA67</f>
        <v/>
      </c>
      <c r="AE67" s="1" t="str">
        <f ca="1">IF(A67&gt;MODEL_FIT!$H$1+1,"",OFFSET(MODEL_FIT!$A$6,0,MODEL_FIT!$H$1+1-ROW()+ROW($AE$2),1,1))</f>
        <v/>
      </c>
      <c r="AF67" s="1" t="str">
        <f ca="1">IF(A67&gt;MODEL_FIT!$H$1+1,"",OFFSET(MODEL_FIT!$A$5,0,MODEL_FIT!$H$1+1-ROW()+ROW($AE$2),1,1))</f>
        <v/>
      </c>
      <c r="AH67" s="1" t="str">
        <f t="shared" ref="AH67:AH71" si="6">IF(B67="","",B67-C67)</f>
        <v/>
      </c>
      <c r="AJ67" s="1" t="e">
        <f t="shared" ref="AJ67:AJ71" si="7">IF(AH67="",NA(),A67)</f>
        <v>#N/A</v>
      </c>
      <c r="AK67" s="1" t="e">
        <f t="shared" ref="AK67:AK71" si="8">IF(AH67="",NA(),C67)</f>
        <v>#N/A</v>
      </c>
      <c r="AL67" s="1" t="e">
        <f t="shared" ref="AL67:AL71" si="9">IF(AH67="",NA(),AH67)</f>
        <v>#N/A</v>
      </c>
    </row>
    <row r="68" spans="1:38" x14ac:dyDescent="0.25">
      <c r="A68">
        <v>67</v>
      </c>
      <c r="B68" s="1" t="str">
        <f>MODEL_MATRIX!B68</f>
        <v/>
      </c>
      <c r="C68" s="1"/>
      <c r="D68" s="1" t="str">
        <f t="shared" si="5"/>
        <v/>
      </c>
      <c r="E68" s="1" t="str">
        <f>MODEL_MATRIX!C68</f>
        <v/>
      </c>
      <c r="F68" s="1" t="str">
        <f>MODEL_MATRIX!D68</f>
        <v/>
      </c>
      <c r="G68" s="1" t="str">
        <f>MODEL_MATRIX!E68</f>
        <v/>
      </c>
      <c r="H68" s="1" t="str">
        <f>MODEL_MATRIX!F68</f>
        <v/>
      </c>
      <c r="I68" s="1" t="str">
        <f>MODEL_MATRIX!G68</f>
        <v/>
      </c>
      <c r="J68" s="1" t="str">
        <f>MODEL_MATRIX!H68</f>
        <v/>
      </c>
      <c r="K68" s="1" t="str">
        <f>MODEL_MATRIX!I68</f>
        <v/>
      </c>
      <c r="L68" s="1" t="str">
        <f>MODEL_MATRIX!J68</f>
        <v/>
      </c>
      <c r="M68" s="1" t="str">
        <f>MODEL_MATRIX!K68</f>
        <v/>
      </c>
      <c r="N68" s="1" t="str">
        <f>MODEL_MATRIX!L68</f>
        <v/>
      </c>
      <c r="O68" s="1" t="str">
        <f>MODEL_MATRIX!M68</f>
        <v/>
      </c>
      <c r="P68" s="1" t="str">
        <f>MODEL_MATRIX!N68</f>
        <v/>
      </c>
      <c r="Q68" s="1" t="str">
        <f>MODEL_MATRIX!O68</f>
        <v/>
      </c>
      <c r="R68" s="1" t="str">
        <f>MODEL_MATRIX!P68</f>
        <v/>
      </c>
      <c r="S68" s="1" t="str">
        <f>MODEL_MATRIX!Q68</f>
        <v/>
      </c>
      <c r="T68" s="1" t="str">
        <f>MODEL_MATRIX!R68</f>
        <v/>
      </c>
      <c r="U68" s="1" t="str">
        <f>MODEL_MATRIX!S68</f>
        <v/>
      </c>
      <c r="V68" s="1" t="str">
        <f>MODEL_MATRIX!T68</f>
        <v/>
      </c>
      <c r="W68" s="1" t="str">
        <f>MODEL_MATRIX!U68</f>
        <v/>
      </c>
      <c r="X68" s="1" t="str">
        <f>MODEL_MATRIX!V68</f>
        <v/>
      </c>
      <c r="Y68" s="1" t="str">
        <f>MODEL_MATRIX!W68</f>
        <v/>
      </c>
      <c r="Z68" s="1" t="str">
        <f>MODEL_MATRIX!X68</f>
        <v/>
      </c>
      <c r="AA68" s="1" t="str">
        <f>MODEL_MATRIX!Y68</f>
        <v/>
      </c>
      <c r="AB68" s="1" t="str">
        <f>MODEL_MATRIX!Z68</f>
        <v/>
      </c>
      <c r="AC68" s="1" t="str">
        <f>MODEL_MATRIX!AA68</f>
        <v/>
      </c>
      <c r="AE68" s="1" t="str">
        <f ca="1">IF(A68&gt;MODEL_FIT!$H$1+1,"",OFFSET(MODEL_FIT!$A$6,0,MODEL_FIT!$H$1+1-ROW()+ROW($AE$2),1,1))</f>
        <v/>
      </c>
      <c r="AF68" s="1" t="str">
        <f ca="1">IF(A68&gt;MODEL_FIT!$H$1+1,"",OFFSET(MODEL_FIT!$A$5,0,MODEL_FIT!$H$1+1-ROW()+ROW($AE$2),1,1))</f>
        <v/>
      </c>
      <c r="AH68" s="1" t="str">
        <f t="shared" si="6"/>
        <v/>
      </c>
      <c r="AJ68" s="1" t="e">
        <f t="shared" si="7"/>
        <v>#N/A</v>
      </c>
      <c r="AK68" s="1" t="e">
        <f t="shared" si="8"/>
        <v>#N/A</v>
      </c>
      <c r="AL68" s="1" t="e">
        <f t="shared" si="9"/>
        <v>#N/A</v>
      </c>
    </row>
    <row r="69" spans="1:38" x14ac:dyDescent="0.25">
      <c r="A69">
        <v>68</v>
      </c>
      <c r="B69" s="1" t="str">
        <f>MODEL_MATRIX!B69</f>
        <v/>
      </c>
      <c r="C69" s="1"/>
      <c r="D69" s="1" t="str">
        <f t="shared" si="5"/>
        <v/>
      </c>
      <c r="E69" s="1" t="str">
        <f>MODEL_MATRIX!C69</f>
        <v/>
      </c>
      <c r="F69" s="1" t="str">
        <f>MODEL_MATRIX!D69</f>
        <v/>
      </c>
      <c r="G69" s="1" t="str">
        <f>MODEL_MATRIX!E69</f>
        <v/>
      </c>
      <c r="H69" s="1" t="str">
        <f>MODEL_MATRIX!F69</f>
        <v/>
      </c>
      <c r="I69" s="1" t="str">
        <f>MODEL_MATRIX!G69</f>
        <v/>
      </c>
      <c r="J69" s="1" t="str">
        <f>MODEL_MATRIX!H69</f>
        <v/>
      </c>
      <c r="K69" s="1" t="str">
        <f>MODEL_MATRIX!I69</f>
        <v/>
      </c>
      <c r="L69" s="1" t="str">
        <f>MODEL_MATRIX!J69</f>
        <v/>
      </c>
      <c r="M69" s="1" t="str">
        <f>MODEL_MATRIX!K69</f>
        <v/>
      </c>
      <c r="N69" s="1" t="str">
        <f>MODEL_MATRIX!L69</f>
        <v/>
      </c>
      <c r="O69" s="1" t="str">
        <f>MODEL_MATRIX!M69</f>
        <v/>
      </c>
      <c r="P69" s="1" t="str">
        <f>MODEL_MATRIX!N69</f>
        <v/>
      </c>
      <c r="Q69" s="1" t="str">
        <f>MODEL_MATRIX!O69</f>
        <v/>
      </c>
      <c r="R69" s="1" t="str">
        <f>MODEL_MATRIX!P69</f>
        <v/>
      </c>
      <c r="S69" s="1" t="str">
        <f>MODEL_MATRIX!Q69</f>
        <v/>
      </c>
      <c r="T69" s="1" t="str">
        <f>MODEL_MATRIX!R69</f>
        <v/>
      </c>
      <c r="U69" s="1" t="str">
        <f>MODEL_MATRIX!S69</f>
        <v/>
      </c>
      <c r="V69" s="1" t="str">
        <f>MODEL_MATRIX!T69</f>
        <v/>
      </c>
      <c r="W69" s="1" t="str">
        <f>MODEL_MATRIX!U69</f>
        <v/>
      </c>
      <c r="X69" s="1" t="str">
        <f>MODEL_MATRIX!V69</f>
        <v/>
      </c>
      <c r="Y69" s="1" t="str">
        <f>MODEL_MATRIX!W69</f>
        <v/>
      </c>
      <c r="Z69" s="1" t="str">
        <f>MODEL_MATRIX!X69</f>
        <v/>
      </c>
      <c r="AA69" s="1" t="str">
        <f>MODEL_MATRIX!Y69</f>
        <v/>
      </c>
      <c r="AB69" s="1" t="str">
        <f>MODEL_MATRIX!Z69</f>
        <v/>
      </c>
      <c r="AC69" s="1" t="str">
        <f>MODEL_MATRIX!AA69</f>
        <v/>
      </c>
      <c r="AE69" s="1" t="str">
        <f ca="1">IF(A69&gt;MODEL_FIT!$H$1+1,"",OFFSET(MODEL_FIT!$A$6,0,MODEL_FIT!$H$1+1-ROW()+ROW($AE$2),1,1))</f>
        <v/>
      </c>
      <c r="AF69" s="1" t="str">
        <f ca="1">IF(A69&gt;MODEL_FIT!$H$1+1,"",OFFSET(MODEL_FIT!$A$5,0,MODEL_FIT!$H$1+1-ROW()+ROW($AE$2),1,1))</f>
        <v/>
      </c>
      <c r="AH69" s="1" t="str">
        <f t="shared" si="6"/>
        <v/>
      </c>
      <c r="AJ69" s="1" t="e">
        <f t="shared" si="7"/>
        <v>#N/A</v>
      </c>
      <c r="AK69" s="1" t="e">
        <f t="shared" si="8"/>
        <v>#N/A</v>
      </c>
      <c r="AL69" s="1" t="e">
        <f t="shared" si="9"/>
        <v>#N/A</v>
      </c>
    </row>
    <row r="70" spans="1:38" x14ac:dyDescent="0.25">
      <c r="A70">
        <v>69</v>
      </c>
      <c r="B70" s="1" t="str">
        <f>MODEL_MATRIX!B70</f>
        <v/>
      </c>
      <c r="C70" s="1"/>
      <c r="D70" s="1" t="str">
        <f t="shared" si="5"/>
        <v/>
      </c>
      <c r="E70" s="1" t="str">
        <f>MODEL_MATRIX!C70</f>
        <v/>
      </c>
      <c r="F70" s="1" t="str">
        <f>MODEL_MATRIX!D70</f>
        <v/>
      </c>
      <c r="G70" s="1" t="str">
        <f>MODEL_MATRIX!E70</f>
        <v/>
      </c>
      <c r="H70" s="1" t="str">
        <f>MODEL_MATRIX!F70</f>
        <v/>
      </c>
      <c r="I70" s="1" t="str">
        <f>MODEL_MATRIX!G70</f>
        <v/>
      </c>
      <c r="J70" s="1" t="str">
        <f>MODEL_MATRIX!H70</f>
        <v/>
      </c>
      <c r="K70" s="1" t="str">
        <f>MODEL_MATRIX!I70</f>
        <v/>
      </c>
      <c r="L70" s="1" t="str">
        <f>MODEL_MATRIX!J70</f>
        <v/>
      </c>
      <c r="M70" s="1" t="str">
        <f>MODEL_MATRIX!K70</f>
        <v/>
      </c>
      <c r="N70" s="1" t="str">
        <f>MODEL_MATRIX!L70</f>
        <v/>
      </c>
      <c r="O70" s="1" t="str">
        <f>MODEL_MATRIX!M70</f>
        <v/>
      </c>
      <c r="P70" s="1" t="str">
        <f>MODEL_MATRIX!N70</f>
        <v/>
      </c>
      <c r="Q70" s="1" t="str">
        <f>MODEL_MATRIX!O70</f>
        <v/>
      </c>
      <c r="R70" s="1" t="str">
        <f>MODEL_MATRIX!P70</f>
        <v/>
      </c>
      <c r="S70" s="1" t="str">
        <f>MODEL_MATRIX!Q70</f>
        <v/>
      </c>
      <c r="T70" s="1" t="str">
        <f>MODEL_MATRIX!R70</f>
        <v/>
      </c>
      <c r="U70" s="1" t="str">
        <f>MODEL_MATRIX!S70</f>
        <v/>
      </c>
      <c r="V70" s="1" t="str">
        <f>MODEL_MATRIX!T70</f>
        <v/>
      </c>
      <c r="W70" s="1" t="str">
        <f>MODEL_MATRIX!U70</f>
        <v/>
      </c>
      <c r="X70" s="1" t="str">
        <f>MODEL_MATRIX!V70</f>
        <v/>
      </c>
      <c r="Y70" s="1" t="str">
        <f>MODEL_MATRIX!W70</f>
        <v/>
      </c>
      <c r="Z70" s="1" t="str">
        <f>MODEL_MATRIX!X70</f>
        <v/>
      </c>
      <c r="AA70" s="1" t="str">
        <f>MODEL_MATRIX!Y70</f>
        <v/>
      </c>
      <c r="AB70" s="1" t="str">
        <f>MODEL_MATRIX!Z70</f>
        <v/>
      </c>
      <c r="AC70" s="1" t="str">
        <f>MODEL_MATRIX!AA70</f>
        <v/>
      </c>
      <c r="AE70" s="1" t="str">
        <f ca="1">IF(A70&gt;MODEL_FIT!$H$1+1,"",OFFSET(MODEL_FIT!$A$6,0,MODEL_FIT!$H$1+1-ROW()+ROW($AE$2),1,1))</f>
        <v/>
      </c>
      <c r="AF70" s="1" t="str">
        <f ca="1">IF(A70&gt;MODEL_FIT!$H$1+1,"",OFFSET(MODEL_FIT!$A$5,0,MODEL_FIT!$H$1+1-ROW()+ROW($AE$2),1,1))</f>
        <v/>
      </c>
      <c r="AH70" s="1" t="str">
        <f t="shared" si="6"/>
        <v/>
      </c>
      <c r="AJ70" s="1" t="e">
        <f t="shared" si="7"/>
        <v>#N/A</v>
      </c>
      <c r="AK70" s="1" t="e">
        <f t="shared" si="8"/>
        <v>#N/A</v>
      </c>
      <c r="AL70" s="1" t="e">
        <f t="shared" si="9"/>
        <v>#N/A</v>
      </c>
    </row>
    <row r="71" spans="1:38" x14ac:dyDescent="0.25">
      <c r="A71">
        <v>70</v>
      </c>
      <c r="B71" s="1" t="str">
        <f>MODEL_MATRIX!B71</f>
        <v/>
      </c>
      <c r="C71" s="1"/>
      <c r="D71" s="1" t="str">
        <f t="shared" si="5"/>
        <v/>
      </c>
      <c r="E71" s="1" t="str">
        <f>MODEL_MATRIX!C71</f>
        <v/>
      </c>
      <c r="F71" s="1" t="str">
        <f>MODEL_MATRIX!D71</f>
        <v/>
      </c>
      <c r="G71" s="1" t="str">
        <f>MODEL_MATRIX!E71</f>
        <v/>
      </c>
      <c r="H71" s="1" t="str">
        <f>MODEL_MATRIX!F71</f>
        <v/>
      </c>
      <c r="I71" s="1" t="str">
        <f>MODEL_MATRIX!G71</f>
        <v/>
      </c>
      <c r="J71" s="1" t="str">
        <f>MODEL_MATRIX!H71</f>
        <v/>
      </c>
      <c r="K71" s="1" t="str">
        <f>MODEL_MATRIX!I71</f>
        <v/>
      </c>
      <c r="L71" s="1" t="str">
        <f>MODEL_MATRIX!J71</f>
        <v/>
      </c>
      <c r="M71" s="1" t="str">
        <f>MODEL_MATRIX!K71</f>
        <v/>
      </c>
      <c r="N71" s="1" t="str">
        <f>MODEL_MATRIX!L71</f>
        <v/>
      </c>
      <c r="O71" s="1" t="str">
        <f>MODEL_MATRIX!M71</f>
        <v/>
      </c>
      <c r="P71" s="1" t="str">
        <f>MODEL_MATRIX!N71</f>
        <v/>
      </c>
      <c r="Q71" s="1" t="str">
        <f>MODEL_MATRIX!O71</f>
        <v/>
      </c>
      <c r="R71" s="1" t="str">
        <f>MODEL_MATRIX!P71</f>
        <v/>
      </c>
      <c r="S71" s="1" t="str">
        <f>MODEL_MATRIX!Q71</f>
        <v/>
      </c>
      <c r="T71" s="1" t="str">
        <f>MODEL_MATRIX!R71</f>
        <v/>
      </c>
      <c r="U71" s="1" t="str">
        <f>MODEL_MATRIX!S71</f>
        <v/>
      </c>
      <c r="V71" s="1" t="str">
        <f>MODEL_MATRIX!T71</f>
        <v/>
      </c>
      <c r="W71" s="1" t="str">
        <f>MODEL_MATRIX!U71</f>
        <v/>
      </c>
      <c r="X71" s="1" t="str">
        <f>MODEL_MATRIX!V71</f>
        <v/>
      </c>
      <c r="Y71" s="1" t="str">
        <f>MODEL_MATRIX!W71</f>
        <v/>
      </c>
      <c r="Z71" s="1" t="str">
        <f>MODEL_MATRIX!X71</f>
        <v/>
      </c>
      <c r="AA71" s="1" t="str">
        <f>MODEL_MATRIX!Y71</f>
        <v/>
      </c>
      <c r="AB71" s="1" t="str">
        <f>MODEL_MATRIX!Z71</f>
        <v/>
      </c>
      <c r="AC71" s="1" t="str">
        <f>MODEL_MATRIX!AA71</f>
        <v/>
      </c>
      <c r="AE71" s="1" t="str">
        <f ca="1">IF(A71&gt;MODEL_FIT!$H$1+1,"",OFFSET(MODEL_FIT!$A$6,0,MODEL_FIT!$H$1+1-ROW()+ROW($AE$2),1,1))</f>
        <v/>
      </c>
      <c r="AF71" s="1" t="str">
        <f ca="1">IF(A71&gt;MODEL_FIT!$H$1+1,"",OFFSET(MODEL_FIT!$A$5,0,MODEL_FIT!$H$1+1-ROW()+ROW($AE$2),1,1))</f>
        <v/>
      </c>
      <c r="AH71" s="1" t="str">
        <f t="shared" si="6"/>
        <v/>
      </c>
      <c r="AJ71" s="1" t="e">
        <f t="shared" si="7"/>
        <v>#N/A</v>
      </c>
      <c r="AK71" s="1" t="e">
        <f t="shared" si="8"/>
        <v>#N/A</v>
      </c>
      <c r="AL71" s="1" t="e">
        <f t="shared" si="9"/>
        <v>#N/A</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21</vt:i4>
      </vt:variant>
    </vt:vector>
  </HeadingPairs>
  <TitlesOfParts>
    <vt:vector size="21" baseType="lpstr">
      <vt:lpstr>INSTRUCTIONS</vt:lpstr>
      <vt:lpstr>EXP_MATRIX</vt:lpstr>
      <vt:lpstr>MODEL</vt:lpstr>
      <vt:lpstr>MODEL_PREDICTION</vt:lpstr>
      <vt:lpstr>CENTER_POINTS</vt:lpstr>
      <vt:lpstr>DESIGN_CORRELATION</vt:lpstr>
      <vt:lpstr>EDA</vt:lpstr>
      <vt:lpstr>MODEL_CORRELATION</vt:lpstr>
      <vt:lpstr>MODEL_PARETO</vt:lpstr>
      <vt:lpstr>MODEL_MAINEFFECTS</vt:lpstr>
      <vt:lpstr>MODEL_INTERACTIONS</vt:lpstr>
      <vt:lpstr>MODEL_FIT</vt:lpstr>
      <vt:lpstr>MODEL_ANOVA</vt:lpstr>
      <vt:lpstr>MODEL_RESIDUALPLOTS</vt:lpstr>
      <vt:lpstr>MODEL_RESIDUALSQQ</vt:lpstr>
      <vt:lpstr>DESIGN_FEATURES</vt:lpstr>
      <vt:lpstr>DESIGN_REPLICATION</vt:lpstr>
      <vt:lpstr>MODEL_MATRIX</vt:lpstr>
      <vt:lpstr>MODEL_EFFECTSQQ</vt:lpstr>
      <vt:lpstr>MODEL_REPLICATION</vt:lpstr>
      <vt:lpstr>MODEL_RESIDUALS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Jordi</dc:creator>
  <cp:lastModifiedBy>Cuadros Margarit, Jordi</cp:lastModifiedBy>
  <dcterms:created xsi:type="dcterms:W3CDTF">2022-10-02T20:00:50Z</dcterms:created>
  <dcterms:modified xsi:type="dcterms:W3CDTF">2026-05-06T07:06:53Z</dcterms:modified>
</cp:coreProperties>
</file>